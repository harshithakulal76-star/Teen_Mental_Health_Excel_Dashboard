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EC0ACB73C70E37E/"/>
    </mc:Choice>
  </mc:AlternateContent>
  <xr:revisionPtr revIDLastSave="754" documentId="8_{715F775B-DA98-4E66-A1D2-17A2BCB1E5CD}" xr6:coauthVersionLast="47" xr6:coauthVersionMax="47" xr10:uidLastSave="{BB753870-3101-4321-8429-F61C32CA9611}"/>
  <bookViews>
    <workbookView xWindow="-108" yWindow="-108" windowWidth="23256" windowHeight="12456" activeTab="3" xr2:uid="{AF0B3653-28F4-4534-B839-DF8974909000}"/>
  </bookViews>
  <sheets>
    <sheet name="dataset" sheetId="1" r:id="rId1"/>
    <sheet name="working sheet" sheetId="2" r:id="rId2"/>
    <sheet name="KPI" sheetId="3" r:id="rId3"/>
    <sheet name="pivot table" sheetId="4" r:id="rId4"/>
    <sheet name="dashboard" sheetId="5" r:id="rId5"/>
  </sheets>
  <definedNames>
    <definedName name="_xlnm._FilterDatabase" localSheetId="1" hidden="1">'working sheet'!$A$1:$P$1201</definedName>
    <definedName name="Slicer_addiction_category">#N/A</definedName>
    <definedName name="Slicer_depression_label">#N/A</definedName>
    <definedName name="Slicer_sleep_categeory">#N/A</definedName>
  </definedNames>
  <calcPr calcId="191028"/>
  <pivotCaches>
    <pivotCache cacheId="4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3" l="1"/>
  <c r="G3" i="3"/>
  <c r="F3" i="3"/>
  <c r="G2" i="3"/>
  <c r="F2" i="3"/>
  <c r="E2" i="3"/>
  <c r="D2" i="3"/>
  <c r="C2" i="3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P3" i="2" a="1"/>
  <c r="P3" i="2"/>
  <c r="P4" i="2" a="1"/>
  <c r="P4" i="2"/>
  <c r="P5" i="2" a="1"/>
  <c r="P5" i="2"/>
  <c r="P6" i="2" a="1"/>
  <c r="P6" i="2"/>
  <c r="P7" i="2" a="1"/>
  <c r="P7" i="2"/>
  <c r="P8" i="2" a="1"/>
  <c r="P8" i="2"/>
  <c r="P9" i="2" a="1"/>
  <c r="P9" i="2"/>
  <c r="P10" i="2" a="1"/>
  <c r="P10" i="2"/>
  <c r="P11" i="2" a="1"/>
  <c r="P11" i="2"/>
  <c r="P12" i="2" a="1"/>
  <c r="P12" i="2"/>
  <c r="P13" i="2" a="1"/>
  <c r="P13" i="2"/>
  <c r="P14" i="2" a="1"/>
  <c r="P14" i="2"/>
  <c r="P15" i="2" a="1"/>
  <c r="P15" i="2"/>
  <c r="P16" i="2" a="1"/>
  <c r="P16" i="2"/>
  <c r="P17" i="2" a="1"/>
  <c r="P17" i="2"/>
  <c r="P18" i="2" a="1"/>
  <c r="P18" i="2"/>
  <c r="P19" i="2" a="1"/>
  <c r="P19" i="2"/>
  <c r="P20" i="2" a="1"/>
  <c r="P20" i="2"/>
  <c r="P21" i="2" a="1"/>
  <c r="P21" i="2"/>
  <c r="P22" i="2" a="1"/>
  <c r="P22" i="2"/>
  <c r="P23" i="2" a="1"/>
  <c r="P23" i="2"/>
  <c r="P24" i="2" a="1"/>
  <c r="P24" i="2"/>
  <c r="P25" i="2" a="1"/>
  <c r="P25" i="2"/>
  <c r="P26" i="2" a="1"/>
  <c r="P26" i="2"/>
  <c r="P27" i="2" a="1"/>
  <c r="P27" i="2"/>
  <c r="P28" i="2" a="1"/>
  <c r="P28" i="2"/>
  <c r="P29" i="2" a="1"/>
  <c r="P29" i="2"/>
  <c r="P30" i="2" a="1"/>
  <c r="P30" i="2"/>
  <c r="P31" i="2" a="1"/>
  <c r="P31" i="2"/>
  <c r="P32" i="2" a="1"/>
  <c r="P32" i="2"/>
  <c r="P33" i="2" a="1"/>
  <c r="P33" i="2"/>
  <c r="P34" i="2" a="1"/>
  <c r="P34" i="2"/>
  <c r="P35" i="2" a="1"/>
  <c r="P35" i="2"/>
  <c r="P36" i="2" a="1"/>
  <c r="P36" i="2"/>
  <c r="P37" i="2" a="1"/>
  <c r="P37" i="2"/>
  <c r="P38" i="2" a="1"/>
  <c r="P38" i="2"/>
  <c r="P39" i="2" a="1"/>
  <c r="P39" i="2"/>
  <c r="P40" i="2" a="1"/>
  <c r="P40" i="2"/>
  <c r="P41" i="2" a="1"/>
  <c r="P41" i="2"/>
  <c r="P42" i="2" a="1"/>
  <c r="P42" i="2"/>
  <c r="P43" i="2" a="1"/>
  <c r="P43" i="2"/>
  <c r="P44" i="2" a="1"/>
  <c r="P44" i="2"/>
  <c r="P45" i="2" a="1"/>
  <c r="P45" i="2"/>
  <c r="P46" i="2" a="1"/>
  <c r="P46" i="2"/>
  <c r="P47" i="2" a="1"/>
  <c r="P47" i="2"/>
  <c r="P48" i="2" a="1"/>
  <c r="P48" i="2"/>
  <c r="P49" i="2" a="1"/>
  <c r="P49" i="2"/>
  <c r="P50" i="2" a="1"/>
  <c r="P50" i="2"/>
  <c r="P51" i="2" a="1"/>
  <c r="P51" i="2"/>
  <c r="P52" i="2" a="1"/>
  <c r="P52" i="2"/>
  <c r="P53" i="2" a="1"/>
  <c r="P53" i="2"/>
  <c r="P54" i="2" a="1"/>
  <c r="P54" i="2"/>
  <c r="P55" i="2" a="1"/>
  <c r="P55" i="2"/>
  <c r="P56" i="2" a="1"/>
  <c r="P56" i="2"/>
  <c r="P57" i="2" a="1"/>
  <c r="P57" i="2"/>
  <c r="P58" i="2" a="1"/>
  <c r="P58" i="2"/>
  <c r="P59" i="2" a="1"/>
  <c r="P59" i="2"/>
  <c r="P60" i="2" a="1"/>
  <c r="P60" i="2"/>
  <c r="P61" i="2" a="1"/>
  <c r="P61" i="2"/>
  <c r="P62" i="2" a="1"/>
  <c r="P62" i="2"/>
  <c r="P63" i="2" a="1"/>
  <c r="P63" i="2"/>
  <c r="P64" i="2" a="1"/>
  <c r="P64" i="2"/>
  <c r="P65" i="2" a="1"/>
  <c r="P65" i="2"/>
  <c r="P66" i="2" a="1"/>
  <c r="P66" i="2"/>
  <c r="P67" i="2" a="1"/>
  <c r="P67" i="2"/>
  <c r="P68" i="2" a="1"/>
  <c r="P68" i="2"/>
  <c r="P69" i="2" a="1"/>
  <c r="P69" i="2"/>
  <c r="P70" i="2" a="1"/>
  <c r="P70" i="2"/>
  <c r="P71" i="2" a="1"/>
  <c r="P71" i="2"/>
  <c r="P72" i="2" a="1"/>
  <c r="P72" i="2"/>
  <c r="P73" i="2" a="1"/>
  <c r="P73" i="2"/>
  <c r="P74" i="2" a="1"/>
  <c r="P74" i="2"/>
  <c r="P75" i="2" a="1"/>
  <c r="P75" i="2"/>
  <c r="P76" i="2" a="1"/>
  <c r="P76" i="2"/>
  <c r="P77" i="2" a="1"/>
  <c r="P77" i="2"/>
  <c r="P78" i="2" a="1"/>
  <c r="P78" i="2"/>
  <c r="P79" i="2" a="1"/>
  <c r="P79" i="2"/>
  <c r="P80" i="2" a="1"/>
  <c r="P80" i="2"/>
  <c r="P81" i="2" a="1"/>
  <c r="P81" i="2"/>
  <c r="P82" i="2" a="1"/>
  <c r="P82" i="2"/>
  <c r="P83" i="2" a="1"/>
  <c r="P83" i="2"/>
  <c r="P84" i="2" a="1"/>
  <c r="P84" i="2"/>
  <c r="P85" i="2" a="1"/>
  <c r="P85" i="2"/>
  <c r="P86" i="2" a="1"/>
  <c r="P86" i="2"/>
  <c r="P87" i="2" a="1"/>
  <c r="P87" i="2"/>
  <c r="P88" i="2" a="1"/>
  <c r="P88" i="2"/>
  <c r="P89" i="2" a="1"/>
  <c r="P89" i="2"/>
  <c r="P90" i="2" a="1"/>
  <c r="P90" i="2"/>
  <c r="P91" i="2" a="1"/>
  <c r="P91" i="2"/>
  <c r="P92" i="2" a="1"/>
  <c r="P92" i="2"/>
  <c r="P93" i="2" a="1"/>
  <c r="P93" i="2"/>
  <c r="P94" i="2" a="1"/>
  <c r="P94" i="2"/>
  <c r="P95" i="2" a="1"/>
  <c r="P95" i="2"/>
  <c r="P96" i="2" a="1"/>
  <c r="P96" i="2"/>
  <c r="P97" i="2" a="1"/>
  <c r="P97" i="2"/>
  <c r="P98" i="2" a="1"/>
  <c r="P98" i="2"/>
  <c r="P99" i="2" a="1"/>
  <c r="P99" i="2"/>
  <c r="P100" i="2" a="1"/>
  <c r="P100" i="2"/>
  <c r="P101" i="2" a="1"/>
  <c r="P101" i="2"/>
  <c r="P102" i="2" a="1"/>
  <c r="P102" i="2"/>
  <c r="P103" i="2" a="1"/>
  <c r="P103" i="2"/>
  <c r="P104" i="2" a="1"/>
  <c r="P104" i="2"/>
  <c r="P105" i="2" a="1"/>
  <c r="P105" i="2"/>
  <c r="P106" i="2" a="1"/>
  <c r="P106" i="2"/>
  <c r="P107" i="2" a="1"/>
  <c r="P107" i="2"/>
  <c r="P108" i="2" a="1"/>
  <c r="P108" i="2"/>
  <c r="P109" i="2" a="1"/>
  <c r="P109" i="2"/>
  <c r="P110" i="2" a="1"/>
  <c r="P110" i="2"/>
  <c r="P111" i="2" a="1"/>
  <c r="P111" i="2"/>
  <c r="P112" i="2" a="1"/>
  <c r="P112" i="2"/>
  <c r="P113" i="2" a="1"/>
  <c r="P113" i="2"/>
  <c r="P114" i="2" a="1"/>
  <c r="P114" i="2"/>
  <c r="P115" i="2" a="1"/>
  <c r="P115" i="2"/>
  <c r="P116" i="2" a="1"/>
  <c r="P116" i="2"/>
  <c r="P117" i="2" a="1"/>
  <c r="P117" i="2"/>
  <c r="P118" i="2" a="1"/>
  <c r="P118" i="2"/>
  <c r="P119" i="2" a="1"/>
  <c r="P119" i="2"/>
  <c r="P120" i="2" a="1"/>
  <c r="P120" i="2"/>
  <c r="P121" i="2" a="1"/>
  <c r="P121" i="2"/>
  <c r="P122" i="2" a="1"/>
  <c r="P122" i="2"/>
  <c r="P123" i="2" a="1"/>
  <c r="P123" i="2"/>
  <c r="P124" i="2" a="1"/>
  <c r="P124" i="2"/>
  <c r="P125" i="2" a="1"/>
  <c r="P125" i="2"/>
  <c r="P126" i="2" a="1"/>
  <c r="P126" i="2"/>
  <c r="P127" i="2" a="1"/>
  <c r="P127" i="2"/>
  <c r="P128" i="2" a="1"/>
  <c r="P128" i="2"/>
  <c r="P129" i="2" a="1"/>
  <c r="P129" i="2"/>
  <c r="P130" i="2" a="1"/>
  <c r="P130" i="2"/>
  <c r="P131" i="2" a="1"/>
  <c r="P131" i="2"/>
  <c r="P132" i="2" a="1"/>
  <c r="P132" i="2"/>
  <c r="P133" i="2" a="1"/>
  <c r="P133" i="2"/>
  <c r="P134" i="2" a="1"/>
  <c r="P134" i="2"/>
  <c r="P135" i="2" a="1"/>
  <c r="P135" i="2"/>
  <c r="P136" i="2" a="1"/>
  <c r="P136" i="2"/>
  <c r="P137" i="2" a="1"/>
  <c r="P137" i="2"/>
  <c r="P138" i="2" a="1"/>
  <c r="P138" i="2"/>
  <c r="P139" i="2" a="1"/>
  <c r="P139" i="2"/>
  <c r="P140" i="2" a="1"/>
  <c r="P140" i="2"/>
  <c r="P141" i="2" a="1"/>
  <c r="P141" i="2"/>
  <c r="P142" i="2" a="1"/>
  <c r="P142" i="2"/>
  <c r="P143" i="2" a="1"/>
  <c r="P143" i="2"/>
  <c r="P144" i="2" a="1"/>
  <c r="P144" i="2"/>
  <c r="P145" i="2" a="1"/>
  <c r="P145" i="2"/>
  <c r="P146" i="2" a="1"/>
  <c r="P146" i="2"/>
  <c r="P147" i="2" a="1"/>
  <c r="P147" i="2"/>
  <c r="P148" i="2" a="1"/>
  <c r="P148" i="2"/>
  <c r="P149" i="2" a="1"/>
  <c r="P149" i="2"/>
  <c r="P150" i="2" a="1"/>
  <c r="P150" i="2"/>
  <c r="P151" i="2" a="1"/>
  <c r="P151" i="2"/>
  <c r="P152" i="2" a="1"/>
  <c r="P152" i="2"/>
  <c r="P153" i="2" a="1"/>
  <c r="P153" i="2"/>
  <c r="P154" i="2" a="1"/>
  <c r="P154" i="2"/>
  <c r="P155" i="2" a="1"/>
  <c r="P155" i="2"/>
  <c r="P156" i="2" a="1"/>
  <c r="P156" i="2"/>
  <c r="P157" i="2" a="1"/>
  <c r="P157" i="2"/>
  <c r="P158" i="2" a="1"/>
  <c r="P158" i="2"/>
  <c r="P159" i="2" a="1"/>
  <c r="P159" i="2"/>
  <c r="P160" i="2" a="1"/>
  <c r="P160" i="2"/>
  <c r="P161" i="2" a="1"/>
  <c r="P161" i="2"/>
  <c r="P162" i="2" a="1"/>
  <c r="P162" i="2"/>
  <c r="P163" i="2" a="1"/>
  <c r="P163" i="2"/>
  <c r="P164" i="2" a="1"/>
  <c r="P164" i="2"/>
  <c r="P165" i="2" a="1"/>
  <c r="P165" i="2"/>
  <c r="P166" i="2" a="1"/>
  <c r="P166" i="2"/>
  <c r="P167" i="2" a="1"/>
  <c r="P167" i="2"/>
  <c r="P168" i="2" a="1"/>
  <c r="P168" i="2"/>
  <c r="P169" i="2" a="1"/>
  <c r="P169" i="2"/>
  <c r="P170" i="2" a="1"/>
  <c r="P170" i="2"/>
  <c r="P171" i="2" a="1"/>
  <c r="P171" i="2"/>
  <c r="P172" i="2" a="1"/>
  <c r="P172" i="2"/>
  <c r="P173" i="2" a="1"/>
  <c r="P173" i="2"/>
  <c r="P174" i="2" a="1"/>
  <c r="P174" i="2"/>
  <c r="P175" i="2" a="1"/>
  <c r="P175" i="2"/>
  <c r="P176" i="2" a="1"/>
  <c r="P176" i="2"/>
  <c r="P177" i="2" a="1"/>
  <c r="P177" i="2"/>
  <c r="P178" i="2" a="1"/>
  <c r="P178" i="2"/>
  <c r="P179" i="2" a="1"/>
  <c r="P179" i="2"/>
  <c r="P180" i="2" a="1"/>
  <c r="P180" i="2"/>
  <c r="P181" i="2" a="1"/>
  <c r="P181" i="2"/>
  <c r="P182" i="2" a="1"/>
  <c r="P182" i="2"/>
  <c r="P183" i="2" a="1"/>
  <c r="P183" i="2"/>
  <c r="P184" i="2" a="1"/>
  <c r="P184" i="2"/>
  <c r="P185" i="2" a="1"/>
  <c r="P185" i="2"/>
  <c r="P186" i="2" a="1"/>
  <c r="P186" i="2"/>
  <c r="P187" i="2" a="1"/>
  <c r="P187" i="2"/>
  <c r="P188" i="2" a="1"/>
  <c r="P188" i="2"/>
  <c r="P189" i="2" a="1"/>
  <c r="P189" i="2"/>
  <c r="P190" i="2" a="1"/>
  <c r="P190" i="2"/>
  <c r="P191" i="2" a="1"/>
  <c r="P191" i="2"/>
  <c r="P192" i="2" a="1"/>
  <c r="P192" i="2"/>
  <c r="P193" i="2" a="1"/>
  <c r="P193" i="2"/>
  <c r="P194" i="2" a="1"/>
  <c r="P194" i="2"/>
  <c r="P195" i="2" a="1"/>
  <c r="P195" i="2"/>
  <c r="P196" i="2" a="1"/>
  <c r="P196" i="2"/>
  <c r="P197" i="2" a="1"/>
  <c r="P197" i="2"/>
  <c r="P198" i="2" a="1"/>
  <c r="P198" i="2"/>
  <c r="P199" i="2" a="1"/>
  <c r="P199" i="2"/>
  <c r="P200" i="2" a="1"/>
  <c r="P200" i="2"/>
  <c r="P201" i="2" a="1"/>
  <c r="P201" i="2"/>
  <c r="P202" i="2" a="1"/>
  <c r="P202" i="2"/>
  <c r="P203" i="2" a="1"/>
  <c r="P203" i="2"/>
  <c r="P204" i="2" a="1"/>
  <c r="P204" i="2"/>
  <c r="P205" i="2" a="1"/>
  <c r="P205" i="2"/>
  <c r="P206" i="2" a="1"/>
  <c r="P206" i="2"/>
  <c r="P207" i="2" a="1"/>
  <c r="P207" i="2"/>
  <c r="P208" i="2" a="1"/>
  <c r="P208" i="2"/>
  <c r="P209" i="2" a="1"/>
  <c r="P209" i="2"/>
  <c r="P210" i="2" a="1"/>
  <c r="P210" i="2"/>
  <c r="P211" i="2" a="1"/>
  <c r="P211" i="2"/>
  <c r="P212" i="2" a="1"/>
  <c r="P212" i="2"/>
  <c r="P213" i="2" a="1"/>
  <c r="P213" i="2"/>
  <c r="P214" i="2" a="1"/>
  <c r="P214" i="2"/>
  <c r="P215" i="2" a="1"/>
  <c r="P215" i="2"/>
  <c r="P216" i="2" a="1"/>
  <c r="P216" i="2"/>
  <c r="P217" i="2" a="1"/>
  <c r="P217" i="2"/>
  <c r="P218" i="2" a="1"/>
  <c r="P218" i="2"/>
  <c r="P219" i="2" a="1"/>
  <c r="P219" i="2"/>
  <c r="P220" i="2" a="1"/>
  <c r="P220" i="2"/>
  <c r="P221" i="2" a="1"/>
  <c r="P221" i="2"/>
  <c r="P222" i="2" a="1"/>
  <c r="P222" i="2"/>
  <c r="P223" i="2" a="1"/>
  <c r="P223" i="2"/>
  <c r="P224" i="2" a="1"/>
  <c r="P224" i="2"/>
  <c r="P225" i="2" a="1"/>
  <c r="P225" i="2"/>
  <c r="P226" i="2" a="1"/>
  <c r="P226" i="2"/>
  <c r="P227" i="2" a="1"/>
  <c r="P227" i="2"/>
  <c r="P228" i="2" a="1"/>
  <c r="P228" i="2"/>
  <c r="P229" i="2" a="1"/>
  <c r="P229" i="2"/>
  <c r="P230" i="2" a="1"/>
  <c r="P230" i="2"/>
  <c r="P231" i="2" a="1"/>
  <c r="P231" i="2"/>
  <c r="P232" i="2" a="1"/>
  <c r="P232" i="2"/>
  <c r="P233" i="2" a="1"/>
  <c r="P233" i="2"/>
  <c r="P234" i="2" a="1"/>
  <c r="P234" i="2"/>
  <c r="P235" i="2" a="1"/>
  <c r="P235" i="2"/>
  <c r="P236" i="2" a="1"/>
  <c r="P236" i="2"/>
  <c r="P237" i="2" a="1"/>
  <c r="P237" i="2"/>
  <c r="P238" i="2" a="1"/>
  <c r="P238" i="2"/>
  <c r="P239" i="2" a="1"/>
  <c r="P239" i="2"/>
  <c r="P240" i="2" a="1"/>
  <c r="P240" i="2"/>
  <c r="P241" i="2" a="1"/>
  <c r="P241" i="2"/>
  <c r="P242" i="2" a="1"/>
  <c r="P242" i="2"/>
  <c r="P243" i="2" a="1"/>
  <c r="P243" i="2"/>
  <c r="P244" i="2" a="1"/>
  <c r="P244" i="2"/>
  <c r="P245" i="2" a="1"/>
  <c r="P245" i="2"/>
  <c r="P246" i="2" a="1"/>
  <c r="P246" i="2"/>
  <c r="P247" i="2" a="1"/>
  <c r="P247" i="2"/>
  <c r="P248" i="2" a="1"/>
  <c r="P248" i="2"/>
  <c r="P249" i="2" a="1"/>
  <c r="P249" i="2"/>
  <c r="P250" i="2" a="1"/>
  <c r="P250" i="2"/>
  <c r="P251" i="2" a="1"/>
  <c r="P251" i="2"/>
  <c r="P252" i="2" a="1"/>
  <c r="P252" i="2"/>
  <c r="P253" i="2" a="1"/>
  <c r="P253" i="2"/>
  <c r="P254" i="2" a="1"/>
  <c r="P254" i="2"/>
  <c r="P255" i="2" a="1"/>
  <c r="P255" i="2"/>
  <c r="P256" i="2" a="1"/>
  <c r="P256" i="2"/>
  <c r="P257" i="2" a="1"/>
  <c r="P257" i="2"/>
  <c r="P258" i="2" a="1"/>
  <c r="P258" i="2"/>
  <c r="P259" i="2" a="1"/>
  <c r="P259" i="2"/>
  <c r="P260" i="2" a="1"/>
  <c r="P260" i="2"/>
  <c r="P261" i="2" a="1"/>
  <c r="P261" i="2"/>
  <c r="P262" i="2" a="1"/>
  <c r="P262" i="2"/>
  <c r="P263" i="2" a="1"/>
  <c r="P263" i="2"/>
  <c r="P264" i="2" a="1"/>
  <c r="P264" i="2"/>
  <c r="P265" i="2" a="1"/>
  <c r="P265" i="2"/>
  <c r="P266" i="2" a="1"/>
  <c r="P266" i="2"/>
  <c r="P267" i="2" a="1"/>
  <c r="P267" i="2"/>
  <c r="P268" i="2" a="1"/>
  <c r="P268" i="2"/>
  <c r="P269" i="2" a="1"/>
  <c r="P269" i="2"/>
  <c r="P270" i="2" a="1"/>
  <c r="P270" i="2"/>
  <c r="P271" i="2" a="1"/>
  <c r="P271" i="2"/>
  <c r="P272" i="2" a="1"/>
  <c r="P272" i="2"/>
  <c r="P273" i="2" a="1"/>
  <c r="P273" i="2"/>
  <c r="P274" i="2" a="1"/>
  <c r="P274" i="2"/>
  <c r="P275" i="2" a="1"/>
  <c r="P275" i="2"/>
  <c r="P276" i="2" a="1"/>
  <c r="P276" i="2"/>
  <c r="P277" i="2" a="1"/>
  <c r="P277" i="2"/>
  <c r="P278" i="2" a="1"/>
  <c r="P278" i="2"/>
  <c r="P279" i="2" a="1"/>
  <c r="P279" i="2"/>
  <c r="P280" i="2" a="1"/>
  <c r="P280" i="2"/>
  <c r="P281" i="2" a="1"/>
  <c r="P281" i="2"/>
  <c r="P282" i="2" a="1"/>
  <c r="P282" i="2"/>
  <c r="P283" i="2" a="1"/>
  <c r="P283" i="2"/>
  <c r="P284" i="2" a="1"/>
  <c r="P284" i="2"/>
  <c r="P285" i="2" a="1"/>
  <c r="P285" i="2"/>
  <c r="P286" i="2" a="1"/>
  <c r="P286" i="2"/>
  <c r="P287" i="2" a="1"/>
  <c r="P287" i="2"/>
  <c r="P288" i="2" a="1"/>
  <c r="P288" i="2"/>
  <c r="P289" i="2" a="1"/>
  <c r="P289" i="2"/>
  <c r="P290" i="2" a="1"/>
  <c r="P290" i="2"/>
  <c r="P291" i="2" a="1"/>
  <c r="P291" i="2"/>
  <c r="P292" i="2" a="1"/>
  <c r="P292" i="2"/>
  <c r="P293" i="2" a="1"/>
  <c r="P293" i="2"/>
  <c r="P294" i="2" a="1"/>
  <c r="P294" i="2"/>
  <c r="P295" i="2" a="1"/>
  <c r="P295" i="2"/>
  <c r="P296" i="2" a="1"/>
  <c r="P296" i="2"/>
  <c r="P297" i="2" a="1"/>
  <c r="P297" i="2"/>
  <c r="P298" i="2" a="1"/>
  <c r="P298" i="2"/>
  <c r="P299" i="2" a="1"/>
  <c r="P299" i="2"/>
  <c r="P300" i="2" a="1"/>
  <c r="P300" i="2"/>
  <c r="P301" i="2" a="1"/>
  <c r="P301" i="2"/>
  <c r="P302" i="2" a="1"/>
  <c r="P302" i="2"/>
  <c r="P303" i="2" a="1"/>
  <c r="P303" i="2"/>
  <c r="P304" i="2" a="1"/>
  <c r="P304" i="2"/>
  <c r="P305" i="2" a="1"/>
  <c r="P305" i="2"/>
  <c r="P306" i="2" a="1"/>
  <c r="P306" i="2"/>
  <c r="P307" i="2" a="1"/>
  <c r="P307" i="2"/>
  <c r="P308" i="2" a="1"/>
  <c r="P308" i="2"/>
  <c r="P309" i="2" a="1"/>
  <c r="P309" i="2"/>
  <c r="P310" i="2" a="1"/>
  <c r="P310" i="2"/>
  <c r="P311" i="2" a="1"/>
  <c r="P311" i="2"/>
  <c r="P312" i="2" a="1"/>
  <c r="P312" i="2"/>
  <c r="P313" i="2" a="1"/>
  <c r="P313" i="2"/>
  <c r="P314" i="2" a="1"/>
  <c r="P314" i="2"/>
  <c r="P315" i="2" a="1"/>
  <c r="P315" i="2"/>
  <c r="P316" i="2" a="1"/>
  <c r="P316" i="2"/>
  <c r="P317" i="2" a="1"/>
  <c r="P317" i="2"/>
  <c r="P318" i="2" a="1"/>
  <c r="P318" i="2"/>
  <c r="P319" i="2" a="1"/>
  <c r="P319" i="2"/>
  <c r="P320" i="2" a="1"/>
  <c r="P320" i="2"/>
  <c r="P321" i="2" a="1"/>
  <c r="P321" i="2"/>
  <c r="P322" i="2" a="1"/>
  <c r="P322" i="2"/>
  <c r="P323" i="2" a="1"/>
  <c r="P323" i="2"/>
  <c r="P324" i="2" a="1"/>
  <c r="P324" i="2"/>
  <c r="P325" i="2" a="1"/>
  <c r="P325" i="2"/>
  <c r="P326" i="2" a="1"/>
  <c r="P326" i="2"/>
  <c r="P327" i="2" a="1"/>
  <c r="P327" i="2"/>
  <c r="P328" i="2" a="1"/>
  <c r="P328" i="2"/>
  <c r="P329" i="2" a="1"/>
  <c r="P329" i="2"/>
  <c r="P330" i="2" a="1"/>
  <c r="P330" i="2"/>
  <c r="P331" i="2" a="1"/>
  <c r="P331" i="2"/>
  <c r="P332" i="2" a="1"/>
  <c r="P332" i="2"/>
  <c r="P333" i="2" a="1"/>
  <c r="P333" i="2"/>
  <c r="P334" i="2" a="1"/>
  <c r="P334" i="2"/>
  <c r="P335" i="2" a="1"/>
  <c r="P335" i="2"/>
  <c r="P336" i="2" a="1"/>
  <c r="P336" i="2"/>
  <c r="P337" i="2" a="1"/>
  <c r="P337" i="2"/>
  <c r="P338" i="2" a="1"/>
  <c r="P338" i="2"/>
  <c r="P339" i="2" a="1"/>
  <c r="P339" i="2"/>
  <c r="P340" i="2" a="1"/>
  <c r="P340" i="2"/>
  <c r="P341" i="2" a="1"/>
  <c r="P341" i="2"/>
  <c r="P342" i="2" a="1"/>
  <c r="P342" i="2"/>
  <c r="P343" i="2" a="1"/>
  <c r="P343" i="2"/>
  <c r="P344" i="2" a="1"/>
  <c r="P344" i="2"/>
  <c r="P345" i="2" a="1"/>
  <c r="P345" i="2"/>
  <c r="P346" i="2" a="1"/>
  <c r="P346" i="2"/>
  <c r="P347" i="2" a="1"/>
  <c r="P347" i="2"/>
  <c r="P348" i="2" a="1"/>
  <c r="P348" i="2"/>
  <c r="P349" i="2" a="1"/>
  <c r="P349" i="2"/>
  <c r="P350" i="2" a="1"/>
  <c r="P350" i="2"/>
  <c r="P351" i="2" a="1"/>
  <c r="P351" i="2"/>
  <c r="P352" i="2" a="1"/>
  <c r="P352" i="2"/>
  <c r="P353" i="2" a="1"/>
  <c r="P353" i="2"/>
  <c r="P354" i="2" a="1"/>
  <c r="P354" i="2"/>
  <c r="P355" i="2" a="1"/>
  <c r="P355" i="2"/>
  <c r="P356" i="2" a="1"/>
  <c r="P356" i="2"/>
  <c r="P357" i="2" a="1"/>
  <c r="P357" i="2"/>
  <c r="P358" i="2" a="1"/>
  <c r="P358" i="2"/>
  <c r="P359" i="2" a="1"/>
  <c r="P359" i="2"/>
  <c r="P360" i="2" a="1"/>
  <c r="P360" i="2"/>
  <c r="P361" i="2" a="1"/>
  <c r="P361" i="2"/>
  <c r="P362" i="2" a="1"/>
  <c r="P362" i="2"/>
  <c r="P363" i="2" a="1"/>
  <c r="P363" i="2"/>
  <c r="P364" i="2" a="1"/>
  <c r="P364" i="2"/>
  <c r="P365" i="2" a="1"/>
  <c r="P365" i="2"/>
  <c r="P366" i="2" a="1"/>
  <c r="P366" i="2"/>
  <c r="P367" i="2" a="1"/>
  <c r="P367" i="2"/>
  <c r="P368" i="2" a="1"/>
  <c r="P368" i="2"/>
  <c r="P369" i="2" a="1"/>
  <c r="P369" i="2"/>
  <c r="P370" i="2" a="1"/>
  <c r="P370" i="2"/>
  <c r="P371" i="2" a="1"/>
  <c r="P371" i="2"/>
  <c r="P372" i="2" a="1"/>
  <c r="P372" i="2"/>
  <c r="P373" i="2" a="1"/>
  <c r="P373" i="2"/>
  <c r="P374" i="2" a="1"/>
  <c r="P374" i="2"/>
  <c r="P375" i="2" a="1"/>
  <c r="P375" i="2"/>
  <c r="P376" i="2" a="1"/>
  <c r="P376" i="2"/>
  <c r="P377" i="2" a="1"/>
  <c r="P377" i="2"/>
  <c r="P378" i="2" a="1"/>
  <c r="P378" i="2"/>
  <c r="P379" i="2" a="1"/>
  <c r="P379" i="2"/>
  <c r="P380" i="2" a="1"/>
  <c r="P380" i="2"/>
  <c r="P381" i="2" a="1"/>
  <c r="P381" i="2"/>
  <c r="P382" i="2" a="1"/>
  <c r="P382" i="2"/>
  <c r="P383" i="2" a="1"/>
  <c r="P383" i="2"/>
  <c r="P384" i="2" a="1"/>
  <c r="P384" i="2"/>
  <c r="P385" i="2" a="1"/>
  <c r="P385" i="2"/>
  <c r="P386" i="2" a="1"/>
  <c r="P386" i="2"/>
  <c r="P387" i="2" a="1"/>
  <c r="P387" i="2"/>
  <c r="P388" i="2" a="1"/>
  <c r="P388" i="2"/>
  <c r="P389" i="2" a="1"/>
  <c r="P389" i="2"/>
  <c r="P390" i="2" a="1"/>
  <c r="P390" i="2"/>
  <c r="P391" i="2" a="1"/>
  <c r="P391" i="2"/>
  <c r="P392" i="2" a="1"/>
  <c r="P392" i="2"/>
  <c r="P393" i="2" a="1"/>
  <c r="P393" i="2"/>
  <c r="P394" i="2" a="1"/>
  <c r="P394" i="2"/>
  <c r="P395" i="2" a="1"/>
  <c r="P395" i="2"/>
  <c r="P396" i="2" a="1"/>
  <c r="P396" i="2"/>
  <c r="P397" i="2" a="1"/>
  <c r="P397" i="2"/>
  <c r="P398" i="2" a="1"/>
  <c r="P398" i="2"/>
  <c r="P399" i="2" a="1"/>
  <c r="P399" i="2"/>
  <c r="P400" i="2" a="1"/>
  <c r="P400" i="2"/>
  <c r="P401" i="2" a="1"/>
  <c r="P401" i="2"/>
  <c r="P402" i="2" a="1"/>
  <c r="P402" i="2"/>
  <c r="P403" i="2" a="1"/>
  <c r="P403" i="2"/>
  <c r="P404" i="2" a="1"/>
  <c r="P404" i="2"/>
  <c r="P405" i="2" a="1"/>
  <c r="P405" i="2"/>
  <c r="P406" i="2" a="1"/>
  <c r="P406" i="2"/>
  <c r="P407" i="2" a="1"/>
  <c r="P407" i="2"/>
  <c r="P408" i="2" a="1"/>
  <c r="P408" i="2"/>
  <c r="P409" i="2" a="1"/>
  <c r="P409" i="2"/>
  <c r="P410" i="2" a="1"/>
  <c r="P410" i="2"/>
  <c r="P411" i="2" a="1"/>
  <c r="P411" i="2"/>
  <c r="P412" i="2" a="1"/>
  <c r="P412" i="2"/>
  <c r="P413" i="2" a="1"/>
  <c r="P413" i="2"/>
  <c r="P414" i="2" a="1"/>
  <c r="P414" i="2"/>
  <c r="P415" i="2" a="1"/>
  <c r="P415" i="2"/>
  <c r="P416" i="2" a="1"/>
  <c r="P416" i="2"/>
  <c r="P417" i="2" a="1"/>
  <c r="P417" i="2"/>
  <c r="P418" i="2" a="1"/>
  <c r="P418" i="2"/>
  <c r="P419" i="2" a="1"/>
  <c r="P419" i="2"/>
  <c r="P420" i="2" a="1"/>
  <c r="P420" i="2"/>
  <c r="P421" i="2" a="1"/>
  <c r="P421" i="2"/>
  <c r="P422" i="2" a="1"/>
  <c r="P422" i="2"/>
  <c r="P423" i="2" a="1"/>
  <c r="P423" i="2"/>
  <c r="P424" i="2" a="1"/>
  <c r="P424" i="2"/>
  <c r="P425" i="2" a="1"/>
  <c r="P425" i="2"/>
  <c r="P426" i="2" a="1"/>
  <c r="P426" i="2"/>
  <c r="P427" i="2" a="1"/>
  <c r="P427" i="2"/>
  <c r="P428" i="2" a="1"/>
  <c r="P428" i="2"/>
  <c r="P429" i="2" a="1"/>
  <c r="P429" i="2"/>
  <c r="P430" i="2" a="1"/>
  <c r="P430" i="2"/>
  <c r="P431" i="2" a="1"/>
  <c r="P431" i="2"/>
  <c r="P432" i="2" a="1"/>
  <c r="P432" i="2"/>
  <c r="P433" i="2" a="1"/>
  <c r="P433" i="2"/>
  <c r="P434" i="2" a="1"/>
  <c r="P434" i="2"/>
  <c r="P435" i="2" a="1"/>
  <c r="P435" i="2"/>
  <c r="P436" i="2" a="1"/>
  <c r="P436" i="2"/>
  <c r="P437" i="2" a="1"/>
  <c r="P437" i="2"/>
  <c r="P438" i="2" a="1"/>
  <c r="P438" i="2"/>
  <c r="P439" i="2" a="1"/>
  <c r="P439" i="2"/>
  <c r="P440" i="2" a="1"/>
  <c r="P440" i="2"/>
  <c r="P441" i="2" a="1"/>
  <c r="P441" i="2"/>
  <c r="P442" i="2" a="1"/>
  <c r="P442" i="2"/>
  <c r="P443" i="2" a="1"/>
  <c r="P443" i="2"/>
  <c r="P444" i="2" a="1"/>
  <c r="P444" i="2"/>
  <c r="P445" i="2" a="1"/>
  <c r="P445" i="2"/>
  <c r="P446" i="2" a="1"/>
  <c r="P446" i="2"/>
  <c r="P447" i="2" a="1"/>
  <c r="P447" i="2"/>
  <c r="P448" i="2" a="1"/>
  <c r="P448" i="2"/>
  <c r="P449" i="2" a="1"/>
  <c r="P449" i="2"/>
  <c r="P450" i="2" a="1"/>
  <c r="P450" i="2"/>
  <c r="P451" i="2" a="1"/>
  <c r="P451" i="2"/>
  <c r="P452" i="2" a="1"/>
  <c r="P452" i="2"/>
  <c r="P453" i="2" a="1"/>
  <c r="P453" i="2"/>
  <c r="P454" i="2" a="1"/>
  <c r="P454" i="2"/>
  <c r="P455" i="2" a="1"/>
  <c r="P455" i="2"/>
  <c r="P456" i="2" a="1"/>
  <c r="P456" i="2"/>
  <c r="P457" i="2" a="1"/>
  <c r="P457" i="2"/>
  <c r="P458" i="2" a="1"/>
  <c r="P458" i="2"/>
  <c r="P459" i="2" a="1"/>
  <c r="P459" i="2"/>
  <c r="P460" i="2" a="1"/>
  <c r="P460" i="2"/>
  <c r="P461" i="2" a="1"/>
  <c r="P461" i="2"/>
  <c r="P462" i="2" a="1"/>
  <c r="P462" i="2"/>
  <c r="P463" i="2" a="1"/>
  <c r="P463" i="2"/>
  <c r="P464" i="2" a="1"/>
  <c r="P464" i="2"/>
  <c r="P465" i="2" a="1"/>
  <c r="P465" i="2"/>
  <c r="P466" i="2" a="1"/>
  <c r="P466" i="2"/>
  <c r="P467" i="2" a="1"/>
  <c r="P467" i="2"/>
  <c r="P468" i="2" a="1"/>
  <c r="P468" i="2"/>
  <c r="P469" i="2" a="1"/>
  <c r="P469" i="2"/>
  <c r="P470" i="2" a="1"/>
  <c r="P470" i="2"/>
  <c r="P471" i="2" a="1"/>
  <c r="P471" i="2"/>
  <c r="P472" i="2" a="1"/>
  <c r="P472" i="2"/>
  <c r="P473" i="2" a="1"/>
  <c r="P473" i="2"/>
  <c r="P474" i="2" a="1"/>
  <c r="P474" i="2"/>
  <c r="P475" i="2" a="1"/>
  <c r="P475" i="2"/>
  <c r="P476" i="2" a="1"/>
  <c r="P476" i="2"/>
  <c r="P477" i="2" a="1"/>
  <c r="P477" i="2"/>
  <c r="P478" i="2" a="1"/>
  <c r="P478" i="2"/>
  <c r="P479" i="2" a="1"/>
  <c r="P479" i="2"/>
  <c r="P480" i="2" a="1"/>
  <c r="P480" i="2"/>
  <c r="P481" i="2" a="1"/>
  <c r="P481" i="2"/>
  <c r="P482" i="2" a="1"/>
  <c r="P482" i="2"/>
  <c r="P483" i="2" a="1"/>
  <c r="P483" i="2"/>
  <c r="P484" i="2" a="1"/>
  <c r="P484" i="2"/>
  <c r="P485" i="2" a="1"/>
  <c r="P485" i="2"/>
  <c r="P486" i="2" a="1"/>
  <c r="P486" i="2"/>
  <c r="P487" i="2" a="1"/>
  <c r="P487" i="2"/>
  <c r="P488" i="2" a="1"/>
  <c r="P488" i="2"/>
  <c r="P489" i="2" a="1"/>
  <c r="P489" i="2"/>
  <c r="P490" i="2" a="1"/>
  <c r="P490" i="2"/>
  <c r="P491" i="2" a="1"/>
  <c r="P491" i="2"/>
  <c r="P492" i="2" a="1"/>
  <c r="P492" i="2"/>
  <c r="P493" i="2" a="1"/>
  <c r="P493" i="2"/>
  <c r="P494" i="2" a="1"/>
  <c r="P494" i="2"/>
  <c r="P495" i="2" a="1"/>
  <c r="P495" i="2"/>
  <c r="P496" i="2" a="1"/>
  <c r="P496" i="2"/>
  <c r="P497" i="2" a="1"/>
  <c r="P497" i="2"/>
  <c r="P498" i="2" a="1"/>
  <c r="P498" i="2"/>
  <c r="P499" i="2" a="1"/>
  <c r="P499" i="2"/>
  <c r="P500" i="2" a="1"/>
  <c r="P500" i="2"/>
  <c r="P501" i="2" a="1"/>
  <c r="P501" i="2"/>
  <c r="P502" i="2" a="1"/>
  <c r="P502" i="2"/>
  <c r="P503" i="2" a="1"/>
  <c r="P503" i="2"/>
  <c r="P504" i="2" a="1"/>
  <c r="P504" i="2"/>
  <c r="P505" i="2" a="1"/>
  <c r="P505" i="2"/>
  <c r="P506" i="2" a="1"/>
  <c r="P506" i="2"/>
  <c r="P507" i="2" a="1"/>
  <c r="P507" i="2"/>
  <c r="P508" i="2" a="1"/>
  <c r="P508" i="2"/>
  <c r="P509" i="2" a="1"/>
  <c r="P509" i="2"/>
  <c r="P510" i="2" a="1"/>
  <c r="P510" i="2"/>
  <c r="P511" i="2" a="1"/>
  <c r="P511" i="2"/>
  <c r="P512" i="2" a="1"/>
  <c r="P512" i="2"/>
  <c r="P513" i="2" a="1"/>
  <c r="P513" i="2"/>
  <c r="P514" i="2" a="1"/>
  <c r="P514" i="2"/>
  <c r="P515" i="2" a="1"/>
  <c r="P515" i="2"/>
  <c r="P516" i="2" a="1"/>
  <c r="P516" i="2"/>
  <c r="P517" i="2" a="1"/>
  <c r="P517" i="2"/>
  <c r="P518" i="2" a="1"/>
  <c r="P518" i="2"/>
  <c r="P519" i="2" a="1"/>
  <c r="P519" i="2"/>
  <c r="P520" i="2" a="1"/>
  <c r="P520" i="2"/>
  <c r="P521" i="2" a="1"/>
  <c r="P521" i="2"/>
  <c r="P522" i="2" a="1"/>
  <c r="P522" i="2"/>
  <c r="P523" i="2" a="1"/>
  <c r="P523" i="2"/>
  <c r="P524" i="2" a="1"/>
  <c r="P524" i="2"/>
  <c r="P525" i="2" a="1"/>
  <c r="P525" i="2"/>
  <c r="P526" i="2" a="1"/>
  <c r="P526" i="2"/>
  <c r="P527" i="2" a="1"/>
  <c r="P527" i="2"/>
  <c r="P528" i="2" a="1"/>
  <c r="P528" i="2"/>
  <c r="P529" i="2" a="1"/>
  <c r="P529" i="2"/>
  <c r="P530" i="2" a="1"/>
  <c r="P530" i="2"/>
  <c r="P531" i="2" a="1"/>
  <c r="P531" i="2"/>
  <c r="P532" i="2" a="1"/>
  <c r="P532" i="2"/>
  <c r="P533" i="2" a="1"/>
  <c r="P533" i="2"/>
  <c r="P534" i="2" a="1"/>
  <c r="P534" i="2"/>
  <c r="P535" i="2" a="1"/>
  <c r="P535" i="2"/>
  <c r="P536" i="2" a="1"/>
  <c r="P536" i="2"/>
  <c r="P537" i="2" a="1"/>
  <c r="P537" i="2"/>
  <c r="P538" i="2" a="1"/>
  <c r="P538" i="2"/>
  <c r="P539" i="2" a="1"/>
  <c r="P539" i="2"/>
  <c r="P540" i="2" a="1"/>
  <c r="P540" i="2"/>
  <c r="P541" i="2" a="1"/>
  <c r="P541" i="2"/>
  <c r="P542" i="2" a="1"/>
  <c r="P542" i="2"/>
  <c r="P543" i="2" a="1"/>
  <c r="P543" i="2"/>
  <c r="P544" i="2" a="1"/>
  <c r="P544" i="2"/>
  <c r="P545" i="2" a="1"/>
  <c r="P545" i="2"/>
  <c r="P546" i="2" a="1"/>
  <c r="P546" i="2"/>
  <c r="P547" i="2" a="1"/>
  <c r="P547" i="2"/>
  <c r="P548" i="2" a="1"/>
  <c r="P548" i="2"/>
  <c r="P549" i="2" a="1"/>
  <c r="P549" i="2"/>
  <c r="P550" i="2" a="1"/>
  <c r="P550" i="2"/>
  <c r="P551" i="2" a="1"/>
  <c r="P551" i="2"/>
  <c r="P552" i="2" a="1"/>
  <c r="P552" i="2"/>
  <c r="P553" i="2" a="1"/>
  <c r="P553" i="2"/>
  <c r="P554" i="2" a="1"/>
  <c r="P554" i="2"/>
  <c r="P555" i="2" a="1"/>
  <c r="P555" i="2"/>
  <c r="P556" i="2" a="1"/>
  <c r="P556" i="2"/>
  <c r="P557" i="2" a="1"/>
  <c r="P557" i="2"/>
  <c r="P558" i="2" a="1"/>
  <c r="P558" i="2"/>
  <c r="P559" i="2" a="1"/>
  <c r="P559" i="2"/>
  <c r="P560" i="2" a="1"/>
  <c r="P560" i="2"/>
  <c r="P561" i="2" a="1"/>
  <c r="P561" i="2"/>
  <c r="P562" i="2" a="1"/>
  <c r="P562" i="2"/>
  <c r="P563" i="2" a="1"/>
  <c r="P563" i="2"/>
  <c r="P564" i="2" a="1"/>
  <c r="P564" i="2"/>
  <c r="P565" i="2" a="1"/>
  <c r="P565" i="2"/>
  <c r="P566" i="2" a="1"/>
  <c r="P566" i="2"/>
  <c r="P567" i="2" a="1"/>
  <c r="P567" i="2"/>
  <c r="P568" i="2" a="1"/>
  <c r="P568" i="2"/>
  <c r="P569" i="2" a="1"/>
  <c r="P569" i="2"/>
  <c r="P570" i="2" a="1"/>
  <c r="P570" i="2"/>
  <c r="P571" i="2" a="1"/>
  <c r="P571" i="2"/>
  <c r="P572" i="2" a="1"/>
  <c r="P572" i="2"/>
  <c r="P573" i="2" a="1"/>
  <c r="P573" i="2"/>
  <c r="P574" i="2" a="1"/>
  <c r="P574" i="2"/>
  <c r="P575" i="2" a="1"/>
  <c r="P575" i="2"/>
  <c r="P576" i="2" a="1"/>
  <c r="P576" i="2"/>
  <c r="P577" i="2" a="1"/>
  <c r="P577" i="2"/>
  <c r="P578" i="2" a="1"/>
  <c r="P578" i="2"/>
  <c r="P579" i="2" a="1"/>
  <c r="P579" i="2"/>
  <c r="P580" i="2" a="1"/>
  <c r="P580" i="2"/>
  <c r="P581" i="2" a="1"/>
  <c r="P581" i="2"/>
  <c r="P582" i="2" a="1"/>
  <c r="P582" i="2"/>
  <c r="P583" i="2" a="1"/>
  <c r="P583" i="2"/>
  <c r="P584" i="2" a="1"/>
  <c r="P584" i="2"/>
  <c r="P585" i="2" a="1"/>
  <c r="P585" i="2"/>
  <c r="P586" i="2" a="1"/>
  <c r="P586" i="2"/>
  <c r="P587" i="2" a="1"/>
  <c r="P587" i="2"/>
  <c r="P588" i="2" a="1"/>
  <c r="P588" i="2"/>
  <c r="P589" i="2" a="1"/>
  <c r="P589" i="2"/>
  <c r="P590" i="2" a="1"/>
  <c r="P590" i="2"/>
  <c r="P591" i="2" a="1"/>
  <c r="P591" i="2"/>
  <c r="P592" i="2" a="1"/>
  <c r="P592" i="2"/>
  <c r="P593" i="2" a="1"/>
  <c r="P593" i="2"/>
  <c r="P594" i="2" a="1"/>
  <c r="P594" i="2"/>
  <c r="P595" i="2" a="1"/>
  <c r="P595" i="2"/>
  <c r="P596" i="2" a="1"/>
  <c r="P596" i="2"/>
  <c r="P597" i="2" a="1"/>
  <c r="P597" i="2"/>
  <c r="P598" i="2" a="1"/>
  <c r="P598" i="2"/>
  <c r="P599" i="2" a="1"/>
  <c r="P599" i="2"/>
  <c r="P600" i="2" a="1"/>
  <c r="P600" i="2"/>
  <c r="P601" i="2" a="1"/>
  <c r="P601" i="2"/>
  <c r="P602" i="2" a="1"/>
  <c r="P602" i="2"/>
  <c r="P603" i="2" a="1"/>
  <c r="P603" i="2"/>
  <c r="P604" i="2" a="1"/>
  <c r="P604" i="2"/>
  <c r="P605" i="2" a="1"/>
  <c r="P605" i="2"/>
  <c r="P606" i="2" a="1"/>
  <c r="P606" i="2"/>
  <c r="P607" i="2" a="1"/>
  <c r="P607" i="2"/>
  <c r="P608" i="2" a="1"/>
  <c r="P608" i="2"/>
  <c r="P609" i="2" a="1"/>
  <c r="P609" i="2"/>
  <c r="P610" i="2" a="1"/>
  <c r="P610" i="2"/>
  <c r="P611" i="2" a="1"/>
  <c r="P611" i="2"/>
  <c r="P612" i="2" a="1"/>
  <c r="P612" i="2"/>
  <c r="P613" i="2" a="1"/>
  <c r="P613" i="2"/>
  <c r="P614" i="2" a="1"/>
  <c r="P614" i="2"/>
  <c r="P615" i="2" a="1"/>
  <c r="P615" i="2"/>
  <c r="P616" i="2" a="1"/>
  <c r="P616" i="2"/>
  <c r="P617" i="2" a="1"/>
  <c r="P617" i="2"/>
  <c r="P618" i="2" a="1"/>
  <c r="P618" i="2"/>
  <c r="P619" i="2" a="1"/>
  <c r="P619" i="2"/>
  <c r="P620" i="2" a="1"/>
  <c r="P620" i="2"/>
  <c r="P621" i="2" a="1"/>
  <c r="P621" i="2"/>
  <c r="P622" i="2" a="1"/>
  <c r="P622" i="2"/>
  <c r="P623" i="2" a="1"/>
  <c r="P623" i="2"/>
  <c r="P624" i="2" a="1"/>
  <c r="P624" i="2"/>
  <c r="P625" i="2" a="1"/>
  <c r="P625" i="2"/>
  <c r="P626" i="2" a="1"/>
  <c r="P626" i="2"/>
  <c r="P627" i="2" a="1"/>
  <c r="P627" i="2"/>
  <c r="P628" i="2" a="1"/>
  <c r="P628" i="2"/>
  <c r="P629" i="2" a="1"/>
  <c r="P629" i="2"/>
  <c r="P630" i="2" a="1"/>
  <c r="P630" i="2"/>
  <c r="P631" i="2" a="1"/>
  <c r="P631" i="2"/>
  <c r="P632" i="2" a="1"/>
  <c r="P632" i="2"/>
  <c r="P633" i="2" a="1"/>
  <c r="P633" i="2"/>
  <c r="P634" i="2" a="1"/>
  <c r="P634" i="2"/>
  <c r="P635" i="2" a="1"/>
  <c r="P635" i="2"/>
  <c r="P636" i="2" a="1"/>
  <c r="P636" i="2"/>
  <c r="P637" i="2" a="1"/>
  <c r="P637" i="2"/>
  <c r="P638" i="2" a="1"/>
  <c r="P638" i="2"/>
  <c r="P639" i="2" a="1"/>
  <c r="P639" i="2"/>
  <c r="P640" i="2" a="1"/>
  <c r="P640" i="2"/>
  <c r="P641" i="2" a="1"/>
  <c r="P641" i="2"/>
  <c r="P642" i="2" a="1"/>
  <c r="P642" i="2"/>
  <c r="P643" i="2" a="1"/>
  <c r="P643" i="2"/>
  <c r="P644" i="2" a="1"/>
  <c r="P644" i="2"/>
  <c r="P645" i="2" a="1"/>
  <c r="P645" i="2"/>
  <c r="P646" i="2" a="1"/>
  <c r="P646" i="2"/>
  <c r="P647" i="2" a="1"/>
  <c r="P647" i="2"/>
  <c r="P648" i="2" a="1"/>
  <c r="P648" i="2"/>
  <c r="P649" i="2" a="1"/>
  <c r="P649" i="2"/>
  <c r="P650" i="2" a="1"/>
  <c r="P650" i="2"/>
  <c r="P651" i="2" a="1"/>
  <c r="P651" i="2"/>
  <c r="P652" i="2" a="1"/>
  <c r="P652" i="2"/>
  <c r="P653" i="2" a="1"/>
  <c r="P653" i="2"/>
  <c r="P654" i="2" a="1"/>
  <c r="P654" i="2"/>
  <c r="P655" i="2" a="1"/>
  <c r="P655" i="2"/>
  <c r="P656" i="2" a="1"/>
  <c r="P656" i="2"/>
  <c r="P657" i="2" a="1"/>
  <c r="P657" i="2"/>
  <c r="P658" i="2" a="1"/>
  <c r="P658" i="2"/>
  <c r="P659" i="2" a="1"/>
  <c r="P659" i="2"/>
  <c r="P660" i="2" a="1"/>
  <c r="P660" i="2"/>
  <c r="P661" i="2" a="1"/>
  <c r="P661" i="2"/>
  <c r="P662" i="2" a="1"/>
  <c r="P662" i="2"/>
  <c r="P663" i="2" a="1"/>
  <c r="P663" i="2"/>
  <c r="P664" i="2" a="1"/>
  <c r="P664" i="2"/>
  <c r="P665" i="2" a="1"/>
  <c r="P665" i="2"/>
  <c r="P666" i="2" a="1"/>
  <c r="P666" i="2"/>
  <c r="P667" i="2" a="1"/>
  <c r="P667" i="2"/>
  <c r="P668" i="2" a="1"/>
  <c r="P668" i="2"/>
  <c r="P669" i="2" a="1"/>
  <c r="P669" i="2"/>
  <c r="P670" i="2" a="1"/>
  <c r="P670" i="2"/>
  <c r="P671" i="2" a="1"/>
  <c r="P671" i="2"/>
  <c r="P672" i="2" a="1"/>
  <c r="P672" i="2"/>
  <c r="P673" i="2" a="1"/>
  <c r="P673" i="2"/>
  <c r="P674" i="2" a="1"/>
  <c r="P674" i="2"/>
  <c r="P675" i="2" a="1"/>
  <c r="P675" i="2"/>
  <c r="P676" i="2" a="1"/>
  <c r="P676" i="2"/>
  <c r="P677" i="2" a="1"/>
  <c r="P677" i="2"/>
  <c r="P678" i="2" a="1"/>
  <c r="P678" i="2"/>
  <c r="P679" i="2" a="1"/>
  <c r="P679" i="2"/>
  <c r="P680" i="2" a="1"/>
  <c r="P680" i="2"/>
  <c r="P681" i="2" a="1"/>
  <c r="P681" i="2"/>
  <c r="P682" i="2" a="1"/>
  <c r="P682" i="2"/>
  <c r="P683" i="2" a="1"/>
  <c r="P683" i="2"/>
  <c r="P684" i="2" a="1"/>
  <c r="P684" i="2"/>
  <c r="P685" i="2" a="1"/>
  <c r="P685" i="2"/>
  <c r="P686" i="2" a="1"/>
  <c r="P686" i="2"/>
  <c r="P687" i="2" a="1"/>
  <c r="P687" i="2"/>
  <c r="P688" i="2" a="1"/>
  <c r="P688" i="2"/>
  <c r="P689" i="2" a="1"/>
  <c r="P689" i="2"/>
  <c r="P690" i="2" a="1"/>
  <c r="P690" i="2"/>
  <c r="P691" i="2" a="1"/>
  <c r="P691" i="2"/>
  <c r="P692" i="2" a="1"/>
  <c r="P692" i="2"/>
  <c r="P693" i="2" a="1"/>
  <c r="P693" i="2"/>
  <c r="P694" i="2" a="1"/>
  <c r="P694" i="2"/>
  <c r="P695" i="2" a="1"/>
  <c r="P695" i="2"/>
  <c r="P696" i="2" a="1"/>
  <c r="P696" i="2"/>
  <c r="P697" i="2" a="1"/>
  <c r="P697" i="2"/>
  <c r="P698" i="2" a="1"/>
  <c r="P698" i="2"/>
  <c r="P699" i="2" a="1"/>
  <c r="P699" i="2"/>
  <c r="P700" i="2" a="1"/>
  <c r="P700" i="2"/>
  <c r="P701" i="2" a="1"/>
  <c r="P701" i="2"/>
  <c r="P702" i="2" a="1"/>
  <c r="P702" i="2"/>
  <c r="P703" i="2" a="1"/>
  <c r="P703" i="2"/>
  <c r="P704" i="2" a="1"/>
  <c r="P704" i="2"/>
  <c r="P705" i="2" a="1"/>
  <c r="P705" i="2"/>
  <c r="P706" i="2" a="1"/>
  <c r="P706" i="2"/>
  <c r="P707" i="2" a="1"/>
  <c r="P707" i="2"/>
  <c r="P708" i="2" a="1"/>
  <c r="P708" i="2"/>
  <c r="P709" i="2" a="1"/>
  <c r="P709" i="2"/>
  <c r="P710" i="2" a="1"/>
  <c r="P710" i="2"/>
  <c r="P711" i="2" a="1"/>
  <c r="P711" i="2"/>
  <c r="P712" i="2" a="1"/>
  <c r="P712" i="2"/>
  <c r="P713" i="2" a="1"/>
  <c r="P713" i="2"/>
  <c r="P714" i="2" a="1"/>
  <c r="P714" i="2"/>
  <c r="P715" i="2" a="1"/>
  <c r="P715" i="2"/>
  <c r="P716" i="2" a="1"/>
  <c r="P716" i="2"/>
  <c r="P717" i="2" a="1"/>
  <c r="P717" i="2"/>
  <c r="P718" i="2" a="1"/>
  <c r="P718" i="2"/>
  <c r="P719" i="2" a="1"/>
  <c r="P719" i="2"/>
  <c r="P720" i="2" a="1"/>
  <c r="P720" i="2"/>
  <c r="P721" i="2" a="1"/>
  <c r="P721" i="2"/>
  <c r="P722" i="2" a="1"/>
  <c r="P722" i="2"/>
  <c r="P723" i="2" a="1"/>
  <c r="P723" i="2"/>
  <c r="P724" i="2" a="1"/>
  <c r="P724" i="2"/>
  <c r="P725" i="2" a="1"/>
  <c r="P725" i="2"/>
  <c r="P726" i="2" a="1"/>
  <c r="P726" i="2"/>
  <c r="P727" i="2" a="1"/>
  <c r="P727" i="2"/>
  <c r="P728" i="2" a="1"/>
  <c r="P728" i="2"/>
  <c r="P729" i="2" a="1"/>
  <c r="P729" i="2"/>
  <c r="P730" i="2" a="1"/>
  <c r="P730" i="2"/>
  <c r="P731" i="2" a="1"/>
  <c r="P731" i="2"/>
  <c r="P732" i="2" a="1"/>
  <c r="P732" i="2"/>
  <c r="P733" i="2" a="1"/>
  <c r="P733" i="2"/>
  <c r="P734" i="2" a="1"/>
  <c r="P734" i="2"/>
  <c r="P735" i="2" a="1"/>
  <c r="P735" i="2"/>
  <c r="P736" i="2" a="1"/>
  <c r="P736" i="2"/>
  <c r="P737" i="2" a="1"/>
  <c r="P737" i="2"/>
  <c r="P738" i="2" a="1"/>
  <c r="P738" i="2"/>
  <c r="P739" i="2" a="1"/>
  <c r="P739" i="2"/>
  <c r="P740" i="2" a="1"/>
  <c r="P740" i="2"/>
  <c r="P741" i="2" a="1"/>
  <c r="P741" i="2"/>
  <c r="P742" i="2" a="1"/>
  <c r="P742" i="2"/>
  <c r="P743" i="2" a="1"/>
  <c r="P743" i="2"/>
  <c r="P744" i="2" a="1"/>
  <c r="P744" i="2"/>
  <c r="P745" i="2" a="1"/>
  <c r="P745" i="2"/>
  <c r="P746" i="2" a="1"/>
  <c r="P746" i="2"/>
  <c r="P747" i="2" a="1"/>
  <c r="P747" i="2"/>
  <c r="P748" i="2" a="1"/>
  <c r="P748" i="2"/>
  <c r="P749" i="2" a="1"/>
  <c r="P749" i="2"/>
  <c r="P750" i="2" a="1"/>
  <c r="P750" i="2"/>
  <c r="P751" i="2" a="1"/>
  <c r="P751" i="2"/>
  <c r="P752" i="2" a="1"/>
  <c r="P752" i="2"/>
  <c r="P753" i="2" a="1"/>
  <c r="P753" i="2"/>
  <c r="P754" i="2" a="1"/>
  <c r="P754" i="2"/>
  <c r="P755" i="2" a="1"/>
  <c r="P755" i="2"/>
  <c r="P756" i="2" a="1"/>
  <c r="P756" i="2"/>
  <c r="P757" i="2" a="1"/>
  <c r="P757" i="2"/>
  <c r="P758" i="2" a="1"/>
  <c r="P758" i="2"/>
  <c r="P759" i="2" a="1"/>
  <c r="P759" i="2"/>
  <c r="P760" i="2" a="1"/>
  <c r="P760" i="2"/>
  <c r="P761" i="2" a="1"/>
  <c r="P761" i="2"/>
  <c r="P762" i="2" a="1"/>
  <c r="P762" i="2"/>
  <c r="P763" i="2" a="1"/>
  <c r="P763" i="2"/>
  <c r="P764" i="2" a="1"/>
  <c r="P764" i="2"/>
  <c r="P765" i="2" a="1"/>
  <c r="P765" i="2"/>
  <c r="P766" i="2" a="1"/>
  <c r="P766" i="2"/>
  <c r="P767" i="2" a="1"/>
  <c r="P767" i="2"/>
  <c r="P768" i="2" a="1"/>
  <c r="P768" i="2"/>
  <c r="P769" i="2" a="1"/>
  <c r="P769" i="2"/>
  <c r="P770" i="2" a="1"/>
  <c r="P770" i="2"/>
  <c r="P771" i="2" a="1"/>
  <c r="P771" i="2"/>
  <c r="P772" i="2" a="1"/>
  <c r="P772" i="2"/>
  <c r="P773" i="2" a="1"/>
  <c r="P773" i="2"/>
  <c r="P774" i="2" a="1"/>
  <c r="P774" i="2"/>
  <c r="P775" i="2" a="1"/>
  <c r="P775" i="2"/>
  <c r="P776" i="2" a="1"/>
  <c r="P776" i="2"/>
  <c r="P777" i="2" a="1"/>
  <c r="P777" i="2"/>
  <c r="P778" i="2" a="1"/>
  <c r="P778" i="2"/>
  <c r="P779" i="2" a="1"/>
  <c r="P779" i="2"/>
  <c r="P780" i="2" a="1"/>
  <c r="P780" i="2"/>
  <c r="P781" i="2" a="1"/>
  <c r="P781" i="2"/>
  <c r="P782" i="2" a="1"/>
  <c r="P782" i="2"/>
  <c r="P783" i="2" a="1"/>
  <c r="P783" i="2"/>
  <c r="P784" i="2" a="1"/>
  <c r="P784" i="2"/>
  <c r="P785" i="2" a="1"/>
  <c r="P785" i="2"/>
  <c r="P786" i="2" a="1"/>
  <c r="P786" i="2"/>
  <c r="P787" i="2" a="1"/>
  <c r="P787" i="2"/>
  <c r="P788" i="2" a="1"/>
  <c r="P788" i="2"/>
  <c r="P789" i="2" a="1"/>
  <c r="P789" i="2"/>
  <c r="P790" i="2" a="1"/>
  <c r="P790" i="2"/>
  <c r="P791" i="2" a="1"/>
  <c r="P791" i="2"/>
  <c r="P792" i="2" a="1"/>
  <c r="P792" i="2"/>
  <c r="P793" i="2" a="1"/>
  <c r="P793" i="2"/>
  <c r="P794" i="2" a="1"/>
  <c r="P794" i="2"/>
  <c r="P795" i="2" a="1"/>
  <c r="P795" i="2"/>
  <c r="P796" i="2" a="1"/>
  <c r="P796" i="2"/>
  <c r="P797" i="2" a="1"/>
  <c r="P797" i="2"/>
  <c r="P798" i="2" a="1"/>
  <c r="P798" i="2"/>
  <c r="P799" i="2" a="1"/>
  <c r="P799" i="2"/>
  <c r="P800" i="2" a="1"/>
  <c r="P800" i="2"/>
  <c r="P801" i="2" a="1"/>
  <c r="P801" i="2"/>
  <c r="P802" i="2" a="1"/>
  <c r="P802" i="2"/>
  <c r="P803" i="2" a="1"/>
  <c r="P803" i="2"/>
  <c r="P804" i="2" a="1"/>
  <c r="P804" i="2"/>
  <c r="P805" i="2" a="1"/>
  <c r="P805" i="2"/>
  <c r="P806" i="2" a="1"/>
  <c r="P806" i="2"/>
  <c r="P807" i="2" a="1"/>
  <c r="P807" i="2"/>
  <c r="P808" i="2" a="1"/>
  <c r="P808" i="2"/>
  <c r="P809" i="2" a="1"/>
  <c r="P809" i="2"/>
  <c r="P810" i="2" a="1"/>
  <c r="P810" i="2"/>
  <c r="P811" i="2" a="1"/>
  <c r="P811" i="2"/>
  <c r="P812" i="2" a="1"/>
  <c r="P812" i="2"/>
  <c r="P813" i="2" a="1"/>
  <c r="P813" i="2"/>
  <c r="P814" i="2" a="1"/>
  <c r="P814" i="2"/>
  <c r="P815" i="2" a="1"/>
  <c r="P815" i="2"/>
  <c r="P816" i="2" a="1"/>
  <c r="P816" i="2"/>
  <c r="P817" i="2" a="1"/>
  <c r="P817" i="2"/>
  <c r="P818" i="2" a="1"/>
  <c r="P818" i="2"/>
  <c r="P819" i="2" a="1"/>
  <c r="P819" i="2"/>
  <c r="P820" i="2" a="1"/>
  <c r="P820" i="2"/>
  <c r="P821" i="2" a="1"/>
  <c r="P821" i="2"/>
  <c r="P822" i="2" a="1"/>
  <c r="P822" i="2"/>
  <c r="P823" i="2" a="1"/>
  <c r="P823" i="2"/>
  <c r="P824" i="2" a="1"/>
  <c r="P824" i="2"/>
  <c r="P825" i="2" a="1"/>
  <c r="P825" i="2"/>
  <c r="P826" i="2" a="1"/>
  <c r="P826" i="2"/>
  <c r="P827" i="2" a="1"/>
  <c r="P827" i="2"/>
  <c r="P828" i="2" a="1"/>
  <c r="P828" i="2"/>
  <c r="P829" i="2" a="1"/>
  <c r="P829" i="2"/>
  <c r="P830" i="2" a="1"/>
  <c r="P830" i="2"/>
  <c r="P831" i="2" a="1"/>
  <c r="P831" i="2"/>
  <c r="P832" i="2" a="1"/>
  <c r="P832" i="2"/>
  <c r="P833" i="2" a="1"/>
  <c r="P833" i="2"/>
  <c r="P834" i="2" a="1"/>
  <c r="P834" i="2"/>
  <c r="P835" i="2" a="1"/>
  <c r="P835" i="2"/>
  <c r="P836" i="2" a="1"/>
  <c r="P836" i="2"/>
  <c r="P837" i="2" a="1"/>
  <c r="P837" i="2"/>
  <c r="P838" i="2" a="1"/>
  <c r="P838" i="2"/>
  <c r="P839" i="2" a="1"/>
  <c r="P839" i="2"/>
  <c r="P840" i="2" a="1"/>
  <c r="P840" i="2"/>
  <c r="P841" i="2" a="1"/>
  <c r="P841" i="2"/>
  <c r="P842" i="2" a="1"/>
  <c r="P842" i="2"/>
  <c r="P843" i="2" a="1"/>
  <c r="P843" i="2"/>
  <c r="P844" i="2" a="1"/>
  <c r="P844" i="2"/>
  <c r="P845" i="2" a="1"/>
  <c r="P845" i="2"/>
  <c r="P846" i="2" a="1"/>
  <c r="P846" i="2"/>
  <c r="P847" i="2" a="1"/>
  <c r="P847" i="2"/>
  <c r="P848" i="2" a="1"/>
  <c r="P848" i="2"/>
  <c r="P849" i="2" a="1"/>
  <c r="P849" i="2"/>
  <c r="P850" i="2" a="1"/>
  <c r="P850" i="2"/>
  <c r="P851" i="2" a="1"/>
  <c r="P851" i="2"/>
  <c r="P852" i="2" a="1"/>
  <c r="P852" i="2"/>
  <c r="P853" i="2" a="1"/>
  <c r="P853" i="2"/>
  <c r="P854" i="2" a="1"/>
  <c r="P854" i="2"/>
  <c r="P855" i="2" a="1"/>
  <c r="P855" i="2"/>
  <c r="P856" i="2" a="1"/>
  <c r="P856" i="2"/>
  <c r="P857" i="2" a="1"/>
  <c r="P857" i="2"/>
  <c r="P858" i="2" a="1"/>
  <c r="P858" i="2"/>
  <c r="P859" i="2" a="1"/>
  <c r="P859" i="2"/>
  <c r="P860" i="2" a="1"/>
  <c r="P860" i="2"/>
  <c r="P861" i="2" a="1"/>
  <c r="P861" i="2"/>
  <c r="P862" i="2" a="1"/>
  <c r="P862" i="2"/>
  <c r="P863" i="2" a="1"/>
  <c r="P863" i="2"/>
  <c r="P864" i="2" a="1"/>
  <c r="P864" i="2"/>
  <c r="P865" i="2" a="1"/>
  <c r="P865" i="2"/>
  <c r="P866" i="2" a="1"/>
  <c r="P866" i="2"/>
  <c r="P867" i="2" a="1"/>
  <c r="P867" i="2"/>
  <c r="P868" i="2" a="1"/>
  <c r="P868" i="2"/>
  <c r="P869" i="2" a="1"/>
  <c r="P869" i="2"/>
  <c r="P870" i="2" a="1"/>
  <c r="P870" i="2"/>
  <c r="P871" i="2" a="1"/>
  <c r="P871" i="2"/>
  <c r="P872" i="2" a="1"/>
  <c r="P872" i="2"/>
  <c r="P873" i="2" a="1"/>
  <c r="P873" i="2"/>
  <c r="P874" i="2" a="1"/>
  <c r="P874" i="2"/>
  <c r="P875" i="2" a="1"/>
  <c r="P875" i="2"/>
  <c r="P876" i="2" a="1"/>
  <c r="P876" i="2"/>
  <c r="P877" i="2" a="1"/>
  <c r="P877" i="2"/>
  <c r="P878" i="2" a="1"/>
  <c r="P878" i="2"/>
  <c r="P879" i="2" a="1"/>
  <c r="P879" i="2"/>
  <c r="P880" i="2" a="1"/>
  <c r="P880" i="2"/>
  <c r="P881" i="2" a="1"/>
  <c r="P881" i="2"/>
  <c r="P882" i="2" a="1"/>
  <c r="P882" i="2"/>
  <c r="P883" i="2" a="1"/>
  <c r="P883" i="2"/>
  <c r="P884" i="2" a="1"/>
  <c r="P884" i="2"/>
  <c r="P885" i="2" a="1"/>
  <c r="P885" i="2"/>
  <c r="P886" i="2" a="1"/>
  <c r="P886" i="2"/>
  <c r="P887" i="2" a="1"/>
  <c r="P887" i="2"/>
  <c r="P888" i="2" a="1"/>
  <c r="P888" i="2"/>
  <c r="P889" i="2" a="1"/>
  <c r="P889" i="2"/>
  <c r="P890" i="2" a="1"/>
  <c r="P890" i="2"/>
  <c r="P891" i="2" a="1"/>
  <c r="P891" i="2"/>
  <c r="P892" i="2" a="1"/>
  <c r="P892" i="2"/>
  <c r="P893" i="2" a="1"/>
  <c r="P893" i="2"/>
  <c r="P894" i="2" a="1"/>
  <c r="P894" i="2"/>
  <c r="P895" i="2" a="1"/>
  <c r="P895" i="2"/>
  <c r="P896" i="2" a="1"/>
  <c r="P896" i="2"/>
  <c r="P897" i="2" a="1"/>
  <c r="P897" i="2"/>
  <c r="P898" i="2" a="1"/>
  <c r="P898" i="2"/>
  <c r="P899" i="2" a="1"/>
  <c r="P899" i="2"/>
  <c r="P900" i="2" a="1"/>
  <c r="P900" i="2"/>
  <c r="P901" i="2" a="1"/>
  <c r="P901" i="2"/>
  <c r="P902" i="2" a="1"/>
  <c r="P902" i="2"/>
  <c r="P903" i="2" a="1"/>
  <c r="P903" i="2"/>
  <c r="P904" i="2" a="1"/>
  <c r="P904" i="2"/>
  <c r="P905" i="2" a="1"/>
  <c r="P905" i="2"/>
  <c r="P906" i="2" a="1"/>
  <c r="P906" i="2"/>
  <c r="P907" i="2" a="1"/>
  <c r="P907" i="2"/>
  <c r="P908" i="2" a="1"/>
  <c r="P908" i="2"/>
  <c r="P909" i="2" a="1"/>
  <c r="P909" i="2"/>
  <c r="P910" i="2" a="1"/>
  <c r="P910" i="2"/>
  <c r="P911" i="2" a="1"/>
  <c r="P911" i="2"/>
  <c r="P912" i="2" a="1"/>
  <c r="P912" i="2"/>
  <c r="P913" i="2" a="1"/>
  <c r="P913" i="2"/>
  <c r="P914" i="2" a="1"/>
  <c r="P914" i="2"/>
  <c r="P915" i="2" a="1"/>
  <c r="P915" i="2"/>
  <c r="P916" i="2" a="1"/>
  <c r="P916" i="2"/>
  <c r="P917" i="2" a="1"/>
  <c r="P917" i="2"/>
  <c r="P918" i="2" a="1"/>
  <c r="P918" i="2"/>
  <c r="P919" i="2" a="1"/>
  <c r="P919" i="2"/>
  <c r="P920" i="2" a="1"/>
  <c r="P920" i="2"/>
  <c r="P921" i="2" a="1"/>
  <c r="P921" i="2"/>
  <c r="P922" i="2" a="1"/>
  <c r="P922" i="2"/>
  <c r="P923" i="2" a="1"/>
  <c r="P923" i="2"/>
  <c r="P924" i="2" a="1"/>
  <c r="P924" i="2"/>
  <c r="P925" i="2" a="1"/>
  <c r="P925" i="2"/>
  <c r="P926" i="2" a="1"/>
  <c r="P926" i="2"/>
  <c r="P927" i="2" a="1"/>
  <c r="P927" i="2"/>
  <c r="P928" i="2" a="1"/>
  <c r="P928" i="2"/>
  <c r="P929" i="2" a="1"/>
  <c r="P929" i="2"/>
  <c r="P930" i="2" a="1"/>
  <c r="P930" i="2"/>
  <c r="P931" i="2" a="1"/>
  <c r="P931" i="2"/>
  <c r="P932" i="2" a="1"/>
  <c r="P932" i="2"/>
  <c r="P933" i="2" a="1"/>
  <c r="P933" i="2"/>
  <c r="P934" i="2" a="1"/>
  <c r="P934" i="2"/>
  <c r="P935" i="2" a="1"/>
  <c r="P935" i="2"/>
  <c r="P936" i="2" a="1"/>
  <c r="P936" i="2"/>
  <c r="P937" i="2" a="1"/>
  <c r="P937" i="2"/>
  <c r="P938" i="2" a="1"/>
  <c r="P938" i="2"/>
  <c r="P939" i="2" a="1"/>
  <c r="P939" i="2"/>
  <c r="P940" i="2" a="1"/>
  <c r="P940" i="2"/>
  <c r="P941" i="2" a="1"/>
  <c r="P941" i="2"/>
  <c r="P942" i="2" a="1"/>
  <c r="P942" i="2"/>
  <c r="P943" i="2" a="1"/>
  <c r="P943" i="2"/>
  <c r="P944" i="2" a="1"/>
  <c r="P944" i="2"/>
  <c r="P945" i="2" a="1"/>
  <c r="P945" i="2"/>
  <c r="P946" i="2" a="1"/>
  <c r="P946" i="2"/>
  <c r="P947" i="2" a="1"/>
  <c r="P947" i="2"/>
  <c r="P948" i="2" a="1"/>
  <c r="P948" i="2"/>
  <c r="P949" i="2" a="1"/>
  <c r="P949" i="2"/>
  <c r="P950" i="2" a="1"/>
  <c r="P950" i="2"/>
  <c r="P951" i="2" a="1"/>
  <c r="P951" i="2"/>
  <c r="P952" i="2" a="1"/>
  <c r="P952" i="2"/>
  <c r="P953" i="2" a="1"/>
  <c r="P953" i="2"/>
  <c r="P954" i="2" a="1"/>
  <c r="P954" i="2"/>
  <c r="P955" i="2" a="1"/>
  <c r="P955" i="2"/>
  <c r="P956" i="2" a="1"/>
  <c r="P956" i="2"/>
  <c r="P957" i="2" a="1"/>
  <c r="P957" i="2"/>
  <c r="P958" i="2" a="1"/>
  <c r="P958" i="2"/>
  <c r="P959" i="2" a="1"/>
  <c r="P959" i="2"/>
  <c r="P960" i="2" a="1"/>
  <c r="P960" i="2"/>
  <c r="P961" i="2" a="1"/>
  <c r="P961" i="2"/>
  <c r="P962" i="2" a="1"/>
  <c r="P962" i="2"/>
  <c r="P963" i="2" a="1"/>
  <c r="P963" i="2"/>
  <c r="P964" i="2" a="1"/>
  <c r="P964" i="2"/>
  <c r="P965" i="2" a="1"/>
  <c r="P965" i="2"/>
  <c r="P966" i="2" a="1"/>
  <c r="P966" i="2"/>
  <c r="P967" i="2" a="1"/>
  <c r="P967" i="2"/>
  <c r="P968" i="2" a="1"/>
  <c r="P968" i="2"/>
  <c r="P969" i="2" a="1"/>
  <c r="P969" i="2"/>
  <c r="P970" i="2" a="1"/>
  <c r="P970" i="2"/>
  <c r="P971" i="2" a="1"/>
  <c r="P971" i="2"/>
  <c r="P972" i="2" a="1"/>
  <c r="P972" i="2"/>
  <c r="P973" i="2" a="1"/>
  <c r="P973" i="2"/>
  <c r="P974" i="2" a="1"/>
  <c r="P974" i="2"/>
  <c r="P975" i="2" a="1"/>
  <c r="P975" i="2"/>
  <c r="P976" i="2" a="1"/>
  <c r="P976" i="2"/>
  <c r="P977" i="2" a="1"/>
  <c r="P977" i="2"/>
  <c r="P978" i="2" a="1"/>
  <c r="P978" i="2"/>
  <c r="P979" i="2" a="1"/>
  <c r="P979" i="2"/>
  <c r="P980" i="2" a="1"/>
  <c r="P980" i="2"/>
  <c r="P981" i="2" a="1"/>
  <c r="P981" i="2"/>
  <c r="P982" i="2" a="1"/>
  <c r="P982" i="2"/>
  <c r="P983" i="2" a="1"/>
  <c r="P983" i="2"/>
  <c r="P984" i="2" a="1"/>
  <c r="P984" i="2"/>
  <c r="P985" i="2" a="1"/>
  <c r="P985" i="2"/>
  <c r="P986" i="2" a="1"/>
  <c r="P986" i="2"/>
  <c r="P987" i="2" a="1"/>
  <c r="P987" i="2"/>
  <c r="P988" i="2" a="1"/>
  <c r="P988" i="2"/>
  <c r="P989" i="2" a="1"/>
  <c r="P989" i="2"/>
  <c r="P990" i="2" a="1"/>
  <c r="P990" i="2"/>
  <c r="P991" i="2" a="1"/>
  <c r="P991" i="2"/>
  <c r="P992" i="2" a="1"/>
  <c r="P992" i="2"/>
  <c r="P993" i="2" a="1"/>
  <c r="P993" i="2"/>
  <c r="P994" i="2" a="1"/>
  <c r="P994" i="2"/>
  <c r="P995" i="2" a="1"/>
  <c r="P995" i="2"/>
  <c r="P996" i="2" a="1"/>
  <c r="P996" i="2"/>
  <c r="P997" i="2" a="1"/>
  <c r="P997" i="2"/>
  <c r="P998" i="2" a="1"/>
  <c r="P998" i="2"/>
  <c r="P999" i="2" a="1"/>
  <c r="P999" i="2"/>
  <c r="P1000" i="2" a="1"/>
  <c r="P1000" i="2"/>
  <c r="P1001" i="2" a="1"/>
  <c r="P1001" i="2"/>
  <c r="P1002" i="2" a="1"/>
  <c r="P1002" i="2"/>
  <c r="P1003" i="2" a="1"/>
  <c r="P1003" i="2"/>
  <c r="P1004" i="2" a="1"/>
  <c r="P1004" i="2"/>
  <c r="P1005" i="2" a="1"/>
  <c r="P1005" i="2"/>
  <c r="P1006" i="2" a="1"/>
  <c r="P1006" i="2"/>
  <c r="P1007" i="2" a="1"/>
  <c r="P1007" i="2"/>
  <c r="P1008" i="2" a="1"/>
  <c r="P1008" i="2"/>
  <c r="P1009" i="2" a="1"/>
  <c r="P1009" i="2"/>
  <c r="P1010" i="2" a="1"/>
  <c r="P1010" i="2"/>
  <c r="P1011" i="2" a="1"/>
  <c r="P1011" i="2"/>
  <c r="P1012" i="2" a="1"/>
  <c r="P1012" i="2"/>
  <c r="P1013" i="2" a="1"/>
  <c r="P1013" i="2"/>
  <c r="P1014" i="2" a="1"/>
  <c r="P1014" i="2"/>
  <c r="P1015" i="2" a="1"/>
  <c r="P1015" i="2"/>
  <c r="P1016" i="2" a="1"/>
  <c r="P1016" i="2"/>
  <c r="P1017" i="2" a="1"/>
  <c r="P1017" i="2"/>
  <c r="P1018" i="2" a="1"/>
  <c r="P1018" i="2"/>
  <c r="P1019" i="2" a="1"/>
  <c r="P1019" i="2"/>
  <c r="P1020" i="2" a="1"/>
  <c r="P1020" i="2"/>
  <c r="P1021" i="2" a="1"/>
  <c r="P1021" i="2"/>
  <c r="P1022" i="2" a="1"/>
  <c r="P1022" i="2"/>
  <c r="P1023" i="2" a="1"/>
  <c r="P1023" i="2"/>
  <c r="P1024" i="2" a="1"/>
  <c r="P1024" i="2"/>
  <c r="P1025" i="2" a="1"/>
  <c r="P1025" i="2"/>
  <c r="P1026" i="2" a="1"/>
  <c r="P1026" i="2"/>
  <c r="P1027" i="2" a="1"/>
  <c r="P1027" i="2"/>
  <c r="P1028" i="2" a="1"/>
  <c r="P1028" i="2"/>
  <c r="P1029" i="2" a="1"/>
  <c r="P1029" i="2"/>
  <c r="P1030" i="2" a="1"/>
  <c r="P1030" i="2"/>
  <c r="P1031" i="2" a="1"/>
  <c r="P1031" i="2"/>
  <c r="P1032" i="2" a="1"/>
  <c r="P1032" i="2"/>
  <c r="P1033" i="2" a="1"/>
  <c r="P1033" i="2"/>
  <c r="P1034" i="2" a="1"/>
  <c r="P1034" i="2"/>
  <c r="P1035" i="2" a="1"/>
  <c r="P1035" i="2"/>
  <c r="P1036" i="2" a="1"/>
  <c r="P1036" i="2"/>
  <c r="P1037" i="2" a="1"/>
  <c r="P1037" i="2"/>
  <c r="P1038" i="2" a="1"/>
  <c r="P1038" i="2"/>
  <c r="P1039" i="2" a="1"/>
  <c r="P1039" i="2"/>
  <c r="P1040" i="2" a="1"/>
  <c r="P1040" i="2"/>
  <c r="P1041" i="2" a="1"/>
  <c r="P1041" i="2"/>
  <c r="P1042" i="2" a="1"/>
  <c r="P1042" i="2"/>
  <c r="P1043" i="2" a="1"/>
  <c r="P1043" i="2"/>
  <c r="P1044" i="2" a="1"/>
  <c r="P1044" i="2"/>
  <c r="P1045" i="2" a="1"/>
  <c r="P1045" i="2"/>
  <c r="P1046" i="2" a="1"/>
  <c r="P1046" i="2"/>
  <c r="P1047" i="2" a="1"/>
  <c r="P1047" i="2"/>
  <c r="P1048" i="2" a="1"/>
  <c r="P1048" i="2"/>
  <c r="P1049" i="2" a="1"/>
  <c r="P1049" i="2"/>
  <c r="P1050" i="2" a="1"/>
  <c r="P1050" i="2"/>
  <c r="P1051" i="2" a="1"/>
  <c r="P1051" i="2"/>
  <c r="P1052" i="2" a="1"/>
  <c r="P1052" i="2"/>
  <c r="P1053" i="2" a="1"/>
  <c r="P1053" i="2"/>
  <c r="P1054" i="2" a="1"/>
  <c r="P1054" i="2"/>
  <c r="P1055" i="2" a="1"/>
  <c r="P1055" i="2"/>
  <c r="P1056" i="2" a="1"/>
  <c r="P1056" i="2"/>
  <c r="P1057" i="2" a="1"/>
  <c r="P1057" i="2"/>
  <c r="P1058" i="2" a="1"/>
  <c r="P1058" i="2"/>
  <c r="P1059" i="2" a="1"/>
  <c r="P1059" i="2"/>
  <c r="P1060" i="2" a="1"/>
  <c r="P1060" i="2"/>
  <c r="P1061" i="2" a="1"/>
  <c r="P1061" i="2"/>
  <c r="P1062" i="2" a="1"/>
  <c r="P1062" i="2"/>
  <c r="P1063" i="2" a="1"/>
  <c r="P1063" i="2"/>
  <c r="P1064" i="2" a="1"/>
  <c r="P1064" i="2"/>
  <c r="P1065" i="2" a="1"/>
  <c r="P1065" i="2"/>
  <c r="P1066" i="2" a="1"/>
  <c r="P1066" i="2"/>
  <c r="P1067" i="2" a="1"/>
  <c r="P1067" i="2"/>
  <c r="P1068" i="2" a="1"/>
  <c r="P1068" i="2"/>
  <c r="P1069" i="2" a="1"/>
  <c r="P1069" i="2"/>
  <c r="P1070" i="2" a="1"/>
  <c r="P1070" i="2"/>
  <c r="P1071" i="2" a="1"/>
  <c r="P1071" i="2"/>
  <c r="P1072" i="2" a="1"/>
  <c r="P1072" i="2"/>
  <c r="P1073" i="2" a="1"/>
  <c r="P1073" i="2"/>
  <c r="P1074" i="2" a="1"/>
  <c r="P1074" i="2"/>
  <c r="P1075" i="2" a="1"/>
  <c r="P1075" i="2"/>
  <c r="P1076" i="2" a="1"/>
  <c r="P1076" i="2"/>
  <c r="P1077" i="2" a="1"/>
  <c r="P1077" i="2"/>
  <c r="P1078" i="2" a="1"/>
  <c r="P1078" i="2"/>
  <c r="P1079" i="2" a="1"/>
  <c r="P1079" i="2"/>
  <c r="P1080" i="2" a="1"/>
  <c r="P1080" i="2"/>
  <c r="P1081" i="2" a="1"/>
  <c r="P1081" i="2"/>
  <c r="P1082" i="2" a="1"/>
  <c r="P1082" i="2"/>
  <c r="P1083" i="2" a="1"/>
  <c r="P1083" i="2"/>
  <c r="P1084" i="2" a="1"/>
  <c r="P1084" i="2"/>
  <c r="P1085" i="2" a="1"/>
  <c r="P1085" i="2"/>
  <c r="P1086" i="2" a="1"/>
  <c r="P1086" i="2"/>
  <c r="P1087" i="2" a="1"/>
  <c r="P1087" i="2"/>
  <c r="P1088" i="2" a="1"/>
  <c r="P1088" i="2"/>
  <c r="P1089" i="2" a="1"/>
  <c r="P1089" i="2"/>
  <c r="P1090" i="2" a="1"/>
  <c r="P1090" i="2"/>
  <c r="P1091" i="2" a="1"/>
  <c r="P1091" i="2"/>
  <c r="P1092" i="2" a="1"/>
  <c r="P1092" i="2"/>
  <c r="P1093" i="2" a="1"/>
  <c r="P1093" i="2"/>
  <c r="P1094" i="2" a="1"/>
  <c r="P1094" i="2"/>
  <c r="P1095" i="2" a="1"/>
  <c r="P1095" i="2"/>
  <c r="P1096" i="2" a="1"/>
  <c r="P1096" i="2"/>
  <c r="P1097" i="2" a="1"/>
  <c r="P1097" i="2"/>
  <c r="P1098" i="2" a="1"/>
  <c r="P1098" i="2"/>
  <c r="P1099" i="2" a="1"/>
  <c r="P1099" i="2"/>
  <c r="P1100" i="2" a="1"/>
  <c r="P1100" i="2"/>
  <c r="P1101" i="2" a="1"/>
  <c r="P1101" i="2"/>
  <c r="P1102" i="2" a="1"/>
  <c r="P1102" i="2"/>
  <c r="P1103" i="2" a="1"/>
  <c r="P1103" i="2"/>
  <c r="P1104" i="2" a="1"/>
  <c r="P1104" i="2"/>
  <c r="P1105" i="2" a="1"/>
  <c r="P1105" i="2"/>
  <c r="P1106" i="2" a="1"/>
  <c r="P1106" i="2"/>
  <c r="P1107" i="2" a="1"/>
  <c r="P1107" i="2"/>
  <c r="P1108" i="2" a="1"/>
  <c r="P1108" i="2"/>
  <c r="P1109" i="2" a="1"/>
  <c r="P1109" i="2"/>
  <c r="P1110" i="2" a="1"/>
  <c r="P1110" i="2"/>
  <c r="P1111" i="2" a="1"/>
  <c r="P1111" i="2"/>
  <c r="P1112" i="2" a="1"/>
  <c r="P1112" i="2"/>
  <c r="P1113" i="2" a="1"/>
  <c r="P1113" i="2"/>
  <c r="P1114" i="2" a="1"/>
  <c r="P1114" i="2"/>
  <c r="P1115" i="2" a="1"/>
  <c r="P1115" i="2"/>
  <c r="P1116" i="2" a="1"/>
  <c r="P1116" i="2"/>
  <c r="P1117" i="2" a="1"/>
  <c r="P1117" i="2"/>
  <c r="P1118" i="2" a="1"/>
  <c r="P1118" i="2"/>
  <c r="P1119" i="2" a="1"/>
  <c r="P1119" i="2"/>
  <c r="P1120" i="2" a="1"/>
  <c r="P1120" i="2"/>
  <c r="P1121" i="2" a="1"/>
  <c r="P1121" i="2"/>
  <c r="P1122" i="2" a="1"/>
  <c r="P1122" i="2"/>
  <c r="P1123" i="2" a="1"/>
  <c r="P1123" i="2"/>
  <c r="P1124" i="2" a="1"/>
  <c r="P1124" i="2"/>
  <c r="P1125" i="2" a="1"/>
  <c r="P1125" i="2"/>
  <c r="P1126" i="2" a="1"/>
  <c r="P1126" i="2"/>
  <c r="P1127" i="2" a="1"/>
  <c r="P1127" i="2"/>
  <c r="P1128" i="2" a="1"/>
  <c r="P1128" i="2"/>
  <c r="P1129" i="2" a="1"/>
  <c r="P1129" i="2"/>
  <c r="P1130" i="2" a="1"/>
  <c r="P1130" i="2"/>
  <c r="P1131" i="2" a="1"/>
  <c r="P1131" i="2"/>
  <c r="P1132" i="2" a="1"/>
  <c r="P1132" i="2"/>
  <c r="P1133" i="2" a="1"/>
  <c r="P1133" i="2"/>
  <c r="P1134" i="2" a="1"/>
  <c r="P1134" i="2"/>
  <c r="P1135" i="2" a="1"/>
  <c r="P1135" i="2"/>
  <c r="P1136" i="2" a="1"/>
  <c r="P1136" i="2"/>
  <c r="P1137" i="2" a="1"/>
  <c r="P1137" i="2"/>
  <c r="P1138" i="2" a="1"/>
  <c r="P1138" i="2"/>
  <c r="P1139" i="2" a="1"/>
  <c r="P1139" i="2"/>
  <c r="P1140" i="2" a="1"/>
  <c r="P1140" i="2"/>
  <c r="P1141" i="2" a="1"/>
  <c r="P1141" i="2"/>
  <c r="P1142" i="2" a="1"/>
  <c r="P1142" i="2"/>
  <c r="P1143" i="2" a="1"/>
  <c r="P1143" i="2"/>
  <c r="P1144" i="2" a="1"/>
  <c r="P1144" i="2"/>
  <c r="P1145" i="2" a="1"/>
  <c r="P1145" i="2"/>
  <c r="P1146" i="2" a="1"/>
  <c r="P1146" i="2"/>
  <c r="P1147" i="2" a="1"/>
  <c r="P1147" i="2"/>
  <c r="P1148" i="2" a="1"/>
  <c r="P1148" i="2"/>
  <c r="P1149" i="2" a="1"/>
  <c r="P1149" i="2"/>
  <c r="P1150" i="2" a="1"/>
  <c r="P1150" i="2"/>
  <c r="P1151" i="2" a="1"/>
  <c r="P1151" i="2"/>
  <c r="P1152" i="2" a="1"/>
  <c r="P1152" i="2"/>
  <c r="P1153" i="2" a="1"/>
  <c r="P1153" i="2"/>
  <c r="P1154" i="2" a="1"/>
  <c r="P1154" i="2"/>
  <c r="P1155" i="2" a="1"/>
  <c r="P1155" i="2"/>
  <c r="P1156" i="2" a="1"/>
  <c r="P1156" i="2"/>
  <c r="P1157" i="2" a="1"/>
  <c r="P1157" i="2"/>
  <c r="P1158" i="2" a="1"/>
  <c r="P1158" i="2"/>
  <c r="P1159" i="2" a="1"/>
  <c r="P1159" i="2"/>
  <c r="P1160" i="2" a="1"/>
  <c r="P1160" i="2"/>
  <c r="P1161" i="2" a="1"/>
  <c r="P1161" i="2"/>
  <c r="P1162" i="2" a="1"/>
  <c r="P1162" i="2"/>
  <c r="P1163" i="2" a="1"/>
  <c r="P1163" i="2"/>
  <c r="P1164" i="2" a="1"/>
  <c r="P1164" i="2"/>
  <c r="P1165" i="2" a="1"/>
  <c r="P1165" i="2"/>
  <c r="P1166" i="2" a="1"/>
  <c r="P1166" i="2"/>
  <c r="P1167" i="2" a="1"/>
  <c r="P1167" i="2"/>
  <c r="P1168" i="2" a="1"/>
  <c r="P1168" i="2"/>
  <c r="P1169" i="2" a="1"/>
  <c r="P1169" i="2"/>
  <c r="P1170" i="2" a="1"/>
  <c r="P1170" i="2"/>
  <c r="P1171" i="2" a="1"/>
  <c r="P1171" i="2"/>
  <c r="P1172" i="2" a="1"/>
  <c r="P1172" i="2"/>
  <c r="P1173" i="2" a="1"/>
  <c r="P1173" i="2"/>
  <c r="P1174" i="2" a="1"/>
  <c r="P1174" i="2"/>
  <c r="P1175" i="2" a="1"/>
  <c r="P1175" i="2"/>
  <c r="P1176" i="2" a="1"/>
  <c r="P1176" i="2"/>
  <c r="P1177" i="2" a="1"/>
  <c r="P1177" i="2"/>
  <c r="P1178" i="2" a="1"/>
  <c r="P1178" i="2"/>
  <c r="P1179" i="2" a="1"/>
  <c r="P1179" i="2"/>
  <c r="P1180" i="2" a="1"/>
  <c r="P1180" i="2"/>
  <c r="P1181" i="2" a="1"/>
  <c r="P1181" i="2"/>
  <c r="P1182" i="2" a="1"/>
  <c r="P1182" i="2"/>
  <c r="P1183" i="2" a="1"/>
  <c r="P1183" i="2"/>
  <c r="P1184" i="2" a="1"/>
  <c r="P1184" i="2"/>
  <c r="P1185" i="2" a="1"/>
  <c r="P1185" i="2"/>
  <c r="P1186" i="2" a="1"/>
  <c r="P1186" i="2"/>
  <c r="P1187" i="2" a="1"/>
  <c r="P1187" i="2"/>
  <c r="P1188" i="2" a="1"/>
  <c r="P1188" i="2"/>
  <c r="P1189" i="2" a="1"/>
  <c r="P1189" i="2"/>
  <c r="P1190" i="2" a="1"/>
  <c r="P1190" i="2"/>
  <c r="P1191" i="2" a="1"/>
  <c r="P1191" i="2"/>
  <c r="P1192" i="2" a="1"/>
  <c r="P1192" i="2"/>
  <c r="P1193" i="2" a="1"/>
  <c r="P1193" i="2"/>
  <c r="P1194" i="2" a="1"/>
  <c r="P1194" i="2"/>
  <c r="P1195" i="2" a="1"/>
  <c r="P1195" i="2"/>
  <c r="P1196" i="2" a="1"/>
  <c r="P1196" i="2"/>
  <c r="P1197" i="2" a="1"/>
  <c r="P1197" i="2"/>
  <c r="P1198" i="2" a="1"/>
  <c r="P1198" i="2"/>
  <c r="P1199" i="2" a="1"/>
  <c r="P1199" i="2"/>
  <c r="P1200" i="2" a="1"/>
  <c r="P1200" i="2"/>
  <c r="P1201" i="2" a="1"/>
  <c r="P1201" i="2"/>
  <c r="P2" i="2" a="1"/>
  <c r="P2" i="2"/>
  <c r="O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<sst xmlns="http://schemas.openxmlformats.org/spreadsheetml/2006/main" count="7278" uniqueCount="38">
  <si>
    <t>age</t>
  </si>
  <si>
    <t>gender</t>
  </si>
  <si>
    <t>daily_social_media_hours</t>
  </si>
  <si>
    <t>platform_usage</t>
  </si>
  <si>
    <t>sleep_hours</t>
  </si>
  <si>
    <t>screen_time_before_sleep</t>
  </si>
  <si>
    <t>academic_performance</t>
  </si>
  <si>
    <t>physical_activity</t>
  </si>
  <si>
    <t>social_interaction_level</t>
  </si>
  <si>
    <t>stress_level</t>
  </si>
  <si>
    <t>anxiety_level</t>
  </si>
  <si>
    <t>addiction_level</t>
  </si>
  <si>
    <t>depression_label</t>
  </si>
  <si>
    <t>male</t>
  </si>
  <si>
    <t>Instagram</t>
  </si>
  <si>
    <t>low</t>
  </si>
  <si>
    <t>female</t>
  </si>
  <si>
    <t>TikTok</t>
  </si>
  <si>
    <t>high</t>
  </si>
  <si>
    <t>medium</t>
  </si>
  <si>
    <t>Both</t>
  </si>
  <si>
    <t>age group</t>
  </si>
  <si>
    <t>sleep categeory</t>
  </si>
  <si>
    <t>addiction category</t>
  </si>
  <si>
    <t>KPI</t>
  </si>
  <si>
    <t>total students</t>
  </si>
  <si>
    <t>total depressed student</t>
  </si>
  <si>
    <t>DEPRESSION RATE</t>
  </si>
  <si>
    <t>AVERAGE SLEEP HOUR</t>
  </si>
  <si>
    <t>AVERAGE SOCILA MEDIA HOUR</t>
  </si>
  <si>
    <t>AVERAGE STRESS LEVEL</t>
  </si>
  <si>
    <t>TOTAL STUDENTS</t>
  </si>
  <si>
    <t>TOTAL DEPRESSED STUDENT</t>
  </si>
  <si>
    <t>Sum of depression_label</t>
  </si>
  <si>
    <t>Grand Total</t>
  </si>
  <si>
    <t>Count of age group</t>
  </si>
  <si>
    <t>13-15</t>
  </si>
  <si>
    <t>16-19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</si>
</sst>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10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BF8C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sharedStrings" Target="sharedStrings.xml"/><Relationship Id="rId1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[Teen_Mental_Health_Dataset.xlsx]pivot table!PivotTable1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 depression level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table'!$B$4:$B$6</c:f>
              <c:numCache>
                <c:formatCode>General</c:formatCode>
                <c:ptCount val="2"/>
                <c:pt idx="0">
                  <c:v>17</c:v>
                </c:pt>
                <c:pt idx="1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A5-4D95-9A09-0CF0DF748A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6446343"/>
        <c:axId val="106467847"/>
      </c:barChart>
      <c:catAx>
        <c:axId val="106446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467847"/>
        <c:crosses val="autoZero"/>
        <c:auto val="1"/>
        <c:lblAlgn val="ctr"/>
        <c:lblOffset val="100"/>
        <c:noMultiLvlLbl val="0"/>
      </c:catAx>
      <c:valAx>
        <c:axId val="106467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446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[Teen_Mental_Health_Dataset.xlsx]pivot table!PivotTable2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platform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table'!$B$14:$B$15</c:f>
              <c:strCache>
                <c:ptCount val="1"/>
                <c:pt idx="0">
                  <c:v>13-15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table'!$A$16:$A$19</c:f>
              <c:strCache>
                <c:ptCount val="3"/>
                <c:pt idx="0">
                  <c:v>Both</c:v>
                </c:pt>
                <c:pt idx="1">
                  <c:v>Instagram</c:v>
                </c:pt>
                <c:pt idx="2">
                  <c:v>TikTok</c:v>
                </c:pt>
              </c:strCache>
            </c:strRef>
          </c:cat>
          <c:val>
            <c:numRef>
              <c:f>'pivot table'!$B$16:$B$19</c:f>
              <c:numCache>
                <c:formatCode>General</c:formatCode>
                <c:ptCount val="3"/>
                <c:pt idx="0">
                  <c:v>171</c:v>
                </c:pt>
                <c:pt idx="1">
                  <c:v>192</c:v>
                </c:pt>
                <c:pt idx="2">
                  <c:v>170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72-47DA-8EF4-F7B77E426127}"/>
            </c:ext>
          </c:extLst>
        </c:ser>
        <c:ser>
          <c:idx val="1"/>
          <c:order val="1"/>
          <c:tx>
            <c:strRef>
              <c:f>'pivot table'!$C$14:$C$15</c:f>
              <c:strCache>
                <c:ptCount val="1"/>
                <c:pt idx="0">
                  <c:v>16-19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table'!$A$16:$A$19</c:f>
              <c:strCache>
                <c:ptCount val="3"/>
                <c:pt idx="0">
                  <c:v>Both</c:v>
                </c:pt>
                <c:pt idx="1">
                  <c:v>Instagram</c:v>
                </c:pt>
                <c:pt idx="2">
                  <c:v>TikTok</c:v>
                </c:pt>
              </c:strCache>
            </c:strRef>
          </c:cat>
          <c:val>
            <c:numRef>
              <c:f>'pivot table'!$C$16:$C$19</c:f>
              <c:numCache>
                <c:formatCode>General</c:formatCode>
                <c:ptCount val="3"/>
                <c:pt idx="0">
                  <c:v>220</c:v>
                </c:pt>
                <c:pt idx="1">
                  <c:v>219</c:v>
                </c:pt>
                <c:pt idx="2">
                  <c:v>228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7F-4E5E-819E-ADFCD7B062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085063"/>
        <c:axId val="103087111"/>
      </c:lineChart>
      <c:catAx>
        <c:axId val="103085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087111"/>
        <c:crosses val="autoZero"/>
        <c:auto val="1"/>
        <c:lblAlgn val="ctr"/>
        <c:lblOffset val="100"/>
        <c:noMultiLvlLbl val="0"/>
      </c:catAx>
      <c:valAx>
        <c:axId val="103087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085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[Teen_Mental_Health_Dataset.xlsx]pivot table!PivotTable3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Depression by 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table'!$B$28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D2A-4DC5-854D-3B422D00D50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D2A-4DC5-854D-3B422D00D508}"/>
              </c:ext>
            </c:extLst>
          </c:dPt>
          <c:cat>
            <c:strRef>
              <c:f>'pivot table'!$A$29:$A$31</c:f>
              <c:strCache>
                <c:ptCount val="2"/>
                <c:pt idx="0">
                  <c:v>13-15</c:v>
                </c:pt>
                <c:pt idx="1">
                  <c:v>16-19</c:v>
                </c:pt>
              </c:strCache>
            </c:strRef>
          </c:cat>
          <c:val>
            <c:numRef>
              <c:f>'pivot table'!$B$29:$B$31</c:f>
              <c:numCache>
                <c:formatCode>General</c:formatCode>
                <c:ptCount val="2"/>
                <c:pt idx="0">
                  <c:v>15</c:v>
                </c:pt>
                <c:pt idx="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24-4C11-8318-558BDA8620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[Teen_Mental_Health_Dataset.xlsx]pivot table!PivotTable4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Addition level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table'!$B$37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table'!$A$38:$A$41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'pivot table'!$B$38:$B$41</c:f>
              <c:numCache>
                <c:formatCode>General</c:formatCode>
                <c:ptCount val="3"/>
                <c:pt idx="0">
                  <c:v>10</c:v>
                </c:pt>
                <c:pt idx="1">
                  <c:v>11</c:v>
                </c:pt>
                <c:pt idx="2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A8-4E2A-ADFE-3466F5013B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083079"/>
        <c:axId val="62087175"/>
      </c:lineChart>
      <c:catAx>
        <c:axId val="62083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87175"/>
        <c:crosses val="autoZero"/>
        <c:auto val="1"/>
        <c:lblAlgn val="ctr"/>
        <c:lblOffset val="100"/>
        <c:noMultiLvlLbl val="0"/>
      </c:catAx>
      <c:valAx>
        <c:axId val="62087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83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[Teen_Mental_Health_Dataset.xlsx]pivot table!PivotTable5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stress level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801963899249435"/>
          <c:y val="0.22938873833182782"/>
          <c:w val="0.78613240779113136"/>
          <c:h val="0.4991666014647898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table'!$B$48:$B$49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table'!$A$50:$A$53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'pivot table'!$B$50:$B$53</c:f>
              <c:numCache>
                <c:formatCode>General</c:formatCode>
                <c:ptCount val="3"/>
                <c:pt idx="0">
                  <c:v>6</c:v>
                </c:pt>
                <c:pt idx="1">
                  <c:v>6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39-4D79-A023-01B9E5412A83}"/>
            </c:ext>
          </c:extLst>
        </c:ser>
        <c:ser>
          <c:idx val="1"/>
          <c:order val="1"/>
          <c:tx>
            <c:strRef>
              <c:f>'pivot table'!$C$48:$C$49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table'!$A$50:$A$53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'pivot table'!$C$50:$C$53</c:f>
              <c:numCache>
                <c:formatCode>General</c:formatCode>
                <c:ptCount val="3"/>
                <c:pt idx="0">
                  <c:v>4</c:v>
                </c:pt>
                <c:pt idx="1">
                  <c:v>3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B9-44B0-BE93-921C55AAB5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2637063"/>
        <c:axId val="65592839"/>
      </c:barChart>
      <c:catAx>
        <c:axId val="626370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92839"/>
        <c:crosses val="autoZero"/>
        <c:auto val="1"/>
        <c:lblAlgn val="ctr"/>
        <c:lblOffset val="100"/>
        <c:noMultiLvlLbl val="0"/>
      </c:catAx>
      <c:valAx>
        <c:axId val="65592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37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[Teen_Mental_Health_Dataset.xlsx]pivot table!PivotTable2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Platform Usage by Age Group</a:t>
            </a:r>
          </a:p>
        </c:rich>
      </c:tx>
      <c:layout>
        <c:manualLayout>
          <c:xMode val="edge"/>
          <c:yMode val="edge"/>
          <c:x val="0.19149804262259107"/>
          <c:y val="4.19491490433447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table'!$B$14:$B$15</c:f>
              <c:strCache>
                <c:ptCount val="1"/>
                <c:pt idx="0">
                  <c:v>13-15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table'!$A$16:$A$19</c:f>
              <c:strCache>
                <c:ptCount val="3"/>
                <c:pt idx="0">
                  <c:v>Both</c:v>
                </c:pt>
                <c:pt idx="1">
                  <c:v>Instagram</c:v>
                </c:pt>
                <c:pt idx="2">
                  <c:v>TikTok</c:v>
                </c:pt>
              </c:strCache>
            </c:strRef>
          </c:cat>
          <c:val>
            <c:numRef>
              <c:f>'pivot table'!$B$16:$B$19</c:f>
              <c:numCache>
                <c:formatCode>General</c:formatCode>
                <c:ptCount val="3"/>
                <c:pt idx="0">
                  <c:v>171</c:v>
                </c:pt>
                <c:pt idx="1">
                  <c:v>192</c:v>
                </c:pt>
                <c:pt idx="2">
                  <c:v>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D1-43A6-924B-DEA5FFB9DBCA}"/>
            </c:ext>
          </c:extLst>
        </c:ser>
        <c:ser>
          <c:idx val="1"/>
          <c:order val="1"/>
          <c:tx>
            <c:strRef>
              <c:f>'pivot table'!$C$14:$C$15</c:f>
              <c:strCache>
                <c:ptCount val="1"/>
                <c:pt idx="0">
                  <c:v>16-19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table'!$A$16:$A$19</c:f>
              <c:strCache>
                <c:ptCount val="3"/>
                <c:pt idx="0">
                  <c:v>Both</c:v>
                </c:pt>
                <c:pt idx="1">
                  <c:v>Instagram</c:v>
                </c:pt>
                <c:pt idx="2">
                  <c:v>TikTok</c:v>
                </c:pt>
              </c:strCache>
            </c:strRef>
          </c:cat>
          <c:val>
            <c:numRef>
              <c:f>'pivot table'!$C$16:$C$19</c:f>
              <c:numCache>
                <c:formatCode>General</c:formatCode>
                <c:ptCount val="3"/>
                <c:pt idx="0">
                  <c:v>220</c:v>
                </c:pt>
                <c:pt idx="1">
                  <c:v>219</c:v>
                </c:pt>
                <c:pt idx="2">
                  <c:v>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F4-4088-B549-C52090B0F6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085063"/>
        <c:axId val="103087111"/>
      </c:barChart>
      <c:catAx>
        <c:axId val="103085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087111"/>
        <c:crosses val="autoZero"/>
        <c:auto val="1"/>
        <c:lblAlgn val="ctr"/>
        <c:lblOffset val="100"/>
        <c:noMultiLvlLbl val="0"/>
      </c:catAx>
      <c:valAx>
        <c:axId val="1030871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085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[Teen_Mental_Health_Dataset.xlsx]pivot table!PivotTable4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Addiction level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052139226075511"/>
          <c:y val="0.30566481717030225"/>
          <c:w val="0.88947860773924492"/>
          <c:h val="0.3326300571277643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'pivot table'!$B$37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table'!$A$38:$A$41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'pivot table'!$B$38:$B$41</c:f>
              <c:numCache>
                <c:formatCode>General</c:formatCode>
                <c:ptCount val="3"/>
                <c:pt idx="0">
                  <c:v>10</c:v>
                </c:pt>
                <c:pt idx="1">
                  <c:v>11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60-4D91-A21D-4B50BD8613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083079"/>
        <c:axId val="62087175"/>
      </c:barChart>
      <c:catAx>
        <c:axId val="62083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87175"/>
        <c:crosses val="autoZero"/>
        <c:auto val="1"/>
        <c:lblAlgn val="ctr"/>
        <c:lblOffset val="100"/>
        <c:noMultiLvlLbl val="0"/>
      </c:catAx>
      <c:valAx>
        <c:axId val="620871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83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[Teen_Mental_Health_Dataset.xlsx]pivot table!PivotTable3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Depression by 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table'!$B$28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C27-4C13-9989-69E40FCB51C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C27-4C13-9989-69E40FCB51C4}"/>
              </c:ext>
            </c:extLst>
          </c:dPt>
          <c:cat>
            <c:strRef>
              <c:f>'pivot table'!$A$29:$A$31</c:f>
              <c:strCache>
                <c:ptCount val="2"/>
                <c:pt idx="0">
                  <c:v>13-15</c:v>
                </c:pt>
                <c:pt idx="1">
                  <c:v>16-19</c:v>
                </c:pt>
              </c:strCache>
            </c:strRef>
          </c:cat>
          <c:val>
            <c:numRef>
              <c:f>'pivot table'!$B$29:$B$31</c:f>
              <c:numCache>
                <c:formatCode>General</c:formatCode>
                <c:ptCount val="2"/>
                <c:pt idx="0">
                  <c:v>15</c:v>
                </c:pt>
                <c:pt idx="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C27-4C13-9989-69E40FCB51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1850455679"/>
        <c:axId val="1850451359"/>
      </c:barChart>
      <c:catAx>
        <c:axId val="18504556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451359"/>
        <c:crosses val="autoZero"/>
        <c:auto val="1"/>
        <c:lblAlgn val="ctr"/>
        <c:lblOffset val="100"/>
        <c:noMultiLvlLbl val="0"/>
      </c:catAx>
      <c:valAx>
        <c:axId val="1850451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455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[Teen_Mental_Health_Dataset.xlsx]pivot table!PivotTable5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Stress level by Gender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676455069237593"/>
          <c:y val="0.2796387887337024"/>
          <c:w val="0.8142541383712063"/>
          <c:h val="0.3372553867314910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table'!$B$48:$B$49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table'!$A$50:$A$53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'pivot table'!$B$50:$B$53</c:f>
              <c:numCache>
                <c:formatCode>General</c:formatCode>
                <c:ptCount val="3"/>
                <c:pt idx="0">
                  <c:v>6</c:v>
                </c:pt>
                <c:pt idx="1">
                  <c:v>6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0C-4276-B676-6960D6E6FB5A}"/>
            </c:ext>
          </c:extLst>
        </c:ser>
        <c:ser>
          <c:idx val="1"/>
          <c:order val="1"/>
          <c:tx>
            <c:strRef>
              <c:f>'pivot table'!$C$48:$C$49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table'!$A$50:$A$53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'pivot table'!$C$50:$C$53</c:f>
              <c:numCache>
                <c:formatCode>General</c:formatCode>
                <c:ptCount val="3"/>
                <c:pt idx="0">
                  <c:v>4</c:v>
                </c:pt>
                <c:pt idx="1">
                  <c:v>3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D1-4775-9316-7B620CA7D7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2637063"/>
        <c:axId val="65592839"/>
      </c:barChart>
      <c:catAx>
        <c:axId val="626370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92839"/>
        <c:crosses val="autoZero"/>
        <c:auto val="1"/>
        <c:lblAlgn val="ctr"/>
        <c:lblOffset val="100"/>
        <c:noMultiLvlLbl val="0"/>
      </c:catAx>
      <c:valAx>
        <c:axId val="65592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37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17625373395098"/>
          <c:y val="0.81770389511294284"/>
          <c:w val="0.61063630198943275"/>
          <c:h val="0.134480979996711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[Teen_Mental_Health_Dataset.xlsx]pivot table!PivotTable1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Depression Cases by Gender </a:t>
            </a:r>
            <a:r>
              <a:rPr lang="en-US" b="0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9.4630552991457492E-2"/>
          <c:y val="0.25806243965239783"/>
          <c:w val="0.87729867440196962"/>
          <c:h val="0.61191974434158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A237-4AA9-9D8B-3857534828B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table'!$B$4:$B$6</c:f>
              <c:numCache>
                <c:formatCode>General</c:formatCode>
                <c:ptCount val="2"/>
                <c:pt idx="0">
                  <c:v>17</c:v>
                </c:pt>
                <c:pt idx="1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00-4C9D-9835-1B0AA54C03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0120"/>
        <c:axId val="92168"/>
      </c:barChart>
      <c:catAx>
        <c:axId val="90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68"/>
        <c:crosses val="autoZero"/>
        <c:auto val="1"/>
        <c:lblAlgn val="ctr"/>
        <c:lblOffset val="100"/>
        <c:noMultiLvlLbl val="0"/>
      </c:catAx>
      <c:valAx>
        <c:axId val="921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2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142875</xdr:colOff>
      <xdr:row>0</xdr:row>
      <xdr:rowOff>180975</xdr:rowOff>
    </xdr:from>
    <xdr:to>
      <xdr:col>8</xdr:col>
      <xdr:colOff>523875</xdr:colOff>
      <xdr:row>10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EBC0F7-DE9B-1114-FDD5-FB567EEF08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190500</xdr:colOff>
      <xdr:row>12</xdr:row>
      <xdr:rowOff>142875</xdr:rowOff>
    </xdr:from>
    <xdr:to>
      <xdr:col>9</xdr:col>
      <xdr:colOff>190500</xdr:colOff>
      <xdr:row>24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32CF964-DD39-3DCB-9185-81D3F2B22172}"/>
            </a:ext>
            <a:ext uri="{147F2762-F138-4A5C-976F-8EAC2B608ADB}">
              <a16:predDERef xmlns:a16="http://schemas.microsoft.com/office/drawing/2014/main" pred="{59EBC0F7-DE9B-1114-FDD5-FB567EEF08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266700</xdr:colOff>
      <xdr:row>25</xdr:row>
      <xdr:rowOff>152400</xdr:rowOff>
    </xdr:from>
    <xdr:to>
      <xdr:col>8</xdr:col>
      <xdr:colOff>581025</xdr:colOff>
      <xdr:row>35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49408FB-2C7E-54A2-D9DD-E68DCF5C369D}"/>
            </a:ext>
            <a:ext uri="{147F2762-F138-4A5C-976F-8EAC2B608ADB}">
              <a16:predDERef xmlns:a16="http://schemas.microsoft.com/office/drawing/2014/main" pred="{C32CF964-DD39-3DCB-9185-81D3F2B221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272415</xdr:colOff>
      <xdr:row>35</xdr:row>
      <xdr:rowOff>148590</xdr:rowOff>
    </xdr:from>
    <xdr:to>
      <xdr:col>6</xdr:col>
      <xdr:colOff>462915</xdr:colOff>
      <xdr:row>44</xdr:row>
      <xdr:rowOff>62865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476999E-D0B2-C849-9C73-7E2A25809B6B}"/>
            </a:ext>
            <a:ext uri="{147F2762-F138-4A5C-976F-8EAC2B608ADB}">
              <a16:predDERef xmlns:a16="http://schemas.microsoft.com/office/drawing/2014/main" pred="{149408FB-2C7E-54A2-D9DD-E68DCF5C36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702945</xdr:colOff>
      <xdr:row>45</xdr:row>
      <xdr:rowOff>24765</xdr:rowOff>
    </xdr:from>
    <xdr:to>
      <xdr:col>10</xdr:col>
      <xdr:colOff>344805</xdr:colOff>
      <xdr:row>56</xdr:row>
      <xdr:rowOff>121920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27B59FC-5CDF-6206-635F-BB2E944975DC}"/>
            </a:ext>
            <a:ext uri="{147F2762-F138-4A5C-976F-8EAC2B608ADB}">
              <a16:predDERef xmlns:a16="http://schemas.microsoft.com/office/drawing/2014/main" pred="{B476999E-D0B2-C849-9C73-7E2A25809B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16</xdr:col>
      <xdr:colOff>171450</xdr:colOff>
      <xdr:row>28</xdr:row>
      <xdr:rowOff>66675</xdr:rowOff>
    </xdr:from>
    <xdr:to>
      <xdr:col>19</xdr:col>
      <xdr:colOff>171450</xdr:colOff>
      <xdr:row>42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3" name="depression_label">
              <a:extLst>
                <a:ext uri="{FF2B5EF4-FFF2-40B4-BE49-F238E27FC236}">
                  <a16:creationId xmlns:a16="http://schemas.microsoft.com/office/drawing/2014/main" id="{C1A882FB-EE65-D119-7CD4-2330AFBC9A1D}"/>
                </a:ext>
                <a:ext uri="{147F2762-F138-4A5C-976F-8EAC2B608ADB}">
                  <a16:predDERef xmlns:a16="http://schemas.microsoft.com/office/drawing/2014/main" pred="{4F1AA695-6FEB-86D7-5A39-5628F39619A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ression_labe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48975" y="54006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16</xdr:col>
      <xdr:colOff>323850</xdr:colOff>
      <xdr:row>0</xdr:row>
      <xdr:rowOff>0</xdr:rowOff>
    </xdr:from>
    <xdr:to>
      <xdr:col>19</xdr:col>
      <xdr:colOff>323850</xdr:colOff>
      <xdr:row>13</xdr:row>
      <xdr:rowOff>161925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5" name="sleep categeory">
              <a:extLst>
                <a:ext uri="{FF2B5EF4-FFF2-40B4-BE49-F238E27FC236}">
                  <a16:creationId xmlns:a16="http://schemas.microsoft.com/office/drawing/2014/main" id="{9DD528A2-5136-998C-4A9B-50DAD9FC7F64}"/>
                </a:ext>
                <a:ext uri="{147F2762-F138-4A5C-976F-8EAC2B608ADB}">
                  <a16:predDERef xmlns:a16="http://schemas.microsoft.com/office/drawing/2014/main" pred="{D2A0447E-1C1B-216F-4260-701DE1008AC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leep catege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001375" y="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16</xdr:col>
      <xdr:colOff>161925</xdr:colOff>
      <xdr:row>28</xdr:row>
      <xdr:rowOff>104775</xdr:rowOff>
    </xdr:from>
    <xdr:to>
      <xdr:col>19</xdr:col>
      <xdr:colOff>161925</xdr:colOff>
      <xdr:row>42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6" name="addiction category">
              <a:extLst>
                <a:ext uri="{FF2B5EF4-FFF2-40B4-BE49-F238E27FC236}">
                  <a16:creationId xmlns:a16="http://schemas.microsoft.com/office/drawing/2014/main" id="{901470F9-BD60-2C23-4780-B6F4440D1BE6}"/>
                </a:ext>
                <a:ext uri="{147F2762-F138-4A5C-976F-8EAC2B608ADB}">
                  <a16:predDERef xmlns:a16="http://schemas.microsoft.com/office/drawing/2014/main" pred="{9DD528A2-5136-998C-4A9B-50DAD9FC7F6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ddiction 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39450" y="54387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18786</xdr:colOff>
      <xdr:row>7</xdr:row>
      <xdr:rowOff>39085</xdr:rowOff>
    </xdr:from>
    <xdr:to>
      <xdr:col>18</xdr:col>
      <xdr:colOff>157330</xdr:colOff>
      <xdr:row>27</xdr:row>
      <xdr:rowOff>100661</xdr:rowOff>
    </xdr:to>
    <xdr:sp macro="" textlink="">
      <xdr:nvSpPr>
        <xdr:cNvPr id="9" name="Rectangle 1">
          <a:extLst>
            <a:ext uri="{FF2B5EF4-FFF2-40B4-BE49-F238E27FC236}">
              <a16:creationId xmlns:a16="http://schemas.microsoft.com/office/drawing/2014/main" id="{B82D82D4-3C1D-04CE-E6A9-F7A5A888BE4E}"/>
            </a:ext>
          </a:extLst>
        </xdr:cNvPr>
        <xdr:cNvSpPr/>
      </xdr:nvSpPr>
      <xdr:spPr>
        <a:xfrm>
          <a:off x="18786" y="1306570"/>
          <a:ext cx="11138504" cy="3682962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0</xdr:col>
      <xdr:colOff>15090</xdr:colOff>
      <xdr:row>0</xdr:row>
      <xdr:rowOff>0</xdr:rowOff>
    </xdr:from>
    <xdr:to>
      <xdr:col>18</xdr:col>
      <xdr:colOff>141938</xdr:colOff>
      <xdr:row>3</xdr:row>
      <xdr:rowOff>166508</xdr:rowOff>
    </xdr:to>
    <xdr:sp macro="" textlink="">
      <xdr:nvSpPr>
        <xdr:cNvPr id="10" name="Rectangle 7">
          <a:extLst>
            <a:ext uri="{FF2B5EF4-FFF2-40B4-BE49-F238E27FC236}">
              <a16:creationId xmlns:a16="http://schemas.microsoft.com/office/drawing/2014/main" id="{FE9C2602-728A-9EBF-36A3-26B213097F8B}"/>
            </a:ext>
            <a:ext uri="{147F2762-F138-4A5C-976F-8EAC2B608ADB}">
              <a16:predDERef xmlns:a16="http://schemas.microsoft.com/office/drawing/2014/main" pred="{B82D82D4-3C1D-04CE-E6A9-F7A5A888BE4E}"/>
            </a:ext>
          </a:extLst>
        </xdr:cNvPr>
        <xdr:cNvSpPr/>
      </xdr:nvSpPr>
      <xdr:spPr>
        <a:xfrm>
          <a:off x="15090" y="0"/>
          <a:ext cx="11126808" cy="709716"/>
        </a:xfrm>
        <a:prstGeom prst="rect">
          <a:avLst/>
        </a:prstGeom>
        <a:solidFill>
          <a:schemeClr val="accent6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400">
              <a:solidFill>
                <a:schemeClr val="lt1"/>
              </a:solidFill>
              <a:latin typeface="+mn-lt"/>
              <a:ea typeface="+mn-lt"/>
              <a:cs typeface="+mn-lt"/>
            </a:rPr>
            <a:t>TEEN MENTAL HEALTH DASHBOARD</a:t>
          </a:r>
        </a:p>
      </xdr:txBody>
    </xdr:sp>
    <xdr:clientData/>
  </xdr:twoCellAnchor>
  <xdr:twoCellAnchor>
    <xdr:from>
      <xdr:col>6</xdr:col>
      <xdr:colOff>126542</xdr:colOff>
      <xdr:row>7</xdr:row>
      <xdr:rowOff>92733</xdr:rowOff>
    </xdr:from>
    <xdr:to>
      <xdr:col>12</xdr:col>
      <xdr:colOff>41876</xdr:colOff>
      <xdr:row>17</xdr:row>
      <xdr:rowOff>46551</xdr:rowOff>
    </xdr:to>
    <xdr:graphicFrame macro="">
      <xdr:nvGraphicFramePr>
        <xdr:cNvPr id="12" name="Chart 10">
          <a:extLst>
            <a:ext uri="{FF2B5EF4-FFF2-40B4-BE49-F238E27FC236}">
              <a16:creationId xmlns:a16="http://schemas.microsoft.com/office/drawing/2014/main" id="{4345A6D2-6E2F-477F-A7FC-605729D39D87}"/>
            </a:ext>
            <a:ext uri="{147F2762-F138-4A5C-976F-8EAC2B608ADB}">
              <a16:predDERef xmlns:a16="http://schemas.microsoft.com/office/drawing/2014/main" pred="{FE9C2602-728A-9EBF-36A3-26B213097F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482113</xdr:colOff>
      <xdr:row>17</xdr:row>
      <xdr:rowOff>114012</xdr:rowOff>
    </xdr:from>
    <xdr:to>
      <xdr:col>8</xdr:col>
      <xdr:colOff>64968</xdr:colOff>
      <xdr:row>26</xdr:row>
      <xdr:rowOff>152498</xdr:rowOff>
    </xdr:to>
    <xdr:graphicFrame macro="">
      <xdr:nvGraphicFramePr>
        <xdr:cNvPr id="13" name="Chart 14">
          <a:extLst>
            <a:ext uri="{FF2B5EF4-FFF2-40B4-BE49-F238E27FC236}">
              <a16:creationId xmlns:a16="http://schemas.microsoft.com/office/drawing/2014/main" id="{054BD4FF-F499-405D-8F37-476F1DDE1988}"/>
            </a:ext>
            <a:ext uri="{147F2762-F138-4A5C-976F-8EAC2B608ADB}">
              <a16:predDERef xmlns:a16="http://schemas.microsoft.com/office/drawing/2014/main" pred="{4345A6D2-6E2F-477F-A7FC-605729D39D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234301</xdr:colOff>
      <xdr:row>7</xdr:row>
      <xdr:rowOff>92734</xdr:rowOff>
    </xdr:from>
    <xdr:to>
      <xdr:col>17</xdr:col>
      <xdr:colOff>582175</xdr:colOff>
      <xdr:row>17</xdr:row>
      <xdr:rowOff>38855</xdr:rowOff>
    </xdr:to>
    <xdr:graphicFrame macro="">
      <xdr:nvGraphicFramePr>
        <xdr:cNvPr id="14" name="Chart 2">
          <a:extLst>
            <a:ext uri="{FF2B5EF4-FFF2-40B4-BE49-F238E27FC236}">
              <a16:creationId xmlns:a16="http://schemas.microsoft.com/office/drawing/2014/main" id="{E30166D4-91B5-48FA-A635-8D74C587A44B}"/>
            </a:ext>
            <a:ext uri="{147F2762-F138-4A5C-976F-8EAC2B608ADB}">
              <a16:predDERef xmlns:a16="http://schemas.microsoft.com/office/drawing/2014/main" pred="{054BD4FF-F499-405D-8F37-476F1DDE19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597568</xdr:colOff>
      <xdr:row>17</xdr:row>
      <xdr:rowOff>92733</xdr:rowOff>
    </xdr:from>
    <xdr:to>
      <xdr:col>16</xdr:col>
      <xdr:colOff>559082</xdr:colOff>
      <xdr:row>26</xdr:row>
      <xdr:rowOff>137104</xdr:rowOff>
    </xdr:to>
    <xdr:graphicFrame macro="">
      <xdr:nvGraphicFramePr>
        <xdr:cNvPr id="16" name="Chart 3">
          <a:extLst>
            <a:ext uri="{FF2B5EF4-FFF2-40B4-BE49-F238E27FC236}">
              <a16:creationId xmlns:a16="http://schemas.microsoft.com/office/drawing/2014/main" id="{C76A0881-AE77-4A88-9365-B513075826D6}"/>
            </a:ext>
            <a:ext uri="{147F2762-F138-4A5C-976F-8EAC2B608ADB}">
              <a16:predDERef xmlns:a16="http://schemas.microsoft.com/office/drawing/2014/main" pred="{E30166D4-91B5-48FA-A635-8D74C587A4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49574</xdr:colOff>
      <xdr:row>7</xdr:row>
      <xdr:rowOff>92734</xdr:rowOff>
    </xdr:from>
    <xdr:to>
      <xdr:col>5</xdr:col>
      <xdr:colOff>512900</xdr:colOff>
      <xdr:row>17</xdr:row>
      <xdr:rowOff>46551</xdr:rowOff>
    </xdr:to>
    <xdr:graphicFrame macro="">
      <xdr:nvGraphicFramePr>
        <xdr:cNvPr id="17" name="Chart 4" descr="Chart type: Clustered Column. 'depression_label' by 'gender'&#10;&#10;Description automatically generated">
          <a:extLst>
            <a:ext uri="{FF2B5EF4-FFF2-40B4-BE49-F238E27FC236}">
              <a16:creationId xmlns:a16="http://schemas.microsoft.com/office/drawing/2014/main" id="{A674F100-F34A-45D9-8428-1FD46B8F8F69}"/>
            </a:ext>
            <a:ext uri="{147F2762-F138-4A5C-976F-8EAC2B608ADB}">
              <a16:predDERef xmlns:a16="http://schemas.microsoft.com/office/drawing/2014/main" pred="{C76A0881-AE77-4A88-9365-B513075826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18786</xdr:colOff>
      <xdr:row>3</xdr:row>
      <xdr:rowOff>167892</xdr:rowOff>
    </xdr:from>
    <xdr:to>
      <xdr:col>18</xdr:col>
      <xdr:colOff>157331</xdr:colOff>
      <xdr:row>7</xdr:row>
      <xdr:rowOff>85037</xdr:rowOff>
    </xdr:to>
    <xdr:sp macro="" textlink="">
      <xdr:nvSpPr>
        <xdr:cNvPr id="18" name="Rectangle 5">
          <a:extLst>
            <a:ext uri="{FF2B5EF4-FFF2-40B4-BE49-F238E27FC236}">
              <a16:creationId xmlns:a16="http://schemas.microsoft.com/office/drawing/2014/main" id="{95FD1D7B-88D3-A536-6A9F-E8919BCBC7B1}"/>
            </a:ext>
          </a:extLst>
        </xdr:cNvPr>
        <xdr:cNvSpPr/>
      </xdr:nvSpPr>
      <xdr:spPr>
        <a:xfrm>
          <a:off x="18786" y="711100"/>
          <a:ext cx="11138505" cy="641422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Total Students                  Depression Cases                   </a:t>
          </a:r>
          <a:r>
            <a:rPr lang="en-IN" sz="1400">
              <a:effectLst/>
            </a:rPr>
            <a:t> </a:t>
          </a:r>
          <a:r>
            <a:rPr lang="en-IN" sz="14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Avg</a:t>
          </a:r>
          <a:r>
            <a:rPr lang="en-IN" sz="14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Sleep Hour</a:t>
          </a:r>
          <a:r>
            <a:rPr lang="en-IN" sz="1400">
              <a:effectLst/>
            </a:rPr>
            <a:t>                      Avg</a:t>
          </a:r>
          <a:r>
            <a:rPr lang="en-IN" sz="1400" baseline="0">
              <a:effectLst/>
            </a:rPr>
            <a:t> Social Media Hour</a:t>
          </a:r>
          <a:r>
            <a:rPr lang="en-IN" sz="1400">
              <a:effectLst/>
            </a:rPr>
            <a:t>                        </a:t>
          </a:r>
          <a:r>
            <a:rPr lang="en-IN" sz="14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Avg</a:t>
          </a:r>
          <a:r>
            <a:rPr lang="en-IN" sz="14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Stress Level</a:t>
          </a:r>
          <a:endParaRPr lang="en-IN" sz="14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IN" sz="1400">
              <a:effectLst/>
            </a:rPr>
            <a:t> </a:t>
          </a:r>
          <a:r>
            <a:rPr lang="en-IN" sz="14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1200</a:t>
          </a:r>
          <a:r>
            <a:rPr lang="en-IN" sz="1400">
              <a:effectLst/>
            </a:rPr>
            <a:t>                                   </a:t>
          </a:r>
          <a:r>
            <a:rPr lang="en-IN" sz="14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31                                     </a:t>
          </a:r>
          <a:r>
            <a:rPr lang="en-IN" sz="1400">
              <a:effectLst/>
            </a:rPr>
            <a:t>            </a:t>
          </a:r>
          <a:r>
            <a:rPr lang="en-IN" sz="14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6.44hrs</a:t>
          </a:r>
          <a:r>
            <a:rPr lang="en-IN" sz="1400">
              <a:effectLst/>
            </a:rPr>
            <a:t>                                            </a:t>
          </a:r>
          <a:r>
            <a:rPr lang="en-IN" sz="14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4.53hrs</a:t>
          </a:r>
          <a:r>
            <a:rPr lang="en-IN" sz="1400">
              <a:effectLst/>
            </a:rPr>
            <a:t>                                                         </a:t>
          </a:r>
          <a:r>
            <a:rPr lang="en-IN" sz="14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5.45</a:t>
          </a:r>
          <a:r>
            <a:rPr lang="en-IN" sz="1400">
              <a:effectLst/>
            </a:rPr>
            <a:t> </a:t>
          </a:r>
          <a:endParaRPr lang="en-IN" sz="1400" baseline="0"/>
        </a:p>
      </xdr:txBody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04.329472453705" createdVersion="8" refreshedVersion="8" minRefreshableVersion="3" recordCount="1201" xr:uid="{90A3FE00-138D-4809-AA1B-8C10A5211D10}">
  <cacheSource type="worksheet">
    <worksheetSource ref="A1:P1048576" sheet="working sheet"/>
  </cacheSource>
  <cacheFields count="16">
    <cacheField name="age" numFmtId="0">
      <sharedItems containsString="0" containsBlank="1" containsNumber="1" containsInteger="1" minValue="13" maxValue="19"/>
    </cacheField>
    <cacheField name="gender" numFmtId="0">
      <sharedItems containsBlank="1" count="3">
        <s v="male"/>
        <s v="female"/>
        <m/>
      </sharedItems>
    </cacheField>
    <cacheField name="daily_social_media_hours" numFmtId="0">
      <sharedItems containsString="0" containsBlank="1" containsNumber="1" minValue="1" maxValue="8"/>
    </cacheField>
    <cacheField name="platform_usage" numFmtId="0">
      <sharedItems containsBlank="1" count="4">
        <s v="Instagram"/>
        <s v="TikTok"/>
        <s v="Both"/>
        <m/>
      </sharedItems>
    </cacheField>
    <cacheField name="sleep_hours" numFmtId="0">
      <sharedItems containsString="0" containsBlank="1" containsNumber="1" minValue="4" maxValue="9"/>
    </cacheField>
    <cacheField name="screen_time_before_sleep" numFmtId="0">
      <sharedItems containsString="0" containsBlank="1" containsNumber="1" minValue="0.5" maxValue="3"/>
    </cacheField>
    <cacheField name="academic_performance" numFmtId="0">
      <sharedItems containsString="0" containsBlank="1" containsNumber="1" minValue="2" maxValue="4"/>
    </cacheField>
    <cacheField name="physical_activity" numFmtId="0">
      <sharedItems containsString="0" containsBlank="1" containsNumber="1" minValue="0" maxValue="2"/>
    </cacheField>
    <cacheField name="social_interaction_level" numFmtId="0">
      <sharedItems containsBlank="1" count="4">
        <s v="low"/>
        <s v="high"/>
        <s v="medium"/>
        <m/>
      </sharedItems>
    </cacheField>
    <cacheField name="stress_level" numFmtId="0">
      <sharedItems containsString="0" containsBlank="1" containsNumber="1" containsInteger="1" minValue="1" maxValue="10"/>
    </cacheField>
    <cacheField name="anxiety_level" numFmtId="0">
      <sharedItems containsString="0" containsBlank="1" containsNumber="1" containsInteger="1" minValue="1" maxValue="10"/>
    </cacheField>
    <cacheField name="addiction_level" numFmtId="0">
      <sharedItems containsString="0" containsBlank="1" containsNumber="1" containsInteger="1" minValue="1" maxValue="10"/>
    </cacheField>
    <cacheField name="depression_label" numFmtId="0">
      <sharedItems containsString="0" containsBlank="1" containsNumber="1" containsInteger="1" minValue="0" maxValue="1" count="3">
        <n v="0"/>
        <n v="1"/>
        <m/>
      </sharedItems>
    </cacheField>
    <cacheField name="age group" numFmtId="0">
      <sharedItems containsBlank="1" count="3">
        <s v="13-15"/>
        <s v="16-19"/>
        <m/>
      </sharedItems>
    </cacheField>
    <cacheField name="sleep categeory" numFmtId="0">
      <sharedItems containsBlank="1" count="3">
        <s v="healthy sleep"/>
        <s v="low sleep"/>
        <m/>
      </sharedItems>
    </cacheField>
    <cacheField name="addiction category" numFmtId="0">
      <sharedItems containsBlank="1" count="4">
        <s v="low"/>
        <s v="high"/>
        <s v="medium"/>
        <m/>
      </sharedItems>
    </cacheField>
  </cacheFields>
  <extLst>
    <ext xmlns:x14="http://schemas.microsoft.com/office/spreadsheetml/2009/9/main" uri="{725AE2AE-9491-48be-B2B4-4EB974FC3084}">
      <x14:pivotCacheDefinition pivotCacheId="64028680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1">
  <r>
    <n v="14"/>
    <x v="0"/>
    <m/>
    <x v="0"/>
    <n v="7.4"/>
    <n v="2.9"/>
    <n v="3.01"/>
    <n v="1.5"/>
    <x v="0"/>
    <n v="2"/>
    <n v="2"/>
    <n v="1"/>
    <x v="0"/>
    <x v="0"/>
    <x v="0"/>
    <x v="0"/>
  </r>
  <r>
    <n v="19"/>
    <x v="1"/>
    <n v="1.9"/>
    <x v="1"/>
    <n v="8"/>
    <n v="2.9"/>
    <n v="3.22"/>
    <n v="0.8"/>
    <x v="1"/>
    <n v="8"/>
    <n v="1"/>
    <n v="10"/>
    <x v="0"/>
    <x v="1"/>
    <x v="0"/>
    <x v="1"/>
  </r>
  <r>
    <n v="17"/>
    <x v="1"/>
    <n v="1.3"/>
    <x v="0"/>
    <n v="7.6"/>
    <n v="0.5"/>
    <n v="3.92"/>
    <n v="0"/>
    <x v="1"/>
    <n v="2"/>
    <n v="4"/>
    <n v="2"/>
    <x v="0"/>
    <x v="1"/>
    <x v="0"/>
    <x v="0"/>
  </r>
  <r>
    <n v="15"/>
    <x v="0"/>
    <n v="7.4"/>
    <x v="1"/>
    <n v="6.9"/>
    <n v="1.6"/>
    <n v="3.48"/>
    <n v="0.8"/>
    <x v="2"/>
    <n v="1"/>
    <n v="7"/>
    <n v="9"/>
    <x v="0"/>
    <x v="0"/>
    <x v="0"/>
    <x v="1"/>
  </r>
  <r>
    <n v="15"/>
    <x v="1"/>
    <n v="4.7"/>
    <x v="2"/>
    <n v="4.9000000000000004"/>
    <n v="3"/>
    <n v="2.37"/>
    <n v="1.4"/>
    <x v="2"/>
    <n v="3"/>
    <n v="5"/>
    <n v="2"/>
    <x v="0"/>
    <x v="0"/>
    <x v="1"/>
    <x v="0"/>
  </r>
  <r>
    <n v="19"/>
    <x v="1"/>
    <n v="7.4"/>
    <x v="2"/>
    <n v="4.4000000000000004"/>
    <n v="2.4"/>
    <n v="2.63"/>
    <n v="0.6"/>
    <x v="1"/>
    <n v="3"/>
    <n v="5"/>
    <n v="7"/>
    <x v="0"/>
    <x v="1"/>
    <x v="1"/>
    <x v="1"/>
  </r>
  <r>
    <n v="18"/>
    <x v="1"/>
    <n v="2.5"/>
    <x v="0"/>
    <n v="6.4"/>
    <n v="2.4"/>
    <n v="2.63"/>
    <n v="0.7"/>
    <x v="0"/>
    <n v="2"/>
    <n v="2"/>
    <n v="5"/>
    <x v="0"/>
    <x v="1"/>
    <x v="0"/>
    <x v="2"/>
  </r>
  <r>
    <n v="16"/>
    <x v="0"/>
    <n v="4"/>
    <x v="2"/>
    <n v="4.2"/>
    <n v="0.5"/>
    <n v="2.4"/>
    <n v="1.3"/>
    <x v="0"/>
    <n v="6"/>
    <n v="10"/>
    <n v="5"/>
    <x v="0"/>
    <x v="1"/>
    <x v="1"/>
    <x v="2"/>
  </r>
  <r>
    <n v="19"/>
    <x v="1"/>
    <n v="3.3"/>
    <x v="1"/>
    <n v="5"/>
    <n v="2.1"/>
    <n v="2.04"/>
    <n v="0.9"/>
    <x v="1"/>
    <n v="1"/>
    <n v="10"/>
    <n v="9"/>
    <x v="0"/>
    <x v="1"/>
    <x v="1"/>
    <x v="1"/>
  </r>
  <r>
    <n v="15"/>
    <x v="0"/>
    <n v="1.9"/>
    <x v="1"/>
    <n v="4.9000000000000004"/>
    <n v="1.5"/>
    <n v="3.77"/>
    <n v="1.1000000000000001"/>
    <x v="1"/>
    <n v="1"/>
    <n v="1"/>
    <n v="4"/>
    <x v="0"/>
    <x v="0"/>
    <x v="1"/>
    <x v="2"/>
  </r>
  <r>
    <n v="16"/>
    <x v="0"/>
    <n v="7.2"/>
    <x v="2"/>
    <n v="5.8"/>
    <n v="2.9"/>
    <n v="3.16"/>
    <n v="1.2"/>
    <x v="2"/>
    <n v="5"/>
    <n v="8"/>
    <n v="9"/>
    <x v="0"/>
    <x v="1"/>
    <x v="1"/>
    <x v="1"/>
  </r>
  <r>
    <n v="13"/>
    <x v="0"/>
    <n v="4.9000000000000004"/>
    <x v="0"/>
    <n v="4.7"/>
    <n v="2.5"/>
    <n v="3.92"/>
    <n v="1.2"/>
    <x v="0"/>
    <n v="1"/>
    <n v="10"/>
    <n v="8"/>
    <x v="0"/>
    <x v="0"/>
    <x v="1"/>
    <x v="1"/>
  </r>
  <r>
    <n v="16"/>
    <x v="0"/>
    <n v="6.2"/>
    <x v="2"/>
    <n v="7.2"/>
    <n v="2.6"/>
    <n v="2.02"/>
    <n v="1.7"/>
    <x v="2"/>
    <n v="5"/>
    <n v="7"/>
    <n v="6"/>
    <x v="0"/>
    <x v="1"/>
    <x v="0"/>
    <x v="2"/>
  </r>
  <r>
    <n v="17"/>
    <x v="1"/>
    <n v="6.8"/>
    <x v="1"/>
    <n v="5.7"/>
    <n v="1.1000000000000001"/>
    <n v="3.29"/>
    <n v="1.3"/>
    <x v="2"/>
    <n v="1"/>
    <n v="10"/>
    <n v="10"/>
    <x v="0"/>
    <x v="1"/>
    <x v="1"/>
    <x v="1"/>
  </r>
  <r>
    <n v="15"/>
    <x v="0"/>
    <n v="5.7"/>
    <x v="1"/>
    <n v="5.9"/>
    <n v="0.8"/>
    <n v="3.5"/>
    <n v="0.7"/>
    <x v="0"/>
    <n v="1"/>
    <n v="9"/>
    <n v="1"/>
    <x v="0"/>
    <x v="0"/>
    <x v="1"/>
    <x v="0"/>
  </r>
  <r>
    <n v="14"/>
    <x v="1"/>
    <n v="3.6"/>
    <x v="2"/>
    <n v="5.3"/>
    <n v="0.6"/>
    <n v="2.99"/>
    <n v="0.3"/>
    <x v="1"/>
    <n v="4"/>
    <n v="10"/>
    <n v="2"/>
    <x v="0"/>
    <x v="0"/>
    <x v="1"/>
    <x v="0"/>
  </r>
  <r>
    <n v="13"/>
    <x v="0"/>
    <n v="1.5"/>
    <x v="2"/>
    <n v="4.2"/>
    <n v="1.4"/>
    <n v="2.59"/>
    <n v="0.5"/>
    <x v="1"/>
    <n v="4"/>
    <n v="5"/>
    <n v="8"/>
    <x v="0"/>
    <x v="0"/>
    <x v="1"/>
    <x v="1"/>
  </r>
  <r>
    <n v="16"/>
    <x v="0"/>
    <n v="3.1"/>
    <x v="2"/>
    <n v="6.1"/>
    <n v="0.8"/>
    <n v="2.11"/>
    <n v="1.9"/>
    <x v="1"/>
    <n v="10"/>
    <n v="7"/>
    <n v="10"/>
    <x v="0"/>
    <x v="1"/>
    <x v="0"/>
    <x v="1"/>
  </r>
  <r>
    <n v="16"/>
    <x v="1"/>
    <n v="6.7"/>
    <x v="2"/>
    <n v="6.8"/>
    <n v="1.9"/>
    <n v="3.08"/>
    <n v="1.4"/>
    <x v="1"/>
    <n v="10"/>
    <n v="9"/>
    <n v="1"/>
    <x v="0"/>
    <x v="1"/>
    <x v="0"/>
    <x v="0"/>
  </r>
  <r>
    <n v="14"/>
    <x v="1"/>
    <n v="1.2"/>
    <x v="0"/>
    <n v="7.6"/>
    <n v="1"/>
    <n v="3.85"/>
    <n v="0.8"/>
    <x v="1"/>
    <n v="8"/>
    <n v="4"/>
    <n v="6"/>
    <x v="0"/>
    <x v="0"/>
    <x v="0"/>
    <x v="2"/>
  </r>
  <r>
    <n v="16"/>
    <x v="0"/>
    <n v="3.4"/>
    <x v="1"/>
    <n v="4.5999999999999996"/>
    <n v="2.1"/>
    <n v="2.2400000000000002"/>
    <n v="0.4"/>
    <x v="1"/>
    <n v="4"/>
    <n v="1"/>
    <n v="3"/>
    <x v="0"/>
    <x v="1"/>
    <x v="1"/>
    <x v="0"/>
  </r>
  <r>
    <n v="18"/>
    <x v="0"/>
    <n v="4.0999999999999996"/>
    <x v="2"/>
    <n v="7.4"/>
    <n v="2.4"/>
    <n v="2.38"/>
    <n v="1.5"/>
    <x v="2"/>
    <n v="8"/>
    <n v="4"/>
    <n v="9"/>
    <x v="0"/>
    <x v="1"/>
    <x v="0"/>
    <x v="1"/>
  </r>
  <r>
    <n v="18"/>
    <x v="0"/>
    <n v="5.3"/>
    <x v="0"/>
    <n v="4.9000000000000004"/>
    <n v="1.2"/>
    <n v="3.69"/>
    <n v="1.2"/>
    <x v="0"/>
    <n v="5"/>
    <n v="4"/>
    <n v="5"/>
    <x v="0"/>
    <x v="1"/>
    <x v="1"/>
    <x v="2"/>
  </r>
  <r>
    <n v="18"/>
    <x v="1"/>
    <n v="2.2999999999999998"/>
    <x v="1"/>
    <n v="7.6"/>
    <n v="0.5"/>
    <n v="2.96"/>
    <n v="1.7"/>
    <x v="2"/>
    <n v="9"/>
    <n v="8"/>
    <n v="7"/>
    <x v="0"/>
    <x v="1"/>
    <x v="0"/>
    <x v="1"/>
  </r>
  <r>
    <n v="18"/>
    <x v="1"/>
    <n v="2.4"/>
    <x v="2"/>
    <n v="6.7"/>
    <n v="1.9"/>
    <n v="2.5299999999999998"/>
    <n v="0.4"/>
    <x v="1"/>
    <n v="8"/>
    <n v="8"/>
    <n v="2"/>
    <x v="0"/>
    <x v="1"/>
    <x v="0"/>
    <x v="0"/>
  </r>
  <r>
    <n v="13"/>
    <x v="1"/>
    <n v="1.5"/>
    <x v="2"/>
    <n v="7.2"/>
    <n v="2.5"/>
    <n v="2.15"/>
    <n v="1.3"/>
    <x v="2"/>
    <n v="4"/>
    <n v="6"/>
    <n v="2"/>
    <x v="0"/>
    <x v="0"/>
    <x v="0"/>
    <x v="0"/>
  </r>
  <r>
    <n v="14"/>
    <x v="1"/>
    <n v="5.7"/>
    <x v="2"/>
    <n v="8.6999999999999993"/>
    <n v="0.6"/>
    <n v="2.64"/>
    <n v="0.1"/>
    <x v="0"/>
    <n v="8"/>
    <n v="9"/>
    <n v="4"/>
    <x v="0"/>
    <x v="0"/>
    <x v="0"/>
    <x v="2"/>
  </r>
  <r>
    <n v="19"/>
    <x v="0"/>
    <n v="2"/>
    <x v="1"/>
    <n v="7.1"/>
    <n v="0.9"/>
    <n v="3.26"/>
    <n v="1.6"/>
    <x v="1"/>
    <n v="7"/>
    <n v="5"/>
    <n v="9"/>
    <x v="0"/>
    <x v="1"/>
    <x v="0"/>
    <x v="1"/>
  </r>
  <r>
    <n v="14"/>
    <x v="0"/>
    <n v="2.5"/>
    <x v="1"/>
    <n v="5.6"/>
    <n v="2.9"/>
    <n v="2.2400000000000002"/>
    <n v="0.5"/>
    <x v="0"/>
    <n v="3"/>
    <n v="9"/>
    <n v="5"/>
    <x v="0"/>
    <x v="0"/>
    <x v="1"/>
    <x v="2"/>
  </r>
  <r>
    <n v="16"/>
    <x v="1"/>
    <n v="3.4"/>
    <x v="1"/>
    <n v="7.8"/>
    <n v="2.8"/>
    <n v="3.83"/>
    <n v="1.8"/>
    <x v="2"/>
    <n v="6"/>
    <n v="6"/>
    <n v="4"/>
    <x v="0"/>
    <x v="1"/>
    <x v="0"/>
    <x v="2"/>
  </r>
  <r>
    <n v="13"/>
    <x v="0"/>
    <n v="6.6"/>
    <x v="1"/>
    <n v="5.7"/>
    <n v="2.5"/>
    <n v="2.67"/>
    <n v="1.1000000000000001"/>
    <x v="0"/>
    <n v="2"/>
    <n v="1"/>
    <n v="10"/>
    <x v="0"/>
    <x v="0"/>
    <x v="1"/>
    <x v="1"/>
  </r>
  <r>
    <n v="13"/>
    <x v="1"/>
    <n v="1.6"/>
    <x v="0"/>
    <n v="8.6999999999999993"/>
    <n v="2.5"/>
    <n v="3.69"/>
    <n v="0.4"/>
    <x v="1"/>
    <n v="8"/>
    <n v="2"/>
    <n v="9"/>
    <x v="0"/>
    <x v="0"/>
    <x v="0"/>
    <x v="1"/>
  </r>
  <r>
    <n v="16"/>
    <x v="0"/>
    <n v="2.7"/>
    <x v="0"/>
    <n v="4.2"/>
    <n v="2.4"/>
    <n v="3.05"/>
    <n v="0.2"/>
    <x v="1"/>
    <n v="1"/>
    <n v="8"/>
    <n v="4"/>
    <x v="0"/>
    <x v="1"/>
    <x v="1"/>
    <x v="2"/>
  </r>
  <r>
    <n v="14"/>
    <x v="0"/>
    <n v="4.0999999999999996"/>
    <x v="1"/>
    <n v="8"/>
    <n v="3"/>
    <n v="2.31"/>
    <n v="0.8"/>
    <x v="0"/>
    <n v="8"/>
    <n v="4"/>
    <n v="1"/>
    <x v="0"/>
    <x v="0"/>
    <x v="0"/>
    <x v="0"/>
  </r>
  <r>
    <n v="13"/>
    <x v="1"/>
    <n v="6.6"/>
    <x v="1"/>
    <n v="7.3"/>
    <n v="1.6"/>
    <n v="3.27"/>
    <n v="0.1"/>
    <x v="2"/>
    <n v="10"/>
    <n v="2"/>
    <n v="1"/>
    <x v="0"/>
    <x v="0"/>
    <x v="0"/>
    <x v="0"/>
  </r>
  <r>
    <n v="17"/>
    <x v="1"/>
    <n v="5"/>
    <x v="2"/>
    <n v="4.9000000000000004"/>
    <n v="2.1"/>
    <n v="2.0099999999999998"/>
    <n v="1"/>
    <x v="0"/>
    <n v="9"/>
    <n v="4"/>
    <n v="9"/>
    <x v="0"/>
    <x v="1"/>
    <x v="1"/>
    <x v="1"/>
  </r>
  <r>
    <n v="19"/>
    <x v="1"/>
    <n v="4.5999999999999996"/>
    <x v="0"/>
    <n v="5.5"/>
    <n v="2.5"/>
    <n v="3.96"/>
    <n v="0.8"/>
    <x v="1"/>
    <n v="3"/>
    <n v="10"/>
    <n v="7"/>
    <x v="0"/>
    <x v="1"/>
    <x v="1"/>
    <x v="1"/>
  </r>
  <r>
    <n v="17"/>
    <x v="1"/>
    <n v="4.8"/>
    <x v="0"/>
    <n v="4.4000000000000004"/>
    <n v="1.3"/>
    <n v="2.02"/>
    <n v="0.5"/>
    <x v="0"/>
    <n v="5"/>
    <n v="10"/>
    <n v="6"/>
    <x v="0"/>
    <x v="1"/>
    <x v="1"/>
    <x v="2"/>
  </r>
  <r>
    <n v="17"/>
    <x v="1"/>
    <n v="1.3"/>
    <x v="1"/>
    <n v="8"/>
    <n v="2"/>
    <n v="2.84"/>
    <n v="1.8"/>
    <x v="1"/>
    <n v="1"/>
    <n v="7"/>
    <n v="8"/>
    <x v="0"/>
    <x v="1"/>
    <x v="0"/>
    <x v="1"/>
  </r>
  <r>
    <n v="17"/>
    <x v="1"/>
    <n v="6.3"/>
    <x v="0"/>
    <n v="4"/>
    <n v="1"/>
    <n v="2.4300000000000002"/>
    <n v="1.2"/>
    <x v="1"/>
    <n v="1"/>
    <n v="10"/>
    <n v="9"/>
    <x v="0"/>
    <x v="1"/>
    <x v="1"/>
    <x v="1"/>
  </r>
  <r>
    <n v="14"/>
    <x v="0"/>
    <n v="6.4"/>
    <x v="0"/>
    <n v="5.7"/>
    <n v="0.9"/>
    <n v="2.06"/>
    <n v="1.8"/>
    <x v="1"/>
    <n v="10"/>
    <n v="4"/>
    <n v="2"/>
    <x v="0"/>
    <x v="0"/>
    <x v="1"/>
    <x v="0"/>
  </r>
  <r>
    <n v="19"/>
    <x v="0"/>
    <n v="1.6"/>
    <x v="0"/>
    <n v="8.6"/>
    <n v="2.4"/>
    <n v="3.81"/>
    <n v="0.4"/>
    <x v="0"/>
    <n v="10"/>
    <n v="4"/>
    <n v="1"/>
    <x v="0"/>
    <x v="1"/>
    <x v="0"/>
    <x v="0"/>
  </r>
  <r>
    <n v="14"/>
    <x v="1"/>
    <n v="7.3"/>
    <x v="0"/>
    <n v="7.7"/>
    <n v="1.4"/>
    <n v="3.42"/>
    <n v="0.3"/>
    <x v="2"/>
    <n v="6"/>
    <n v="1"/>
    <n v="8"/>
    <x v="0"/>
    <x v="0"/>
    <x v="0"/>
    <x v="1"/>
  </r>
  <r>
    <n v="15"/>
    <x v="0"/>
    <n v="4"/>
    <x v="2"/>
    <n v="8.8000000000000007"/>
    <n v="1.3"/>
    <n v="3.59"/>
    <n v="1.9"/>
    <x v="2"/>
    <n v="10"/>
    <n v="6"/>
    <n v="10"/>
    <x v="0"/>
    <x v="0"/>
    <x v="0"/>
    <x v="1"/>
  </r>
  <r>
    <n v="14"/>
    <x v="0"/>
    <n v="5.2"/>
    <x v="2"/>
    <n v="4.0999999999999996"/>
    <n v="2.1"/>
    <n v="3.07"/>
    <n v="0.2"/>
    <x v="2"/>
    <n v="9"/>
    <n v="3"/>
    <n v="8"/>
    <x v="0"/>
    <x v="0"/>
    <x v="1"/>
    <x v="1"/>
  </r>
  <r>
    <n v="14"/>
    <x v="1"/>
    <n v="4.5"/>
    <x v="1"/>
    <n v="4.8"/>
    <n v="0.9"/>
    <n v="2.2200000000000002"/>
    <n v="0.8"/>
    <x v="0"/>
    <n v="1"/>
    <n v="4"/>
    <n v="10"/>
    <x v="0"/>
    <x v="0"/>
    <x v="1"/>
    <x v="1"/>
  </r>
  <r>
    <n v="18"/>
    <x v="0"/>
    <n v="6.8"/>
    <x v="1"/>
    <n v="8.6"/>
    <n v="1.1000000000000001"/>
    <n v="2.36"/>
    <n v="1.6"/>
    <x v="1"/>
    <n v="1"/>
    <n v="10"/>
    <n v="10"/>
    <x v="0"/>
    <x v="1"/>
    <x v="0"/>
    <x v="1"/>
  </r>
  <r>
    <n v="13"/>
    <x v="1"/>
    <n v="3.5"/>
    <x v="0"/>
    <n v="5.0999999999999996"/>
    <n v="1.1000000000000001"/>
    <n v="2.27"/>
    <n v="1.8"/>
    <x v="2"/>
    <n v="2"/>
    <n v="5"/>
    <n v="6"/>
    <x v="0"/>
    <x v="0"/>
    <x v="1"/>
    <x v="2"/>
  </r>
  <r>
    <n v="16"/>
    <x v="0"/>
    <n v="2.2999999999999998"/>
    <x v="1"/>
    <n v="6.3"/>
    <n v="3"/>
    <n v="3.24"/>
    <n v="1.9"/>
    <x v="2"/>
    <n v="4"/>
    <n v="4"/>
    <n v="9"/>
    <x v="0"/>
    <x v="1"/>
    <x v="0"/>
    <x v="1"/>
  </r>
  <r>
    <n v="14"/>
    <x v="0"/>
    <n v="1.2"/>
    <x v="0"/>
    <n v="8.5"/>
    <n v="1.8"/>
    <n v="3.65"/>
    <n v="1.8"/>
    <x v="1"/>
    <n v="5"/>
    <n v="10"/>
    <n v="10"/>
    <x v="0"/>
    <x v="0"/>
    <x v="0"/>
    <x v="1"/>
  </r>
  <r>
    <n v="13"/>
    <x v="0"/>
    <n v="6.2"/>
    <x v="2"/>
    <n v="7.1"/>
    <n v="2.2000000000000002"/>
    <n v="3.43"/>
    <n v="0.2"/>
    <x v="2"/>
    <n v="5"/>
    <n v="2"/>
    <n v="2"/>
    <x v="0"/>
    <x v="0"/>
    <x v="0"/>
    <x v="0"/>
  </r>
  <r>
    <n v="18"/>
    <x v="0"/>
    <n v="4.5"/>
    <x v="1"/>
    <n v="4.0999999999999996"/>
    <n v="1.9"/>
    <n v="3.42"/>
    <n v="0.1"/>
    <x v="2"/>
    <n v="6"/>
    <n v="7"/>
    <n v="8"/>
    <x v="0"/>
    <x v="1"/>
    <x v="1"/>
    <x v="1"/>
  </r>
  <r>
    <n v="18"/>
    <x v="0"/>
    <n v="2.9"/>
    <x v="0"/>
    <n v="4.5"/>
    <n v="2.5"/>
    <n v="3.16"/>
    <n v="1.3"/>
    <x v="0"/>
    <n v="3"/>
    <n v="7"/>
    <n v="8"/>
    <x v="0"/>
    <x v="1"/>
    <x v="1"/>
    <x v="1"/>
  </r>
  <r>
    <n v="13"/>
    <x v="1"/>
    <n v="5.8"/>
    <x v="1"/>
    <n v="8.5"/>
    <n v="2.2999999999999998"/>
    <n v="3.3"/>
    <n v="1.9"/>
    <x v="1"/>
    <n v="1"/>
    <n v="1"/>
    <n v="5"/>
    <x v="0"/>
    <x v="0"/>
    <x v="0"/>
    <x v="2"/>
  </r>
  <r>
    <n v="18"/>
    <x v="0"/>
    <n v="6.8"/>
    <x v="0"/>
    <n v="6.5"/>
    <n v="2.7"/>
    <n v="2.97"/>
    <n v="1.9"/>
    <x v="0"/>
    <n v="4"/>
    <n v="4"/>
    <n v="5"/>
    <x v="0"/>
    <x v="1"/>
    <x v="0"/>
    <x v="2"/>
  </r>
  <r>
    <n v="15"/>
    <x v="1"/>
    <n v="7.4"/>
    <x v="0"/>
    <n v="8.6"/>
    <n v="0.9"/>
    <n v="2.2999999999999998"/>
    <n v="0"/>
    <x v="0"/>
    <n v="1"/>
    <n v="5"/>
    <n v="3"/>
    <x v="0"/>
    <x v="0"/>
    <x v="0"/>
    <x v="0"/>
  </r>
  <r>
    <n v="18"/>
    <x v="0"/>
    <n v="4.5"/>
    <x v="1"/>
    <n v="5"/>
    <n v="2.5"/>
    <n v="2.65"/>
    <n v="0.7"/>
    <x v="2"/>
    <n v="8"/>
    <n v="9"/>
    <n v="1"/>
    <x v="0"/>
    <x v="1"/>
    <x v="1"/>
    <x v="0"/>
  </r>
  <r>
    <n v="16"/>
    <x v="0"/>
    <n v="6.4"/>
    <x v="1"/>
    <n v="5.3"/>
    <n v="2.4"/>
    <n v="2.0299999999999998"/>
    <n v="1.7"/>
    <x v="2"/>
    <n v="7"/>
    <n v="5"/>
    <n v="10"/>
    <x v="0"/>
    <x v="1"/>
    <x v="1"/>
    <x v="1"/>
  </r>
  <r>
    <n v="13"/>
    <x v="0"/>
    <n v="7.3"/>
    <x v="2"/>
    <n v="4.2"/>
    <n v="1.3"/>
    <n v="2.16"/>
    <n v="1"/>
    <x v="1"/>
    <n v="4"/>
    <n v="5"/>
    <n v="2"/>
    <x v="0"/>
    <x v="0"/>
    <x v="1"/>
    <x v="0"/>
  </r>
  <r>
    <n v="17"/>
    <x v="1"/>
    <n v="7.1"/>
    <x v="0"/>
    <n v="5.6"/>
    <n v="0.6"/>
    <n v="3.07"/>
    <n v="1"/>
    <x v="2"/>
    <n v="1"/>
    <n v="3"/>
    <n v="7"/>
    <x v="0"/>
    <x v="1"/>
    <x v="1"/>
    <x v="1"/>
  </r>
  <r>
    <n v="18"/>
    <x v="0"/>
    <n v="1.6"/>
    <x v="1"/>
    <n v="5.0999999999999996"/>
    <n v="2.7"/>
    <n v="3.57"/>
    <n v="0.8"/>
    <x v="1"/>
    <n v="3"/>
    <n v="9"/>
    <n v="7"/>
    <x v="0"/>
    <x v="1"/>
    <x v="1"/>
    <x v="1"/>
  </r>
  <r>
    <n v="15"/>
    <x v="1"/>
    <n v="1.5"/>
    <x v="0"/>
    <n v="4.7"/>
    <n v="1"/>
    <n v="3.82"/>
    <n v="0.6"/>
    <x v="2"/>
    <n v="6"/>
    <n v="1"/>
    <n v="4"/>
    <x v="0"/>
    <x v="0"/>
    <x v="1"/>
    <x v="2"/>
  </r>
  <r>
    <n v="13"/>
    <x v="0"/>
    <n v="4.3"/>
    <x v="2"/>
    <n v="5.8"/>
    <n v="0.7"/>
    <n v="3.15"/>
    <n v="0.1"/>
    <x v="2"/>
    <n v="7"/>
    <n v="2"/>
    <n v="1"/>
    <x v="0"/>
    <x v="0"/>
    <x v="1"/>
    <x v="0"/>
  </r>
  <r>
    <n v="17"/>
    <x v="0"/>
    <n v="2.5"/>
    <x v="2"/>
    <n v="6.7"/>
    <n v="2"/>
    <n v="2.56"/>
    <n v="1.7"/>
    <x v="1"/>
    <n v="5"/>
    <n v="7"/>
    <n v="5"/>
    <x v="0"/>
    <x v="1"/>
    <x v="0"/>
    <x v="2"/>
  </r>
  <r>
    <n v="19"/>
    <x v="1"/>
    <n v="7.9"/>
    <x v="1"/>
    <n v="5.0999999999999996"/>
    <n v="1.7"/>
    <n v="2.8"/>
    <n v="0.8"/>
    <x v="0"/>
    <n v="6"/>
    <n v="1"/>
    <n v="8"/>
    <x v="0"/>
    <x v="1"/>
    <x v="1"/>
    <x v="1"/>
  </r>
  <r>
    <n v="17"/>
    <x v="0"/>
    <n v="2.7"/>
    <x v="0"/>
    <n v="8"/>
    <n v="2.6"/>
    <n v="3.53"/>
    <n v="1.9"/>
    <x v="1"/>
    <n v="1"/>
    <n v="8"/>
    <n v="7"/>
    <x v="0"/>
    <x v="1"/>
    <x v="0"/>
    <x v="1"/>
  </r>
  <r>
    <n v="13"/>
    <x v="0"/>
    <n v="3.1"/>
    <x v="1"/>
    <n v="8.1999999999999993"/>
    <n v="1.5"/>
    <n v="2.4500000000000002"/>
    <n v="0.3"/>
    <x v="0"/>
    <n v="5"/>
    <n v="8"/>
    <n v="6"/>
    <x v="0"/>
    <x v="0"/>
    <x v="0"/>
    <x v="2"/>
  </r>
  <r>
    <n v="17"/>
    <x v="0"/>
    <n v="5.8"/>
    <x v="2"/>
    <n v="7.6"/>
    <n v="0.7"/>
    <n v="2.83"/>
    <n v="1"/>
    <x v="2"/>
    <n v="7"/>
    <n v="6"/>
    <n v="8"/>
    <x v="0"/>
    <x v="1"/>
    <x v="0"/>
    <x v="1"/>
  </r>
  <r>
    <n v="14"/>
    <x v="1"/>
    <n v="3.9"/>
    <x v="2"/>
    <n v="7"/>
    <n v="2.8"/>
    <n v="2.8"/>
    <n v="0.1"/>
    <x v="0"/>
    <n v="8"/>
    <n v="2"/>
    <n v="8"/>
    <x v="0"/>
    <x v="0"/>
    <x v="0"/>
    <x v="1"/>
  </r>
  <r>
    <n v="15"/>
    <x v="0"/>
    <n v="7.5"/>
    <x v="2"/>
    <n v="7"/>
    <n v="0.9"/>
    <n v="3.48"/>
    <n v="1.1000000000000001"/>
    <x v="1"/>
    <n v="2"/>
    <n v="2"/>
    <n v="6"/>
    <x v="0"/>
    <x v="0"/>
    <x v="0"/>
    <x v="2"/>
  </r>
  <r>
    <n v="14"/>
    <x v="0"/>
    <n v="5.2"/>
    <x v="2"/>
    <n v="6.7"/>
    <n v="2"/>
    <n v="3.48"/>
    <n v="1"/>
    <x v="2"/>
    <n v="2"/>
    <n v="1"/>
    <n v="5"/>
    <x v="0"/>
    <x v="0"/>
    <x v="0"/>
    <x v="2"/>
  </r>
  <r>
    <n v="16"/>
    <x v="1"/>
    <n v="3.1"/>
    <x v="1"/>
    <n v="5"/>
    <n v="1.1000000000000001"/>
    <n v="2.73"/>
    <n v="1.6"/>
    <x v="0"/>
    <n v="2"/>
    <n v="8"/>
    <n v="1"/>
    <x v="0"/>
    <x v="1"/>
    <x v="1"/>
    <x v="0"/>
  </r>
  <r>
    <n v="16"/>
    <x v="1"/>
    <n v="2"/>
    <x v="0"/>
    <n v="8.6999999999999993"/>
    <n v="1.2"/>
    <n v="3"/>
    <n v="0"/>
    <x v="0"/>
    <n v="8"/>
    <n v="8"/>
    <n v="4"/>
    <x v="0"/>
    <x v="1"/>
    <x v="0"/>
    <x v="2"/>
  </r>
  <r>
    <n v="14"/>
    <x v="0"/>
    <n v="2.7"/>
    <x v="0"/>
    <n v="8.4"/>
    <n v="1.3"/>
    <n v="2.0099999999999998"/>
    <n v="0.6"/>
    <x v="0"/>
    <n v="6"/>
    <n v="3"/>
    <n v="8"/>
    <x v="0"/>
    <x v="0"/>
    <x v="0"/>
    <x v="1"/>
  </r>
  <r>
    <n v="14"/>
    <x v="0"/>
    <n v="1.5"/>
    <x v="2"/>
    <n v="4.3"/>
    <n v="2.1"/>
    <n v="3.9"/>
    <n v="1.5"/>
    <x v="0"/>
    <n v="10"/>
    <n v="2"/>
    <n v="4"/>
    <x v="0"/>
    <x v="0"/>
    <x v="1"/>
    <x v="2"/>
  </r>
  <r>
    <n v="17"/>
    <x v="1"/>
    <n v="6.9"/>
    <x v="0"/>
    <n v="8.1999999999999993"/>
    <n v="0.8"/>
    <n v="2.36"/>
    <n v="0"/>
    <x v="2"/>
    <n v="10"/>
    <n v="10"/>
    <n v="7"/>
    <x v="0"/>
    <x v="1"/>
    <x v="0"/>
    <x v="1"/>
  </r>
  <r>
    <n v="13"/>
    <x v="0"/>
    <n v="1.1000000000000001"/>
    <x v="1"/>
    <n v="7.1"/>
    <n v="1.8"/>
    <n v="2.5499999999999998"/>
    <n v="0.8"/>
    <x v="1"/>
    <n v="5"/>
    <n v="5"/>
    <n v="10"/>
    <x v="0"/>
    <x v="0"/>
    <x v="0"/>
    <x v="1"/>
  </r>
  <r>
    <n v="13"/>
    <x v="0"/>
    <n v="3.4"/>
    <x v="1"/>
    <n v="4.4000000000000004"/>
    <n v="0.6"/>
    <n v="3.41"/>
    <n v="0.2"/>
    <x v="0"/>
    <n v="8"/>
    <n v="6"/>
    <n v="3"/>
    <x v="0"/>
    <x v="0"/>
    <x v="1"/>
    <x v="0"/>
  </r>
  <r>
    <n v="15"/>
    <x v="0"/>
    <n v="6.7"/>
    <x v="2"/>
    <n v="4.5"/>
    <n v="2.1"/>
    <n v="3.71"/>
    <n v="1.3"/>
    <x v="1"/>
    <n v="3"/>
    <n v="3"/>
    <n v="3"/>
    <x v="0"/>
    <x v="0"/>
    <x v="1"/>
    <x v="0"/>
  </r>
  <r>
    <n v="18"/>
    <x v="0"/>
    <n v="1.1000000000000001"/>
    <x v="2"/>
    <n v="7.2"/>
    <n v="1"/>
    <n v="3.13"/>
    <n v="0.6"/>
    <x v="2"/>
    <n v="2"/>
    <n v="1"/>
    <n v="4"/>
    <x v="0"/>
    <x v="1"/>
    <x v="0"/>
    <x v="2"/>
  </r>
  <r>
    <n v="18"/>
    <x v="1"/>
    <n v="7.4"/>
    <x v="0"/>
    <n v="7.5"/>
    <n v="2.2999999999999998"/>
    <n v="2.39"/>
    <n v="0.9"/>
    <x v="1"/>
    <n v="4"/>
    <n v="1"/>
    <n v="4"/>
    <x v="0"/>
    <x v="1"/>
    <x v="0"/>
    <x v="2"/>
  </r>
  <r>
    <n v="19"/>
    <x v="1"/>
    <n v="4.8"/>
    <x v="1"/>
    <n v="6"/>
    <n v="1.5"/>
    <n v="2.61"/>
    <n v="1.2"/>
    <x v="1"/>
    <n v="2"/>
    <n v="2"/>
    <n v="6"/>
    <x v="0"/>
    <x v="1"/>
    <x v="1"/>
    <x v="2"/>
  </r>
  <r>
    <n v="14"/>
    <x v="0"/>
    <n v="1.2"/>
    <x v="2"/>
    <n v="5.2"/>
    <n v="2.2000000000000002"/>
    <n v="2.19"/>
    <n v="1.9"/>
    <x v="2"/>
    <n v="9"/>
    <n v="9"/>
    <n v="4"/>
    <x v="0"/>
    <x v="0"/>
    <x v="1"/>
    <x v="2"/>
  </r>
  <r>
    <n v="13"/>
    <x v="0"/>
    <n v="7.4"/>
    <x v="0"/>
    <n v="5.6"/>
    <n v="1.4"/>
    <n v="2.95"/>
    <n v="1.7"/>
    <x v="1"/>
    <n v="8"/>
    <n v="5"/>
    <n v="5"/>
    <x v="0"/>
    <x v="0"/>
    <x v="1"/>
    <x v="2"/>
  </r>
  <r>
    <n v="16"/>
    <x v="1"/>
    <n v="2.6"/>
    <x v="2"/>
    <n v="8.6"/>
    <n v="1.3"/>
    <n v="3.64"/>
    <n v="1.6"/>
    <x v="1"/>
    <n v="5"/>
    <n v="3"/>
    <n v="1"/>
    <x v="0"/>
    <x v="1"/>
    <x v="0"/>
    <x v="0"/>
  </r>
  <r>
    <n v="17"/>
    <x v="1"/>
    <n v="5"/>
    <x v="2"/>
    <n v="9"/>
    <n v="2.5"/>
    <n v="3.4"/>
    <n v="0.9"/>
    <x v="1"/>
    <n v="8"/>
    <n v="10"/>
    <n v="5"/>
    <x v="0"/>
    <x v="1"/>
    <x v="0"/>
    <x v="2"/>
  </r>
  <r>
    <n v="18"/>
    <x v="0"/>
    <n v="7.5"/>
    <x v="0"/>
    <n v="7.4"/>
    <n v="1.8"/>
    <n v="3.47"/>
    <n v="0"/>
    <x v="0"/>
    <n v="9"/>
    <n v="4"/>
    <n v="2"/>
    <x v="0"/>
    <x v="1"/>
    <x v="0"/>
    <x v="0"/>
  </r>
  <r>
    <n v="17"/>
    <x v="1"/>
    <n v="5.4"/>
    <x v="2"/>
    <n v="5.7"/>
    <n v="2.5"/>
    <n v="3.13"/>
    <n v="1.9"/>
    <x v="2"/>
    <n v="5"/>
    <n v="10"/>
    <n v="3"/>
    <x v="0"/>
    <x v="1"/>
    <x v="1"/>
    <x v="0"/>
  </r>
  <r>
    <n v="17"/>
    <x v="1"/>
    <n v="5.6"/>
    <x v="0"/>
    <n v="5.3"/>
    <n v="1.7"/>
    <n v="2.77"/>
    <n v="0.9"/>
    <x v="2"/>
    <n v="8"/>
    <n v="4"/>
    <n v="8"/>
    <x v="0"/>
    <x v="1"/>
    <x v="1"/>
    <x v="1"/>
  </r>
  <r>
    <n v="18"/>
    <x v="0"/>
    <n v="6.2"/>
    <x v="0"/>
    <n v="4.0999999999999996"/>
    <n v="2.8"/>
    <n v="3.41"/>
    <n v="1.1000000000000001"/>
    <x v="2"/>
    <n v="7"/>
    <n v="8"/>
    <n v="1"/>
    <x v="1"/>
    <x v="1"/>
    <x v="1"/>
    <x v="0"/>
  </r>
  <r>
    <n v="17"/>
    <x v="1"/>
    <n v="4.7"/>
    <x v="0"/>
    <n v="4.7"/>
    <n v="2.4"/>
    <n v="3.94"/>
    <n v="0"/>
    <x v="2"/>
    <n v="10"/>
    <n v="5"/>
    <n v="8"/>
    <x v="0"/>
    <x v="1"/>
    <x v="1"/>
    <x v="1"/>
  </r>
  <r>
    <n v="18"/>
    <x v="1"/>
    <n v="4"/>
    <x v="0"/>
    <n v="4.5999999999999996"/>
    <n v="2.2000000000000002"/>
    <n v="3.7"/>
    <n v="0.6"/>
    <x v="2"/>
    <n v="4"/>
    <n v="1"/>
    <n v="4"/>
    <x v="0"/>
    <x v="1"/>
    <x v="1"/>
    <x v="2"/>
  </r>
  <r>
    <n v="18"/>
    <x v="0"/>
    <n v="6.2"/>
    <x v="1"/>
    <n v="8.6"/>
    <n v="1.5"/>
    <n v="3.22"/>
    <n v="1.6"/>
    <x v="0"/>
    <n v="4"/>
    <n v="5"/>
    <n v="7"/>
    <x v="0"/>
    <x v="1"/>
    <x v="0"/>
    <x v="1"/>
  </r>
  <r>
    <n v="17"/>
    <x v="1"/>
    <n v="5.6"/>
    <x v="1"/>
    <n v="6.8"/>
    <n v="2"/>
    <n v="2.2200000000000002"/>
    <n v="1"/>
    <x v="2"/>
    <n v="6"/>
    <n v="9"/>
    <n v="8"/>
    <x v="0"/>
    <x v="1"/>
    <x v="0"/>
    <x v="1"/>
  </r>
  <r>
    <n v="13"/>
    <x v="1"/>
    <n v="4"/>
    <x v="0"/>
    <n v="4.4000000000000004"/>
    <n v="2.5"/>
    <n v="3.6"/>
    <n v="1.4"/>
    <x v="2"/>
    <n v="7"/>
    <n v="2"/>
    <n v="10"/>
    <x v="0"/>
    <x v="0"/>
    <x v="1"/>
    <x v="1"/>
  </r>
  <r>
    <n v="15"/>
    <x v="1"/>
    <n v="1.8"/>
    <x v="0"/>
    <n v="6.4"/>
    <n v="2.4"/>
    <n v="2.16"/>
    <n v="1.9"/>
    <x v="2"/>
    <n v="3"/>
    <n v="6"/>
    <n v="9"/>
    <x v="0"/>
    <x v="0"/>
    <x v="0"/>
    <x v="1"/>
  </r>
  <r>
    <n v="13"/>
    <x v="0"/>
    <n v="3.1"/>
    <x v="1"/>
    <n v="5.4"/>
    <n v="1.9"/>
    <n v="3.66"/>
    <n v="0.4"/>
    <x v="0"/>
    <n v="7"/>
    <n v="4"/>
    <n v="2"/>
    <x v="0"/>
    <x v="0"/>
    <x v="1"/>
    <x v="0"/>
  </r>
  <r>
    <n v="13"/>
    <x v="1"/>
    <n v="3.5"/>
    <x v="1"/>
    <n v="5.2"/>
    <n v="2.5"/>
    <n v="2.57"/>
    <n v="1.1000000000000001"/>
    <x v="1"/>
    <n v="1"/>
    <n v="6"/>
    <n v="3"/>
    <x v="0"/>
    <x v="0"/>
    <x v="1"/>
    <x v="0"/>
  </r>
  <r>
    <n v="18"/>
    <x v="0"/>
    <n v="7.4"/>
    <x v="1"/>
    <n v="6.4"/>
    <n v="2.2000000000000002"/>
    <n v="3.51"/>
    <n v="1"/>
    <x v="1"/>
    <n v="4"/>
    <n v="5"/>
    <n v="4"/>
    <x v="0"/>
    <x v="1"/>
    <x v="0"/>
    <x v="2"/>
  </r>
  <r>
    <n v="16"/>
    <x v="0"/>
    <n v="8"/>
    <x v="0"/>
    <n v="5.5"/>
    <n v="1.4"/>
    <n v="2.95"/>
    <n v="0.3"/>
    <x v="2"/>
    <n v="2"/>
    <n v="5"/>
    <n v="2"/>
    <x v="0"/>
    <x v="1"/>
    <x v="1"/>
    <x v="0"/>
  </r>
  <r>
    <n v="13"/>
    <x v="0"/>
    <n v="5.0999999999999996"/>
    <x v="2"/>
    <n v="4.0999999999999996"/>
    <n v="1.6"/>
    <n v="3.32"/>
    <n v="0.8"/>
    <x v="2"/>
    <n v="1"/>
    <n v="3"/>
    <n v="8"/>
    <x v="0"/>
    <x v="0"/>
    <x v="1"/>
    <x v="1"/>
  </r>
  <r>
    <n v="18"/>
    <x v="1"/>
    <n v="2.4"/>
    <x v="0"/>
    <n v="6.3"/>
    <n v="1.3"/>
    <n v="3.05"/>
    <n v="1.7"/>
    <x v="0"/>
    <n v="2"/>
    <n v="9"/>
    <n v="5"/>
    <x v="0"/>
    <x v="1"/>
    <x v="0"/>
    <x v="2"/>
  </r>
  <r>
    <n v="13"/>
    <x v="0"/>
    <n v="1.6"/>
    <x v="0"/>
    <n v="4.2"/>
    <n v="1.5"/>
    <n v="3.72"/>
    <n v="1.7"/>
    <x v="2"/>
    <n v="10"/>
    <n v="1"/>
    <n v="10"/>
    <x v="0"/>
    <x v="0"/>
    <x v="1"/>
    <x v="1"/>
  </r>
  <r>
    <n v="18"/>
    <x v="0"/>
    <n v="5.8"/>
    <x v="0"/>
    <n v="6.7"/>
    <n v="1.9"/>
    <n v="3"/>
    <n v="1.9"/>
    <x v="0"/>
    <n v="5"/>
    <n v="8"/>
    <n v="2"/>
    <x v="0"/>
    <x v="1"/>
    <x v="0"/>
    <x v="0"/>
  </r>
  <r>
    <n v="15"/>
    <x v="0"/>
    <n v="2.7"/>
    <x v="1"/>
    <n v="6.6"/>
    <n v="1.9"/>
    <n v="2.75"/>
    <n v="1.9"/>
    <x v="2"/>
    <n v="3"/>
    <n v="6"/>
    <n v="6"/>
    <x v="0"/>
    <x v="0"/>
    <x v="0"/>
    <x v="2"/>
  </r>
  <r>
    <n v="13"/>
    <x v="1"/>
    <n v="4"/>
    <x v="2"/>
    <n v="4.5"/>
    <n v="1"/>
    <n v="3.65"/>
    <n v="1.8"/>
    <x v="0"/>
    <n v="5"/>
    <n v="6"/>
    <n v="5"/>
    <x v="0"/>
    <x v="0"/>
    <x v="1"/>
    <x v="2"/>
  </r>
  <r>
    <n v="18"/>
    <x v="0"/>
    <n v="3.2"/>
    <x v="2"/>
    <n v="8.8000000000000007"/>
    <n v="1.2"/>
    <n v="3.71"/>
    <n v="1.1000000000000001"/>
    <x v="2"/>
    <n v="7"/>
    <n v="6"/>
    <n v="10"/>
    <x v="0"/>
    <x v="1"/>
    <x v="0"/>
    <x v="1"/>
  </r>
  <r>
    <n v="13"/>
    <x v="0"/>
    <n v="1.6"/>
    <x v="1"/>
    <n v="4.3"/>
    <n v="0.6"/>
    <n v="3.91"/>
    <n v="2"/>
    <x v="2"/>
    <n v="5"/>
    <n v="10"/>
    <n v="7"/>
    <x v="0"/>
    <x v="0"/>
    <x v="1"/>
    <x v="1"/>
  </r>
  <r>
    <n v="14"/>
    <x v="0"/>
    <n v="2.2999999999999998"/>
    <x v="1"/>
    <n v="8"/>
    <n v="2.5"/>
    <n v="3.08"/>
    <n v="1.7"/>
    <x v="2"/>
    <n v="5"/>
    <n v="6"/>
    <n v="7"/>
    <x v="0"/>
    <x v="0"/>
    <x v="0"/>
    <x v="1"/>
  </r>
  <r>
    <n v="17"/>
    <x v="0"/>
    <n v="7.7"/>
    <x v="1"/>
    <n v="8.5"/>
    <n v="1.2"/>
    <n v="3.56"/>
    <n v="0"/>
    <x v="2"/>
    <n v="7"/>
    <n v="10"/>
    <n v="7"/>
    <x v="0"/>
    <x v="1"/>
    <x v="0"/>
    <x v="1"/>
  </r>
  <r>
    <n v="16"/>
    <x v="0"/>
    <n v="4.8"/>
    <x v="2"/>
    <n v="7.1"/>
    <n v="0.6"/>
    <n v="3.36"/>
    <n v="0.7"/>
    <x v="1"/>
    <n v="7"/>
    <n v="6"/>
    <n v="9"/>
    <x v="0"/>
    <x v="1"/>
    <x v="0"/>
    <x v="1"/>
  </r>
  <r>
    <n v="17"/>
    <x v="1"/>
    <n v="5.2"/>
    <x v="2"/>
    <n v="6"/>
    <n v="0.6"/>
    <n v="3.07"/>
    <n v="0.6"/>
    <x v="2"/>
    <n v="6"/>
    <n v="2"/>
    <n v="9"/>
    <x v="0"/>
    <x v="1"/>
    <x v="1"/>
    <x v="1"/>
  </r>
  <r>
    <n v="13"/>
    <x v="0"/>
    <n v="5.7"/>
    <x v="2"/>
    <n v="6.6"/>
    <n v="2.4"/>
    <n v="3.99"/>
    <n v="1.7"/>
    <x v="1"/>
    <n v="1"/>
    <n v="3"/>
    <n v="1"/>
    <x v="0"/>
    <x v="0"/>
    <x v="0"/>
    <x v="0"/>
  </r>
  <r>
    <n v="15"/>
    <x v="0"/>
    <n v="4.5999999999999996"/>
    <x v="1"/>
    <n v="5.2"/>
    <n v="1.4"/>
    <n v="2.98"/>
    <n v="1.9"/>
    <x v="0"/>
    <n v="1"/>
    <n v="4"/>
    <n v="5"/>
    <x v="0"/>
    <x v="0"/>
    <x v="1"/>
    <x v="2"/>
  </r>
  <r>
    <n v="13"/>
    <x v="0"/>
    <n v="4.3"/>
    <x v="1"/>
    <n v="7.5"/>
    <n v="2.7"/>
    <n v="2.29"/>
    <n v="0.8"/>
    <x v="1"/>
    <n v="1"/>
    <n v="10"/>
    <n v="1"/>
    <x v="0"/>
    <x v="0"/>
    <x v="0"/>
    <x v="0"/>
  </r>
  <r>
    <n v="17"/>
    <x v="1"/>
    <n v="4.0999999999999996"/>
    <x v="0"/>
    <n v="8.6"/>
    <n v="3"/>
    <n v="2.77"/>
    <n v="0.1"/>
    <x v="2"/>
    <n v="3"/>
    <n v="6"/>
    <n v="1"/>
    <x v="0"/>
    <x v="1"/>
    <x v="0"/>
    <x v="0"/>
  </r>
  <r>
    <n v="15"/>
    <x v="0"/>
    <n v="6.5"/>
    <x v="2"/>
    <n v="8.1"/>
    <n v="2"/>
    <n v="3.89"/>
    <n v="1.3"/>
    <x v="1"/>
    <n v="8"/>
    <n v="2"/>
    <n v="2"/>
    <x v="0"/>
    <x v="0"/>
    <x v="0"/>
    <x v="0"/>
  </r>
  <r>
    <n v="19"/>
    <x v="1"/>
    <n v="7.8"/>
    <x v="2"/>
    <n v="8.8000000000000007"/>
    <n v="2.1"/>
    <n v="3.75"/>
    <n v="1.3"/>
    <x v="1"/>
    <n v="10"/>
    <n v="9"/>
    <n v="6"/>
    <x v="0"/>
    <x v="1"/>
    <x v="0"/>
    <x v="2"/>
  </r>
  <r>
    <n v="17"/>
    <x v="0"/>
    <n v="6.5"/>
    <x v="0"/>
    <n v="4.0999999999999996"/>
    <n v="2.7"/>
    <n v="3.66"/>
    <n v="1.1000000000000001"/>
    <x v="2"/>
    <n v="6"/>
    <n v="10"/>
    <n v="10"/>
    <x v="0"/>
    <x v="1"/>
    <x v="1"/>
    <x v="1"/>
  </r>
  <r>
    <n v="17"/>
    <x v="1"/>
    <n v="3.2"/>
    <x v="1"/>
    <n v="4.2"/>
    <n v="0.6"/>
    <n v="2.21"/>
    <n v="1.4"/>
    <x v="2"/>
    <n v="6"/>
    <n v="6"/>
    <n v="3"/>
    <x v="0"/>
    <x v="1"/>
    <x v="1"/>
    <x v="0"/>
  </r>
  <r>
    <n v="13"/>
    <x v="0"/>
    <n v="2.4"/>
    <x v="1"/>
    <n v="4.0999999999999996"/>
    <n v="0.8"/>
    <n v="2.79"/>
    <n v="1.1000000000000001"/>
    <x v="2"/>
    <n v="8"/>
    <n v="6"/>
    <n v="3"/>
    <x v="0"/>
    <x v="0"/>
    <x v="1"/>
    <x v="0"/>
  </r>
  <r>
    <n v="15"/>
    <x v="1"/>
    <n v="4"/>
    <x v="0"/>
    <n v="8.1"/>
    <n v="2.1"/>
    <n v="2.0099999999999998"/>
    <n v="0.4"/>
    <x v="2"/>
    <n v="4"/>
    <n v="8"/>
    <n v="8"/>
    <x v="0"/>
    <x v="0"/>
    <x v="0"/>
    <x v="1"/>
  </r>
  <r>
    <n v="17"/>
    <x v="1"/>
    <n v="6"/>
    <x v="2"/>
    <n v="8.8000000000000007"/>
    <n v="1.3"/>
    <n v="4"/>
    <n v="0.9"/>
    <x v="2"/>
    <n v="8"/>
    <n v="10"/>
    <n v="7"/>
    <x v="0"/>
    <x v="1"/>
    <x v="0"/>
    <x v="1"/>
  </r>
  <r>
    <n v="18"/>
    <x v="0"/>
    <n v="1.2"/>
    <x v="1"/>
    <n v="8"/>
    <n v="1.7"/>
    <n v="3.12"/>
    <n v="0.1"/>
    <x v="0"/>
    <n v="6"/>
    <n v="4"/>
    <n v="2"/>
    <x v="0"/>
    <x v="1"/>
    <x v="0"/>
    <x v="0"/>
  </r>
  <r>
    <n v="16"/>
    <x v="0"/>
    <n v="5.7"/>
    <x v="2"/>
    <n v="5.8"/>
    <n v="2.8"/>
    <n v="2.17"/>
    <n v="0.5"/>
    <x v="2"/>
    <n v="3"/>
    <n v="9"/>
    <n v="2"/>
    <x v="0"/>
    <x v="1"/>
    <x v="1"/>
    <x v="0"/>
  </r>
  <r>
    <n v="19"/>
    <x v="0"/>
    <n v="6.5"/>
    <x v="2"/>
    <n v="8.1"/>
    <n v="2.2999999999999998"/>
    <n v="2.21"/>
    <n v="0.4"/>
    <x v="1"/>
    <n v="8"/>
    <n v="8"/>
    <n v="6"/>
    <x v="0"/>
    <x v="1"/>
    <x v="0"/>
    <x v="2"/>
  </r>
  <r>
    <n v="16"/>
    <x v="0"/>
    <n v="6.6"/>
    <x v="0"/>
    <n v="5.6"/>
    <n v="0.8"/>
    <n v="3.48"/>
    <n v="1.7"/>
    <x v="2"/>
    <n v="4"/>
    <n v="3"/>
    <n v="4"/>
    <x v="0"/>
    <x v="1"/>
    <x v="1"/>
    <x v="2"/>
  </r>
  <r>
    <n v="13"/>
    <x v="0"/>
    <n v="6"/>
    <x v="1"/>
    <n v="7.2"/>
    <n v="1.5"/>
    <n v="2.36"/>
    <n v="0.2"/>
    <x v="0"/>
    <n v="1"/>
    <n v="3"/>
    <n v="4"/>
    <x v="0"/>
    <x v="0"/>
    <x v="0"/>
    <x v="2"/>
  </r>
  <r>
    <n v="18"/>
    <x v="1"/>
    <n v="1.1000000000000001"/>
    <x v="2"/>
    <n v="8"/>
    <n v="2.7"/>
    <n v="2.04"/>
    <n v="0.1"/>
    <x v="0"/>
    <n v="7"/>
    <n v="10"/>
    <n v="2"/>
    <x v="0"/>
    <x v="1"/>
    <x v="0"/>
    <x v="0"/>
  </r>
  <r>
    <n v="13"/>
    <x v="1"/>
    <n v="3.8"/>
    <x v="0"/>
    <n v="7.9"/>
    <n v="1.3"/>
    <n v="3.97"/>
    <n v="0.2"/>
    <x v="2"/>
    <n v="7"/>
    <n v="10"/>
    <n v="9"/>
    <x v="0"/>
    <x v="0"/>
    <x v="0"/>
    <x v="1"/>
  </r>
  <r>
    <n v="13"/>
    <x v="1"/>
    <n v="4.7"/>
    <x v="2"/>
    <n v="6.8"/>
    <n v="1.7"/>
    <n v="3.27"/>
    <n v="1.4"/>
    <x v="0"/>
    <n v="4"/>
    <n v="2"/>
    <n v="4"/>
    <x v="0"/>
    <x v="0"/>
    <x v="0"/>
    <x v="2"/>
  </r>
  <r>
    <n v="15"/>
    <x v="0"/>
    <n v="7.4"/>
    <x v="1"/>
    <n v="6.3"/>
    <n v="1.3"/>
    <n v="3.47"/>
    <n v="1.2"/>
    <x v="2"/>
    <n v="1"/>
    <n v="3"/>
    <n v="9"/>
    <x v="0"/>
    <x v="0"/>
    <x v="0"/>
    <x v="1"/>
  </r>
  <r>
    <n v="17"/>
    <x v="0"/>
    <n v="3.9"/>
    <x v="0"/>
    <n v="7.1"/>
    <n v="2.4"/>
    <n v="3.82"/>
    <n v="0.8"/>
    <x v="1"/>
    <n v="3"/>
    <n v="6"/>
    <n v="10"/>
    <x v="0"/>
    <x v="1"/>
    <x v="0"/>
    <x v="1"/>
  </r>
  <r>
    <n v="18"/>
    <x v="0"/>
    <n v="3.1"/>
    <x v="0"/>
    <n v="5.7"/>
    <n v="2.9"/>
    <n v="3.1"/>
    <n v="0.6"/>
    <x v="2"/>
    <n v="9"/>
    <n v="4"/>
    <n v="2"/>
    <x v="0"/>
    <x v="1"/>
    <x v="1"/>
    <x v="0"/>
  </r>
  <r>
    <n v="16"/>
    <x v="1"/>
    <n v="2.6"/>
    <x v="1"/>
    <n v="8.8000000000000007"/>
    <n v="1.7"/>
    <n v="2.39"/>
    <n v="1"/>
    <x v="2"/>
    <n v="5"/>
    <n v="2"/>
    <n v="6"/>
    <x v="0"/>
    <x v="1"/>
    <x v="0"/>
    <x v="2"/>
  </r>
  <r>
    <n v="13"/>
    <x v="0"/>
    <n v="5"/>
    <x v="1"/>
    <n v="6.9"/>
    <n v="0.6"/>
    <n v="3.03"/>
    <n v="0.8"/>
    <x v="0"/>
    <n v="9"/>
    <n v="3"/>
    <n v="8"/>
    <x v="0"/>
    <x v="0"/>
    <x v="0"/>
    <x v="1"/>
  </r>
  <r>
    <n v="18"/>
    <x v="0"/>
    <n v="4.5"/>
    <x v="0"/>
    <n v="8.1"/>
    <n v="1.6"/>
    <n v="3.72"/>
    <n v="1.2"/>
    <x v="0"/>
    <n v="1"/>
    <n v="2"/>
    <n v="1"/>
    <x v="0"/>
    <x v="1"/>
    <x v="0"/>
    <x v="0"/>
  </r>
  <r>
    <n v="17"/>
    <x v="0"/>
    <n v="2.1"/>
    <x v="1"/>
    <n v="4.7"/>
    <n v="2"/>
    <n v="2.99"/>
    <n v="1.9"/>
    <x v="0"/>
    <n v="5"/>
    <n v="1"/>
    <n v="8"/>
    <x v="0"/>
    <x v="1"/>
    <x v="1"/>
    <x v="1"/>
  </r>
  <r>
    <n v="14"/>
    <x v="1"/>
    <n v="6.4"/>
    <x v="0"/>
    <n v="6"/>
    <n v="1.1000000000000001"/>
    <n v="3.81"/>
    <n v="0.9"/>
    <x v="2"/>
    <n v="8"/>
    <n v="2"/>
    <n v="3"/>
    <x v="0"/>
    <x v="0"/>
    <x v="1"/>
    <x v="0"/>
  </r>
  <r>
    <n v="15"/>
    <x v="1"/>
    <n v="2.2999999999999998"/>
    <x v="1"/>
    <n v="6.5"/>
    <n v="2.6"/>
    <n v="3.18"/>
    <n v="0.1"/>
    <x v="0"/>
    <n v="1"/>
    <n v="8"/>
    <n v="4"/>
    <x v="0"/>
    <x v="0"/>
    <x v="0"/>
    <x v="2"/>
  </r>
  <r>
    <n v="13"/>
    <x v="1"/>
    <n v="4.4000000000000004"/>
    <x v="1"/>
    <n v="8.8000000000000007"/>
    <n v="1.3"/>
    <n v="2.69"/>
    <n v="0.4"/>
    <x v="0"/>
    <n v="3"/>
    <n v="1"/>
    <n v="7"/>
    <x v="0"/>
    <x v="0"/>
    <x v="0"/>
    <x v="1"/>
  </r>
  <r>
    <n v="19"/>
    <x v="0"/>
    <n v="2.2999999999999998"/>
    <x v="0"/>
    <n v="6.9"/>
    <n v="2.2999999999999998"/>
    <n v="2.17"/>
    <n v="1.6"/>
    <x v="2"/>
    <n v="3"/>
    <n v="6"/>
    <n v="10"/>
    <x v="0"/>
    <x v="1"/>
    <x v="0"/>
    <x v="1"/>
  </r>
  <r>
    <n v="13"/>
    <x v="0"/>
    <n v="4.3"/>
    <x v="0"/>
    <n v="4.4000000000000004"/>
    <n v="0.7"/>
    <n v="3.19"/>
    <n v="0.3"/>
    <x v="0"/>
    <n v="6"/>
    <n v="2"/>
    <n v="6"/>
    <x v="0"/>
    <x v="0"/>
    <x v="1"/>
    <x v="2"/>
  </r>
  <r>
    <n v="18"/>
    <x v="1"/>
    <n v="3.9"/>
    <x v="1"/>
    <n v="5.2"/>
    <n v="1.8"/>
    <n v="2.41"/>
    <n v="0.6"/>
    <x v="1"/>
    <n v="9"/>
    <n v="5"/>
    <n v="5"/>
    <x v="0"/>
    <x v="1"/>
    <x v="1"/>
    <x v="2"/>
  </r>
  <r>
    <n v="18"/>
    <x v="0"/>
    <n v="2.9"/>
    <x v="1"/>
    <n v="7.5"/>
    <n v="0.9"/>
    <n v="2.62"/>
    <n v="2"/>
    <x v="1"/>
    <n v="3"/>
    <n v="1"/>
    <n v="9"/>
    <x v="0"/>
    <x v="1"/>
    <x v="0"/>
    <x v="1"/>
  </r>
  <r>
    <n v="14"/>
    <x v="0"/>
    <n v="2.1"/>
    <x v="0"/>
    <n v="8.5"/>
    <n v="1.1000000000000001"/>
    <n v="3.03"/>
    <n v="1.6"/>
    <x v="2"/>
    <n v="5"/>
    <n v="6"/>
    <n v="7"/>
    <x v="0"/>
    <x v="0"/>
    <x v="0"/>
    <x v="1"/>
  </r>
  <r>
    <n v="14"/>
    <x v="0"/>
    <n v="2.1"/>
    <x v="1"/>
    <n v="5"/>
    <n v="1.4"/>
    <n v="2.96"/>
    <n v="1.1000000000000001"/>
    <x v="0"/>
    <n v="7"/>
    <n v="1"/>
    <n v="9"/>
    <x v="0"/>
    <x v="0"/>
    <x v="1"/>
    <x v="1"/>
  </r>
  <r>
    <n v="16"/>
    <x v="0"/>
    <n v="3.8"/>
    <x v="1"/>
    <n v="5.7"/>
    <n v="1.3"/>
    <n v="3.84"/>
    <n v="1.6"/>
    <x v="2"/>
    <n v="3"/>
    <n v="4"/>
    <n v="10"/>
    <x v="0"/>
    <x v="1"/>
    <x v="1"/>
    <x v="1"/>
  </r>
  <r>
    <n v="15"/>
    <x v="1"/>
    <n v="1.1000000000000001"/>
    <x v="1"/>
    <n v="8.1999999999999993"/>
    <n v="0.7"/>
    <n v="2.94"/>
    <n v="0.7"/>
    <x v="1"/>
    <n v="10"/>
    <n v="7"/>
    <n v="9"/>
    <x v="0"/>
    <x v="0"/>
    <x v="0"/>
    <x v="1"/>
  </r>
  <r>
    <n v="14"/>
    <x v="0"/>
    <n v="2.5"/>
    <x v="2"/>
    <n v="5.3"/>
    <n v="2.4"/>
    <n v="3.87"/>
    <n v="1.3"/>
    <x v="1"/>
    <n v="10"/>
    <n v="9"/>
    <n v="6"/>
    <x v="0"/>
    <x v="0"/>
    <x v="1"/>
    <x v="2"/>
  </r>
  <r>
    <n v="19"/>
    <x v="1"/>
    <n v="4.0999999999999996"/>
    <x v="0"/>
    <n v="6.4"/>
    <n v="0.9"/>
    <n v="2.4700000000000002"/>
    <n v="1.2"/>
    <x v="1"/>
    <n v="7"/>
    <n v="3"/>
    <n v="4"/>
    <x v="0"/>
    <x v="1"/>
    <x v="0"/>
    <x v="2"/>
  </r>
  <r>
    <n v="16"/>
    <x v="0"/>
    <n v="3"/>
    <x v="0"/>
    <n v="8.6"/>
    <n v="1.5"/>
    <n v="2.84"/>
    <n v="0.3"/>
    <x v="1"/>
    <n v="6"/>
    <n v="4"/>
    <n v="3"/>
    <x v="0"/>
    <x v="1"/>
    <x v="0"/>
    <x v="0"/>
  </r>
  <r>
    <n v="13"/>
    <x v="1"/>
    <n v="3.9"/>
    <x v="0"/>
    <n v="5"/>
    <n v="0.7"/>
    <n v="2.98"/>
    <n v="0.3"/>
    <x v="2"/>
    <n v="10"/>
    <n v="8"/>
    <n v="3"/>
    <x v="0"/>
    <x v="0"/>
    <x v="1"/>
    <x v="0"/>
  </r>
  <r>
    <n v="13"/>
    <x v="0"/>
    <n v="7"/>
    <x v="1"/>
    <n v="8.9"/>
    <n v="0.6"/>
    <n v="2.7"/>
    <n v="1.8"/>
    <x v="2"/>
    <n v="5"/>
    <n v="4"/>
    <n v="1"/>
    <x v="0"/>
    <x v="0"/>
    <x v="0"/>
    <x v="0"/>
  </r>
  <r>
    <n v="16"/>
    <x v="0"/>
    <n v="3.6"/>
    <x v="2"/>
    <n v="8.9"/>
    <n v="1.9"/>
    <n v="2.11"/>
    <n v="1.7"/>
    <x v="0"/>
    <n v="9"/>
    <n v="5"/>
    <n v="2"/>
    <x v="0"/>
    <x v="1"/>
    <x v="0"/>
    <x v="0"/>
  </r>
  <r>
    <n v="15"/>
    <x v="0"/>
    <n v="7.6"/>
    <x v="0"/>
    <n v="7.6"/>
    <n v="2.7"/>
    <n v="2.36"/>
    <n v="1.2"/>
    <x v="2"/>
    <n v="5"/>
    <n v="10"/>
    <n v="3"/>
    <x v="0"/>
    <x v="0"/>
    <x v="0"/>
    <x v="0"/>
  </r>
  <r>
    <n v="19"/>
    <x v="0"/>
    <n v="1.3"/>
    <x v="0"/>
    <n v="4.5"/>
    <n v="0.7"/>
    <n v="2.5099999999999998"/>
    <n v="0.8"/>
    <x v="0"/>
    <n v="10"/>
    <n v="9"/>
    <n v="7"/>
    <x v="0"/>
    <x v="1"/>
    <x v="1"/>
    <x v="1"/>
  </r>
  <r>
    <n v="17"/>
    <x v="1"/>
    <n v="2.1"/>
    <x v="2"/>
    <n v="7.8"/>
    <n v="2.1"/>
    <n v="3.29"/>
    <n v="1.5"/>
    <x v="0"/>
    <n v="8"/>
    <n v="1"/>
    <n v="7"/>
    <x v="0"/>
    <x v="1"/>
    <x v="0"/>
    <x v="1"/>
  </r>
  <r>
    <n v="15"/>
    <x v="1"/>
    <n v="2.7"/>
    <x v="2"/>
    <n v="8.8000000000000007"/>
    <n v="1.9"/>
    <n v="2.14"/>
    <n v="0.4"/>
    <x v="1"/>
    <n v="8"/>
    <n v="10"/>
    <n v="3"/>
    <x v="0"/>
    <x v="0"/>
    <x v="0"/>
    <x v="0"/>
  </r>
  <r>
    <n v="13"/>
    <x v="0"/>
    <n v="7.5"/>
    <x v="2"/>
    <n v="8"/>
    <n v="2"/>
    <n v="3.25"/>
    <n v="0.7"/>
    <x v="2"/>
    <n v="9"/>
    <n v="10"/>
    <n v="2"/>
    <x v="0"/>
    <x v="0"/>
    <x v="0"/>
    <x v="0"/>
  </r>
  <r>
    <n v="16"/>
    <x v="1"/>
    <n v="6.1"/>
    <x v="2"/>
    <n v="8.8000000000000007"/>
    <n v="1.7"/>
    <n v="3.55"/>
    <n v="1.3"/>
    <x v="2"/>
    <n v="6"/>
    <n v="10"/>
    <n v="9"/>
    <x v="0"/>
    <x v="1"/>
    <x v="0"/>
    <x v="1"/>
  </r>
  <r>
    <n v="19"/>
    <x v="0"/>
    <n v="2.4"/>
    <x v="2"/>
    <n v="7.4"/>
    <n v="1.2"/>
    <n v="2.5"/>
    <n v="1.8"/>
    <x v="1"/>
    <n v="2"/>
    <n v="5"/>
    <n v="2"/>
    <x v="0"/>
    <x v="1"/>
    <x v="0"/>
    <x v="0"/>
  </r>
  <r>
    <n v="19"/>
    <x v="0"/>
    <n v="2"/>
    <x v="1"/>
    <n v="5.3"/>
    <n v="1.7"/>
    <n v="2.91"/>
    <n v="0.8"/>
    <x v="0"/>
    <n v="9"/>
    <n v="5"/>
    <n v="9"/>
    <x v="0"/>
    <x v="1"/>
    <x v="1"/>
    <x v="1"/>
  </r>
  <r>
    <n v="15"/>
    <x v="1"/>
    <n v="7.8"/>
    <x v="1"/>
    <n v="5.3"/>
    <n v="0.5"/>
    <n v="2.3199999999999998"/>
    <n v="0.8"/>
    <x v="0"/>
    <n v="8"/>
    <n v="9"/>
    <n v="3"/>
    <x v="1"/>
    <x v="0"/>
    <x v="1"/>
    <x v="0"/>
  </r>
  <r>
    <n v="16"/>
    <x v="1"/>
    <n v="6.8"/>
    <x v="1"/>
    <n v="7.2"/>
    <n v="2.5"/>
    <n v="3.61"/>
    <n v="0.5"/>
    <x v="2"/>
    <n v="10"/>
    <n v="1"/>
    <n v="9"/>
    <x v="0"/>
    <x v="1"/>
    <x v="0"/>
    <x v="1"/>
  </r>
  <r>
    <n v="17"/>
    <x v="0"/>
    <n v="8"/>
    <x v="0"/>
    <n v="4.5999999999999996"/>
    <n v="2.6"/>
    <n v="3.06"/>
    <n v="0.1"/>
    <x v="1"/>
    <n v="9"/>
    <n v="2"/>
    <n v="6"/>
    <x v="0"/>
    <x v="1"/>
    <x v="1"/>
    <x v="2"/>
  </r>
  <r>
    <n v="13"/>
    <x v="1"/>
    <n v="7.3"/>
    <x v="2"/>
    <n v="8.9"/>
    <n v="2.7"/>
    <n v="3.68"/>
    <n v="1.9"/>
    <x v="0"/>
    <n v="6"/>
    <n v="6"/>
    <n v="10"/>
    <x v="0"/>
    <x v="0"/>
    <x v="0"/>
    <x v="1"/>
  </r>
  <r>
    <n v="15"/>
    <x v="1"/>
    <n v="1.5"/>
    <x v="2"/>
    <n v="8.6999999999999993"/>
    <n v="1.2"/>
    <n v="2.52"/>
    <n v="0.1"/>
    <x v="0"/>
    <n v="9"/>
    <n v="7"/>
    <n v="2"/>
    <x v="0"/>
    <x v="0"/>
    <x v="0"/>
    <x v="0"/>
  </r>
  <r>
    <n v="15"/>
    <x v="1"/>
    <n v="3.4"/>
    <x v="0"/>
    <n v="5"/>
    <n v="1.8"/>
    <n v="3.2"/>
    <n v="1.5"/>
    <x v="2"/>
    <n v="4"/>
    <n v="5"/>
    <n v="1"/>
    <x v="0"/>
    <x v="0"/>
    <x v="1"/>
    <x v="0"/>
  </r>
  <r>
    <n v="15"/>
    <x v="0"/>
    <n v="7.3"/>
    <x v="2"/>
    <n v="4.8"/>
    <n v="2.6"/>
    <n v="3.81"/>
    <n v="1.5"/>
    <x v="0"/>
    <n v="4"/>
    <n v="7"/>
    <n v="4"/>
    <x v="0"/>
    <x v="0"/>
    <x v="1"/>
    <x v="2"/>
  </r>
  <r>
    <n v="13"/>
    <x v="1"/>
    <n v="1.9"/>
    <x v="1"/>
    <n v="8.5"/>
    <n v="0.8"/>
    <n v="3.33"/>
    <n v="1.3"/>
    <x v="2"/>
    <n v="5"/>
    <n v="1"/>
    <n v="3"/>
    <x v="0"/>
    <x v="0"/>
    <x v="0"/>
    <x v="0"/>
  </r>
  <r>
    <n v="17"/>
    <x v="1"/>
    <n v="3.9"/>
    <x v="0"/>
    <n v="8.1999999999999993"/>
    <n v="1.3"/>
    <n v="3.21"/>
    <n v="1.8"/>
    <x v="2"/>
    <n v="3"/>
    <n v="7"/>
    <n v="7"/>
    <x v="0"/>
    <x v="1"/>
    <x v="0"/>
    <x v="1"/>
  </r>
  <r>
    <n v="18"/>
    <x v="0"/>
    <n v="1.3"/>
    <x v="0"/>
    <n v="5.8"/>
    <n v="1.3"/>
    <n v="3.35"/>
    <n v="1.9"/>
    <x v="2"/>
    <n v="9"/>
    <n v="4"/>
    <n v="9"/>
    <x v="0"/>
    <x v="1"/>
    <x v="1"/>
    <x v="1"/>
  </r>
  <r>
    <n v="19"/>
    <x v="0"/>
    <n v="4.7"/>
    <x v="1"/>
    <n v="8.1999999999999993"/>
    <n v="1.8"/>
    <n v="2.2599999999999998"/>
    <n v="1"/>
    <x v="0"/>
    <n v="7"/>
    <n v="4"/>
    <n v="7"/>
    <x v="0"/>
    <x v="1"/>
    <x v="0"/>
    <x v="1"/>
  </r>
  <r>
    <n v="15"/>
    <x v="0"/>
    <n v="1.9"/>
    <x v="1"/>
    <n v="5.8"/>
    <n v="2.2999999999999998"/>
    <n v="2.4700000000000002"/>
    <n v="0.3"/>
    <x v="1"/>
    <n v="10"/>
    <n v="9"/>
    <n v="4"/>
    <x v="0"/>
    <x v="0"/>
    <x v="1"/>
    <x v="2"/>
  </r>
  <r>
    <n v="18"/>
    <x v="1"/>
    <n v="7"/>
    <x v="2"/>
    <n v="6.3"/>
    <n v="1.6"/>
    <n v="2.5499999999999998"/>
    <n v="0.5"/>
    <x v="2"/>
    <n v="10"/>
    <n v="1"/>
    <n v="8"/>
    <x v="0"/>
    <x v="1"/>
    <x v="0"/>
    <x v="1"/>
  </r>
  <r>
    <n v="15"/>
    <x v="0"/>
    <n v="6.2"/>
    <x v="1"/>
    <n v="6.3"/>
    <n v="1.7"/>
    <n v="2.2599999999999998"/>
    <n v="1.1000000000000001"/>
    <x v="1"/>
    <n v="9"/>
    <n v="6"/>
    <n v="2"/>
    <x v="0"/>
    <x v="0"/>
    <x v="0"/>
    <x v="0"/>
  </r>
  <r>
    <n v="14"/>
    <x v="0"/>
    <n v="3.2"/>
    <x v="1"/>
    <n v="8"/>
    <n v="1.3"/>
    <n v="2.5"/>
    <n v="1.1000000000000001"/>
    <x v="1"/>
    <n v="2"/>
    <n v="7"/>
    <n v="5"/>
    <x v="0"/>
    <x v="0"/>
    <x v="0"/>
    <x v="2"/>
  </r>
  <r>
    <n v="18"/>
    <x v="1"/>
    <n v="4.5"/>
    <x v="2"/>
    <n v="7.9"/>
    <n v="1.4"/>
    <n v="2.38"/>
    <n v="0.1"/>
    <x v="1"/>
    <n v="7"/>
    <n v="9"/>
    <n v="1"/>
    <x v="0"/>
    <x v="1"/>
    <x v="0"/>
    <x v="0"/>
  </r>
  <r>
    <n v="14"/>
    <x v="1"/>
    <n v="1.1000000000000001"/>
    <x v="2"/>
    <n v="6.1"/>
    <n v="2.5"/>
    <n v="2.8"/>
    <n v="1.8"/>
    <x v="1"/>
    <n v="4"/>
    <n v="10"/>
    <n v="3"/>
    <x v="0"/>
    <x v="0"/>
    <x v="0"/>
    <x v="0"/>
  </r>
  <r>
    <n v="13"/>
    <x v="0"/>
    <n v="5.9"/>
    <x v="0"/>
    <n v="8"/>
    <n v="2.8"/>
    <n v="3.21"/>
    <n v="1.6"/>
    <x v="2"/>
    <n v="2"/>
    <n v="8"/>
    <n v="8"/>
    <x v="0"/>
    <x v="0"/>
    <x v="0"/>
    <x v="1"/>
  </r>
  <r>
    <n v="17"/>
    <x v="0"/>
    <n v="5.0999999999999996"/>
    <x v="2"/>
    <n v="5"/>
    <n v="2.2000000000000002"/>
    <n v="3.58"/>
    <n v="1.2"/>
    <x v="1"/>
    <n v="6"/>
    <n v="3"/>
    <n v="9"/>
    <x v="0"/>
    <x v="1"/>
    <x v="1"/>
    <x v="1"/>
  </r>
  <r>
    <n v="15"/>
    <x v="0"/>
    <n v="1.6"/>
    <x v="0"/>
    <n v="6.9"/>
    <n v="2.2999999999999998"/>
    <n v="3.16"/>
    <n v="0.9"/>
    <x v="2"/>
    <n v="3"/>
    <n v="1"/>
    <n v="5"/>
    <x v="0"/>
    <x v="0"/>
    <x v="0"/>
    <x v="2"/>
  </r>
  <r>
    <n v="15"/>
    <x v="1"/>
    <n v="7.2"/>
    <x v="1"/>
    <n v="8"/>
    <n v="1.4"/>
    <n v="3.64"/>
    <n v="0.4"/>
    <x v="2"/>
    <n v="10"/>
    <n v="5"/>
    <n v="7"/>
    <x v="0"/>
    <x v="0"/>
    <x v="0"/>
    <x v="1"/>
  </r>
  <r>
    <n v="17"/>
    <x v="1"/>
    <n v="1.4"/>
    <x v="0"/>
    <n v="6.9"/>
    <n v="2.4"/>
    <n v="3.06"/>
    <n v="1.9"/>
    <x v="2"/>
    <n v="4"/>
    <n v="10"/>
    <n v="8"/>
    <x v="0"/>
    <x v="1"/>
    <x v="0"/>
    <x v="1"/>
  </r>
  <r>
    <n v="17"/>
    <x v="1"/>
    <n v="6.6"/>
    <x v="0"/>
    <n v="8"/>
    <n v="2.2000000000000002"/>
    <n v="2.21"/>
    <n v="1"/>
    <x v="1"/>
    <n v="10"/>
    <n v="8"/>
    <n v="10"/>
    <x v="0"/>
    <x v="1"/>
    <x v="0"/>
    <x v="1"/>
  </r>
  <r>
    <n v="15"/>
    <x v="1"/>
    <n v="3.5"/>
    <x v="0"/>
    <n v="6.3"/>
    <n v="0.8"/>
    <n v="2.71"/>
    <n v="1.8"/>
    <x v="1"/>
    <n v="7"/>
    <n v="4"/>
    <n v="2"/>
    <x v="0"/>
    <x v="0"/>
    <x v="0"/>
    <x v="0"/>
  </r>
  <r>
    <n v="17"/>
    <x v="1"/>
    <n v="5.4"/>
    <x v="2"/>
    <n v="6.3"/>
    <n v="2.8"/>
    <n v="3.06"/>
    <n v="0.8"/>
    <x v="0"/>
    <n v="3"/>
    <n v="7"/>
    <n v="9"/>
    <x v="0"/>
    <x v="1"/>
    <x v="0"/>
    <x v="1"/>
  </r>
  <r>
    <n v="16"/>
    <x v="1"/>
    <n v="4.2"/>
    <x v="2"/>
    <n v="7.3"/>
    <n v="1.1000000000000001"/>
    <n v="3.1"/>
    <n v="1.6"/>
    <x v="2"/>
    <n v="1"/>
    <n v="6"/>
    <n v="2"/>
    <x v="0"/>
    <x v="1"/>
    <x v="0"/>
    <x v="0"/>
  </r>
  <r>
    <n v="13"/>
    <x v="0"/>
    <n v="2.5"/>
    <x v="0"/>
    <n v="8.3000000000000007"/>
    <n v="1.6"/>
    <n v="2.91"/>
    <n v="0.6"/>
    <x v="1"/>
    <n v="10"/>
    <n v="2"/>
    <n v="6"/>
    <x v="0"/>
    <x v="0"/>
    <x v="0"/>
    <x v="2"/>
  </r>
  <r>
    <n v="16"/>
    <x v="1"/>
    <n v="3.8"/>
    <x v="1"/>
    <n v="6"/>
    <n v="3"/>
    <n v="2.1"/>
    <n v="0.2"/>
    <x v="0"/>
    <n v="7"/>
    <n v="9"/>
    <n v="1"/>
    <x v="0"/>
    <x v="1"/>
    <x v="1"/>
    <x v="0"/>
  </r>
  <r>
    <n v="13"/>
    <x v="0"/>
    <n v="1.8"/>
    <x v="0"/>
    <n v="8.9"/>
    <n v="1.2"/>
    <n v="3.67"/>
    <n v="0.1"/>
    <x v="2"/>
    <n v="2"/>
    <n v="8"/>
    <n v="9"/>
    <x v="0"/>
    <x v="0"/>
    <x v="0"/>
    <x v="1"/>
  </r>
  <r>
    <n v="14"/>
    <x v="0"/>
    <n v="5.4"/>
    <x v="0"/>
    <n v="5.6"/>
    <n v="1.8"/>
    <n v="3.01"/>
    <n v="0.9"/>
    <x v="0"/>
    <n v="10"/>
    <n v="6"/>
    <n v="8"/>
    <x v="0"/>
    <x v="0"/>
    <x v="1"/>
    <x v="1"/>
  </r>
  <r>
    <n v="14"/>
    <x v="1"/>
    <n v="7.7"/>
    <x v="0"/>
    <n v="6.1"/>
    <n v="0.8"/>
    <n v="3.47"/>
    <n v="1.5"/>
    <x v="2"/>
    <n v="9"/>
    <n v="10"/>
    <n v="9"/>
    <x v="0"/>
    <x v="0"/>
    <x v="0"/>
    <x v="1"/>
  </r>
  <r>
    <n v="18"/>
    <x v="1"/>
    <n v="4.0999999999999996"/>
    <x v="0"/>
    <n v="8"/>
    <n v="1.7"/>
    <n v="2.29"/>
    <n v="1.4"/>
    <x v="0"/>
    <n v="2"/>
    <n v="1"/>
    <n v="10"/>
    <x v="0"/>
    <x v="1"/>
    <x v="0"/>
    <x v="1"/>
  </r>
  <r>
    <n v="15"/>
    <x v="1"/>
    <n v="6.6"/>
    <x v="2"/>
    <n v="4.9000000000000004"/>
    <n v="3"/>
    <n v="2.99"/>
    <n v="0.9"/>
    <x v="2"/>
    <n v="4"/>
    <n v="8"/>
    <n v="3"/>
    <x v="0"/>
    <x v="0"/>
    <x v="1"/>
    <x v="0"/>
  </r>
  <r>
    <n v="16"/>
    <x v="0"/>
    <n v="2.2999999999999998"/>
    <x v="2"/>
    <n v="4.0999999999999996"/>
    <n v="0.8"/>
    <n v="3.18"/>
    <n v="1.7"/>
    <x v="2"/>
    <n v="5"/>
    <n v="3"/>
    <n v="8"/>
    <x v="0"/>
    <x v="1"/>
    <x v="1"/>
    <x v="1"/>
  </r>
  <r>
    <n v="17"/>
    <x v="1"/>
    <n v="7.5"/>
    <x v="0"/>
    <n v="5.9"/>
    <n v="2.9"/>
    <n v="3.71"/>
    <n v="1.7"/>
    <x v="0"/>
    <n v="3"/>
    <n v="1"/>
    <n v="10"/>
    <x v="0"/>
    <x v="1"/>
    <x v="1"/>
    <x v="1"/>
  </r>
  <r>
    <n v="18"/>
    <x v="0"/>
    <n v="7.1"/>
    <x v="0"/>
    <n v="8"/>
    <n v="2.9"/>
    <n v="2.59"/>
    <n v="1.2"/>
    <x v="1"/>
    <n v="10"/>
    <n v="8"/>
    <n v="5"/>
    <x v="0"/>
    <x v="1"/>
    <x v="0"/>
    <x v="2"/>
  </r>
  <r>
    <n v="17"/>
    <x v="1"/>
    <n v="1.7"/>
    <x v="2"/>
    <n v="6.3"/>
    <n v="1.5"/>
    <n v="2.66"/>
    <n v="1.8"/>
    <x v="0"/>
    <n v="1"/>
    <n v="4"/>
    <n v="10"/>
    <x v="0"/>
    <x v="1"/>
    <x v="0"/>
    <x v="1"/>
  </r>
  <r>
    <n v="13"/>
    <x v="0"/>
    <n v="7.9"/>
    <x v="0"/>
    <n v="5.8"/>
    <n v="0.8"/>
    <n v="3.31"/>
    <n v="1.6"/>
    <x v="2"/>
    <n v="3"/>
    <n v="7"/>
    <n v="2"/>
    <x v="0"/>
    <x v="0"/>
    <x v="1"/>
    <x v="0"/>
  </r>
  <r>
    <n v="16"/>
    <x v="1"/>
    <n v="4"/>
    <x v="0"/>
    <n v="7.9"/>
    <n v="1.9"/>
    <n v="2.56"/>
    <n v="0.1"/>
    <x v="1"/>
    <n v="4"/>
    <n v="9"/>
    <n v="9"/>
    <x v="0"/>
    <x v="1"/>
    <x v="0"/>
    <x v="1"/>
  </r>
  <r>
    <n v="15"/>
    <x v="1"/>
    <n v="1.2"/>
    <x v="1"/>
    <n v="8.1"/>
    <n v="2"/>
    <n v="3.33"/>
    <n v="1.5"/>
    <x v="2"/>
    <n v="7"/>
    <n v="3"/>
    <n v="8"/>
    <x v="0"/>
    <x v="0"/>
    <x v="0"/>
    <x v="1"/>
  </r>
  <r>
    <n v="19"/>
    <x v="0"/>
    <n v="3.5"/>
    <x v="1"/>
    <n v="8.4"/>
    <n v="1.7"/>
    <n v="2.46"/>
    <n v="0.1"/>
    <x v="1"/>
    <n v="6"/>
    <n v="9"/>
    <n v="3"/>
    <x v="0"/>
    <x v="1"/>
    <x v="0"/>
    <x v="0"/>
  </r>
  <r>
    <n v="17"/>
    <x v="0"/>
    <n v="1.1000000000000001"/>
    <x v="0"/>
    <n v="6.8"/>
    <n v="2"/>
    <n v="3.45"/>
    <n v="1.3"/>
    <x v="2"/>
    <n v="7"/>
    <n v="1"/>
    <n v="2"/>
    <x v="0"/>
    <x v="1"/>
    <x v="0"/>
    <x v="0"/>
  </r>
  <r>
    <n v="19"/>
    <x v="1"/>
    <n v="1.6"/>
    <x v="1"/>
    <n v="4.0999999999999996"/>
    <n v="1.6"/>
    <n v="3.15"/>
    <n v="0.9"/>
    <x v="2"/>
    <n v="2"/>
    <n v="6"/>
    <n v="4"/>
    <x v="0"/>
    <x v="1"/>
    <x v="1"/>
    <x v="2"/>
  </r>
  <r>
    <n v="16"/>
    <x v="1"/>
    <n v="2.5"/>
    <x v="1"/>
    <n v="8.9"/>
    <n v="2.9"/>
    <n v="2.5299999999999998"/>
    <n v="0.1"/>
    <x v="1"/>
    <n v="8"/>
    <n v="7"/>
    <n v="3"/>
    <x v="0"/>
    <x v="1"/>
    <x v="0"/>
    <x v="0"/>
  </r>
  <r>
    <n v="15"/>
    <x v="0"/>
    <n v="2.8"/>
    <x v="0"/>
    <n v="7.2"/>
    <n v="1.8"/>
    <n v="2.91"/>
    <n v="0.2"/>
    <x v="0"/>
    <n v="5"/>
    <n v="5"/>
    <n v="4"/>
    <x v="0"/>
    <x v="0"/>
    <x v="0"/>
    <x v="2"/>
  </r>
  <r>
    <n v="15"/>
    <x v="0"/>
    <n v="2.2000000000000002"/>
    <x v="0"/>
    <n v="5.2"/>
    <n v="1.4"/>
    <n v="2.62"/>
    <n v="1.5"/>
    <x v="2"/>
    <n v="10"/>
    <n v="7"/>
    <n v="5"/>
    <x v="0"/>
    <x v="0"/>
    <x v="1"/>
    <x v="2"/>
  </r>
  <r>
    <n v="16"/>
    <x v="0"/>
    <n v="4.8"/>
    <x v="2"/>
    <n v="6.8"/>
    <n v="1"/>
    <n v="2.6"/>
    <n v="1.1000000000000001"/>
    <x v="2"/>
    <n v="1"/>
    <n v="5"/>
    <n v="6"/>
    <x v="0"/>
    <x v="1"/>
    <x v="0"/>
    <x v="2"/>
  </r>
  <r>
    <n v="18"/>
    <x v="1"/>
    <n v="3.7"/>
    <x v="2"/>
    <n v="7.9"/>
    <n v="2.7"/>
    <n v="3.11"/>
    <n v="0.3"/>
    <x v="2"/>
    <n v="6"/>
    <n v="6"/>
    <n v="5"/>
    <x v="0"/>
    <x v="1"/>
    <x v="0"/>
    <x v="2"/>
  </r>
  <r>
    <n v="16"/>
    <x v="0"/>
    <n v="5.5"/>
    <x v="0"/>
    <n v="8.3000000000000007"/>
    <n v="2.2999999999999998"/>
    <n v="3.47"/>
    <n v="1.6"/>
    <x v="2"/>
    <n v="4"/>
    <n v="8"/>
    <n v="5"/>
    <x v="0"/>
    <x v="1"/>
    <x v="0"/>
    <x v="2"/>
  </r>
  <r>
    <n v="16"/>
    <x v="0"/>
    <n v="2.5"/>
    <x v="0"/>
    <n v="6.8"/>
    <n v="1"/>
    <n v="3.77"/>
    <n v="1"/>
    <x v="1"/>
    <n v="3"/>
    <n v="9"/>
    <n v="9"/>
    <x v="0"/>
    <x v="1"/>
    <x v="0"/>
    <x v="1"/>
  </r>
  <r>
    <n v="18"/>
    <x v="1"/>
    <n v="1.9"/>
    <x v="1"/>
    <n v="5.8"/>
    <n v="1.7"/>
    <n v="3.52"/>
    <n v="0.2"/>
    <x v="0"/>
    <n v="6"/>
    <n v="5"/>
    <n v="1"/>
    <x v="0"/>
    <x v="1"/>
    <x v="1"/>
    <x v="0"/>
  </r>
  <r>
    <n v="13"/>
    <x v="0"/>
    <n v="5.9"/>
    <x v="0"/>
    <n v="7.5"/>
    <n v="1.4"/>
    <n v="2.58"/>
    <n v="1.2"/>
    <x v="0"/>
    <n v="6"/>
    <n v="2"/>
    <n v="8"/>
    <x v="0"/>
    <x v="0"/>
    <x v="0"/>
    <x v="1"/>
  </r>
  <r>
    <n v="13"/>
    <x v="1"/>
    <n v="6.5"/>
    <x v="1"/>
    <n v="8.3000000000000007"/>
    <n v="0.6"/>
    <n v="3.05"/>
    <n v="0.3"/>
    <x v="1"/>
    <n v="2"/>
    <n v="7"/>
    <n v="8"/>
    <x v="0"/>
    <x v="0"/>
    <x v="0"/>
    <x v="1"/>
  </r>
  <r>
    <n v="15"/>
    <x v="0"/>
    <n v="7.5"/>
    <x v="0"/>
    <n v="8.1"/>
    <n v="2.5"/>
    <n v="3.56"/>
    <n v="1.2"/>
    <x v="2"/>
    <n v="6"/>
    <n v="8"/>
    <n v="10"/>
    <x v="0"/>
    <x v="0"/>
    <x v="0"/>
    <x v="1"/>
  </r>
  <r>
    <n v="19"/>
    <x v="0"/>
    <n v="4.9000000000000004"/>
    <x v="1"/>
    <n v="4.5"/>
    <n v="2.9"/>
    <n v="3.88"/>
    <n v="0.8"/>
    <x v="0"/>
    <n v="5"/>
    <n v="5"/>
    <n v="6"/>
    <x v="0"/>
    <x v="1"/>
    <x v="1"/>
    <x v="2"/>
  </r>
  <r>
    <n v="13"/>
    <x v="0"/>
    <n v="2.2000000000000002"/>
    <x v="1"/>
    <n v="5.3"/>
    <n v="1.4"/>
    <n v="3.97"/>
    <n v="0"/>
    <x v="0"/>
    <n v="1"/>
    <n v="10"/>
    <n v="7"/>
    <x v="0"/>
    <x v="0"/>
    <x v="1"/>
    <x v="1"/>
  </r>
  <r>
    <n v="14"/>
    <x v="0"/>
    <n v="5.8"/>
    <x v="2"/>
    <n v="6.9"/>
    <n v="0.7"/>
    <n v="3.01"/>
    <n v="1.9"/>
    <x v="1"/>
    <n v="9"/>
    <n v="9"/>
    <n v="4"/>
    <x v="0"/>
    <x v="0"/>
    <x v="0"/>
    <x v="2"/>
  </r>
  <r>
    <n v="14"/>
    <x v="0"/>
    <n v="1.3"/>
    <x v="0"/>
    <n v="8.5"/>
    <n v="0.9"/>
    <n v="3.71"/>
    <n v="0.7"/>
    <x v="1"/>
    <n v="3"/>
    <n v="3"/>
    <n v="6"/>
    <x v="0"/>
    <x v="0"/>
    <x v="0"/>
    <x v="2"/>
  </r>
  <r>
    <n v="19"/>
    <x v="1"/>
    <n v="2.8"/>
    <x v="1"/>
    <n v="4.8"/>
    <n v="1.7"/>
    <n v="2.8"/>
    <n v="0.6"/>
    <x v="0"/>
    <n v="5"/>
    <n v="7"/>
    <n v="4"/>
    <x v="0"/>
    <x v="1"/>
    <x v="1"/>
    <x v="2"/>
  </r>
  <r>
    <n v="19"/>
    <x v="1"/>
    <n v="4"/>
    <x v="1"/>
    <n v="6.5"/>
    <n v="2.4"/>
    <n v="3.67"/>
    <n v="0.6"/>
    <x v="0"/>
    <n v="4"/>
    <n v="6"/>
    <n v="4"/>
    <x v="0"/>
    <x v="1"/>
    <x v="0"/>
    <x v="2"/>
  </r>
  <r>
    <n v="14"/>
    <x v="1"/>
    <n v="1.7"/>
    <x v="1"/>
    <n v="4.9000000000000004"/>
    <n v="1.6"/>
    <n v="2.36"/>
    <n v="1.7"/>
    <x v="1"/>
    <n v="3"/>
    <n v="1"/>
    <n v="6"/>
    <x v="0"/>
    <x v="0"/>
    <x v="1"/>
    <x v="2"/>
  </r>
  <r>
    <n v="18"/>
    <x v="1"/>
    <n v="1.4"/>
    <x v="1"/>
    <n v="6.1"/>
    <n v="1.6"/>
    <n v="2.56"/>
    <n v="1.2"/>
    <x v="1"/>
    <n v="2"/>
    <n v="7"/>
    <n v="8"/>
    <x v="0"/>
    <x v="1"/>
    <x v="0"/>
    <x v="1"/>
  </r>
  <r>
    <n v="19"/>
    <x v="0"/>
    <n v="2.2999999999999998"/>
    <x v="1"/>
    <n v="6.5"/>
    <n v="3"/>
    <n v="3.5"/>
    <n v="0.1"/>
    <x v="1"/>
    <n v="9"/>
    <n v="10"/>
    <n v="8"/>
    <x v="0"/>
    <x v="1"/>
    <x v="0"/>
    <x v="1"/>
  </r>
  <r>
    <n v="14"/>
    <x v="0"/>
    <n v="3.8"/>
    <x v="0"/>
    <n v="5.3"/>
    <n v="1"/>
    <n v="2.2799999999999998"/>
    <n v="1.2"/>
    <x v="0"/>
    <n v="9"/>
    <n v="3"/>
    <n v="1"/>
    <x v="0"/>
    <x v="0"/>
    <x v="1"/>
    <x v="0"/>
  </r>
  <r>
    <n v="13"/>
    <x v="0"/>
    <n v="6.4"/>
    <x v="1"/>
    <n v="5.0999999999999996"/>
    <n v="2.5"/>
    <n v="2.62"/>
    <n v="1.3"/>
    <x v="0"/>
    <n v="5"/>
    <n v="4"/>
    <n v="7"/>
    <x v="0"/>
    <x v="0"/>
    <x v="1"/>
    <x v="1"/>
  </r>
  <r>
    <n v="19"/>
    <x v="0"/>
    <n v="6"/>
    <x v="2"/>
    <n v="7.1"/>
    <n v="0.9"/>
    <n v="2.98"/>
    <n v="0.1"/>
    <x v="0"/>
    <n v="1"/>
    <n v="6"/>
    <n v="5"/>
    <x v="0"/>
    <x v="1"/>
    <x v="0"/>
    <x v="2"/>
  </r>
  <r>
    <n v="16"/>
    <x v="0"/>
    <n v="1.9"/>
    <x v="0"/>
    <n v="7.8"/>
    <n v="2.1"/>
    <n v="2.2599999999999998"/>
    <n v="0.3"/>
    <x v="1"/>
    <n v="7"/>
    <n v="7"/>
    <n v="5"/>
    <x v="0"/>
    <x v="1"/>
    <x v="0"/>
    <x v="2"/>
  </r>
  <r>
    <n v="17"/>
    <x v="0"/>
    <n v="2.4"/>
    <x v="1"/>
    <n v="8.5"/>
    <n v="2.4"/>
    <n v="2.79"/>
    <n v="1.1000000000000001"/>
    <x v="0"/>
    <n v="1"/>
    <n v="6"/>
    <n v="7"/>
    <x v="0"/>
    <x v="1"/>
    <x v="0"/>
    <x v="1"/>
  </r>
  <r>
    <n v="14"/>
    <x v="1"/>
    <n v="2.7"/>
    <x v="0"/>
    <n v="5.0999999999999996"/>
    <n v="2.4"/>
    <n v="2.17"/>
    <n v="1.8"/>
    <x v="1"/>
    <n v="3"/>
    <n v="10"/>
    <n v="8"/>
    <x v="0"/>
    <x v="0"/>
    <x v="1"/>
    <x v="1"/>
  </r>
  <r>
    <n v="14"/>
    <x v="0"/>
    <n v="1.5"/>
    <x v="2"/>
    <n v="7.2"/>
    <n v="1.7"/>
    <n v="2.76"/>
    <n v="0"/>
    <x v="0"/>
    <n v="10"/>
    <n v="7"/>
    <n v="10"/>
    <x v="0"/>
    <x v="0"/>
    <x v="0"/>
    <x v="1"/>
  </r>
  <r>
    <n v="18"/>
    <x v="0"/>
    <n v="7.7"/>
    <x v="0"/>
    <n v="7.3"/>
    <n v="1.8"/>
    <n v="3.13"/>
    <n v="2"/>
    <x v="2"/>
    <n v="7"/>
    <n v="9"/>
    <n v="7"/>
    <x v="0"/>
    <x v="1"/>
    <x v="0"/>
    <x v="1"/>
  </r>
  <r>
    <n v="13"/>
    <x v="0"/>
    <n v="2.9"/>
    <x v="1"/>
    <n v="5.0999999999999996"/>
    <n v="2.2000000000000002"/>
    <n v="3.81"/>
    <n v="0.7"/>
    <x v="0"/>
    <n v="6"/>
    <n v="6"/>
    <n v="10"/>
    <x v="0"/>
    <x v="0"/>
    <x v="1"/>
    <x v="1"/>
  </r>
  <r>
    <n v="16"/>
    <x v="0"/>
    <n v="7.6"/>
    <x v="1"/>
    <n v="4.3"/>
    <n v="2.7"/>
    <n v="2.5099999999999998"/>
    <n v="0.3"/>
    <x v="2"/>
    <n v="3"/>
    <n v="9"/>
    <n v="10"/>
    <x v="0"/>
    <x v="1"/>
    <x v="1"/>
    <x v="1"/>
  </r>
  <r>
    <n v="18"/>
    <x v="0"/>
    <n v="5.7"/>
    <x v="2"/>
    <n v="8.4"/>
    <n v="2.4"/>
    <n v="2.84"/>
    <n v="0.7"/>
    <x v="0"/>
    <n v="5"/>
    <n v="4"/>
    <n v="9"/>
    <x v="0"/>
    <x v="1"/>
    <x v="0"/>
    <x v="1"/>
  </r>
  <r>
    <n v="19"/>
    <x v="0"/>
    <n v="1.2"/>
    <x v="1"/>
    <n v="5"/>
    <n v="1.5"/>
    <n v="2.09"/>
    <n v="0.6"/>
    <x v="2"/>
    <n v="5"/>
    <n v="2"/>
    <n v="1"/>
    <x v="0"/>
    <x v="1"/>
    <x v="1"/>
    <x v="0"/>
  </r>
  <r>
    <n v="16"/>
    <x v="1"/>
    <n v="2.4"/>
    <x v="2"/>
    <n v="6.2"/>
    <n v="1.6"/>
    <n v="2.38"/>
    <n v="0"/>
    <x v="2"/>
    <n v="8"/>
    <n v="4"/>
    <n v="10"/>
    <x v="0"/>
    <x v="1"/>
    <x v="0"/>
    <x v="1"/>
  </r>
  <r>
    <n v="17"/>
    <x v="1"/>
    <n v="6.2"/>
    <x v="2"/>
    <n v="5.0999999999999996"/>
    <n v="2"/>
    <n v="3.82"/>
    <n v="1.7"/>
    <x v="2"/>
    <n v="7"/>
    <n v="3"/>
    <n v="5"/>
    <x v="0"/>
    <x v="1"/>
    <x v="1"/>
    <x v="2"/>
  </r>
  <r>
    <n v="14"/>
    <x v="1"/>
    <n v="4.7"/>
    <x v="0"/>
    <n v="5.0999999999999996"/>
    <n v="2.2000000000000002"/>
    <n v="2.0299999999999998"/>
    <n v="1.1000000000000001"/>
    <x v="2"/>
    <n v="2"/>
    <n v="10"/>
    <n v="7"/>
    <x v="0"/>
    <x v="0"/>
    <x v="1"/>
    <x v="1"/>
  </r>
  <r>
    <n v="19"/>
    <x v="0"/>
    <n v="5.3"/>
    <x v="0"/>
    <n v="6.7"/>
    <n v="0.7"/>
    <n v="3.59"/>
    <n v="1.8"/>
    <x v="1"/>
    <n v="4"/>
    <n v="8"/>
    <n v="8"/>
    <x v="0"/>
    <x v="1"/>
    <x v="0"/>
    <x v="1"/>
  </r>
  <r>
    <n v="19"/>
    <x v="1"/>
    <n v="6"/>
    <x v="1"/>
    <n v="6"/>
    <n v="0.7"/>
    <n v="3.29"/>
    <n v="1.4"/>
    <x v="0"/>
    <n v="4"/>
    <n v="5"/>
    <n v="1"/>
    <x v="0"/>
    <x v="1"/>
    <x v="1"/>
    <x v="0"/>
  </r>
  <r>
    <n v="16"/>
    <x v="1"/>
    <n v="7.8"/>
    <x v="1"/>
    <n v="4.7"/>
    <n v="2.1"/>
    <n v="2.48"/>
    <n v="2"/>
    <x v="0"/>
    <n v="8"/>
    <n v="3"/>
    <n v="1"/>
    <x v="0"/>
    <x v="1"/>
    <x v="1"/>
    <x v="0"/>
  </r>
  <r>
    <n v="14"/>
    <x v="1"/>
    <n v="4.4000000000000004"/>
    <x v="2"/>
    <n v="4.2"/>
    <n v="2.6"/>
    <n v="2.2799999999999998"/>
    <n v="1.3"/>
    <x v="2"/>
    <n v="8"/>
    <n v="10"/>
    <n v="4"/>
    <x v="0"/>
    <x v="0"/>
    <x v="1"/>
    <x v="2"/>
  </r>
  <r>
    <n v="17"/>
    <x v="0"/>
    <n v="6.7"/>
    <x v="0"/>
    <n v="7.6"/>
    <n v="2.4"/>
    <n v="3.59"/>
    <n v="0.4"/>
    <x v="2"/>
    <n v="9"/>
    <n v="5"/>
    <n v="5"/>
    <x v="0"/>
    <x v="1"/>
    <x v="0"/>
    <x v="2"/>
  </r>
  <r>
    <n v="13"/>
    <x v="1"/>
    <n v="7.2"/>
    <x v="1"/>
    <n v="7.4"/>
    <n v="2.2000000000000002"/>
    <n v="3.42"/>
    <n v="0.1"/>
    <x v="0"/>
    <n v="8"/>
    <n v="9"/>
    <n v="6"/>
    <x v="0"/>
    <x v="0"/>
    <x v="0"/>
    <x v="2"/>
  </r>
  <r>
    <n v="18"/>
    <x v="0"/>
    <n v="6.1"/>
    <x v="2"/>
    <n v="4.4000000000000004"/>
    <n v="2.1"/>
    <n v="2.23"/>
    <n v="1"/>
    <x v="0"/>
    <n v="8"/>
    <n v="2"/>
    <n v="5"/>
    <x v="0"/>
    <x v="1"/>
    <x v="1"/>
    <x v="2"/>
  </r>
  <r>
    <n v="16"/>
    <x v="0"/>
    <n v="5.4"/>
    <x v="1"/>
    <n v="8.6999999999999993"/>
    <n v="1.9"/>
    <n v="2.67"/>
    <n v="1.3"/>
    <x v="0"/>
    <n v="1"/>
    <n v="5"/>
    <n v="7"/>
    <x v="0"/>
    <x v="1"/>
    <x v="0"/>
    <x v="1"/>
  </r>
  <r>
    <n v="19"/>
    <x v="0"/>
    <n v="2.7"/>
    <x v="2"/>
    <n v="7.7"/>
    <n v="0.7"/>
    <n v="2.2200000000000002"/>
    <n v="0.4"/>
    <x v="2"/>
    <n v="10"/>
    <n v="8"/>
    <n v="7"/>
    <x v="0"/>
    <x v="1"/>
    <x v="0"/>
    <x v="1"/>
  </r>
  <r>
    <n v="13"/>
    <x v="1"/>
    <n v="7.9"/>
    <x v="0"/>
    <n v="7.2"/>
    <n v="1.5"/>
    <n v="2.36"/>
    <n v="0.2"/>
    <x v="2"/>
    <n v="2"/>
    <n v="6"/>
    <n v="8"/>
    <x v="0"/>
    <x v="0"/>
    <x v="0"/>
    <x v="1"/>
  </r>
  <r>
    <n v="13"/>
    <x v="0"/>
    <n v="4.5999999999999996"/>
    <x v="1"/>
    <n v="7.3"/>
    <n v="1.6"/>
    <n v="2.91"/>
    <n v="0.4"/>
    <x v="0"/>
    <n v="10"/>
    <n v="5"/>
    <n v="7"/>
    <x v="0"/>
    <x v="0"/>
    <x v="0"/>
    <x v="1"/>
  </r>
  <r>
    <n v="13"/>
    <x v="0"/>
    <n v="5.6"/>
    <x v="0"/>
    <n v="4.5999999999999996"/>
    <n v="1.9"/>
    <n v="2.54"/>
    <n v="0.1"/>
    <x v="0"/>
    <n v="5"/>
    <n v="5"/>
    <n v="6"/>
    <x v="0"/>
    <x v="0"/>
    <x v="1"/>
    <x v="2"/>
  </r>
  <r>
    <n v="17"/>
    <x v="1"/>
    <n v="6.5"/>
    <x v="1"/>
    <n v="6.4"/>
    <n v="0.7"/>
    <n v="3.57"/>
    <n v="1.1000000000000001"/>
    <x v="0"/>
    <n v="2"/>
    <n v="9"/>
    <n v="6"/>
    <x v="0"/>
    <x v="1"/>
    <x v="0"/>
    <x v="2"/>
  </r>
  <r>
    <n v="19"/>
    <x v="0"/>
    <n v="5.9"/>
    <x v="2"/>
    <n v="7.2"/>
    <n v="0.9"/>
    <n v="3.99"/>
    <n v="1.7"/>
    <x v="0"/>
    <n v="7"/>
    <n v="9"/>
    <n v="3"/>
    <x v="0"/>
    <x v="1"/>
    <x v="0"/>
    <x v="0"/>
  </r>
  <r>
    <n v="19"/>
    <x v="1"/>
    <n v="1.1000000000000001"/>
    <x v="1"/>
    <n v="5.0999999999999996"/>
    <n v="2.2000000000000002"/>
    <n v="2.13"/>
    <n v="0.9"/>
    <x v="0"/>
    <n v="7"/>
    <n v="7"/>
    <n v="2"/>
    <x v="0"/>
    <x v="1"/>
    <x v="1"/>
    <x v="0"/>
  </r>
  <r>
    <n v="18"/>
    <x v="0"/>
    <n v="3.2"/>
    <x v="1"/>
    <n v="5.0999999999999996"/>
    <n v="1.2"/>
    <n v="3.54"/>
    <n v="1.3"/>
    <x v="0"/>
    <n v="6"/>
    <n v="2"/>
    <n v="8"/>
    <x v="0"/>
    <x v="1"/>
    <x v="1"/>
    <x v="1"/>
  </r>
  <r>
    <n v="14"/>
    <x v="0"/>
    <n v="6.5"/>
    <x v="0"/>
    <n v="5.3"/>
    <n v="2.7"/>
    <n v="3.79"/>
    <n v="0.8"/>
    <x v="0"/>
    <n v="8"/>
    <n v="6"/>
    <n v="4"/>
    <x v="0"/>
    <x v="0"/>
    <x v="1"/>
    <x v="2"/>
  </r>
  <r>
    <n v="17"/>
    <x v="1"/>
    <n v="7.3"/>
    <x v="0"/>
    <n v="6.2"/>
    <n v="1"/>
    <n v="2.02"/>
    <n v="0.2"/>
    <x v="0"/>
    <n v="1"/>
    <n v="6"/>
    <n v="3"/>
    <x v="0"/>
    <x v="1"/>
    <x v="0"/>
    <x v="0"/>
  </r>
  <r>
    <n v="17"/>
    <x v="0"/>
    <n v="1.5"/>
    <x v="1"/>
    <n v="5.5"/>
    <n v="1.7"/>
    <n v="2.93"/>
    <n v="0.7"/>
    <x v="0"/>
    <n v="4"/>
    <n v="9"/>
    <n v="9"/>
    <x v="0"/>
    <x v="1"/>
    <x v="1"/>
    <x v="1"/>
  </r>
  <r>
    <n v="16"/>
    <x v="0"/>
    <n v="3.8"/>
    <x v="0"/>
    <n v="6.8"/>
    <n v="2.4"/>
    <n v="3.1"/>
    <n v="1.6"/>
    <x v="0"/>
    <n v="6"/>
    <n v="10"/>
    <n v="4"/>
    <x v="0"/>
    <x v="1"/>
    <x v="0"/>
    <x v="2"/>
  </r>
  <r>
    <n v="13"/>
    <x v="1"/>
    <n v="3.6"/>
    <x v="1"/>
    <n v="8.6"/>
    <n v="2.8"/>
    <n v="3.28"/>
    <n v="0.7"/>
    <x v="1"/>
    <n v="10"/>
    <n v="3"/>
    <n v="5"/>
    <x v="0"/>
    <x v="0"/>
    <x v="0"/>
    <x v="2"/>
  </r>
  <r>
    <n v="15"/>
    <x v="0"/>
    <n v="3.6"/>
    <x v="1"/>
    <n v="4.3"/>
    <n v="2.9"/>
    <n v="2.2000000000000002"/>
    <n v="1"/>
    <x v="1"/>
    <n v="10"/>
    <n v="9"/>
    <n v="7"/>
    <x v="0"/>
    <x v="0"/>
    <x v="1"/>
    <x v="1"/>
  </r>
  <r>
    <n v="17"/>
    <x v="1"/>
    <n v="5.3"/>
    <x v="0"/>
    <n v="7.4"/>
    <n v="1.2"/>
    <n v="3.41"/>
    <n v="1.1000000000000001"/>
    <x v="1"/>
    <n v="6"/>
    <n v="3"/>
    <n v="7"/>
    <x v="0"/>
    <x v="1"/>
    <x v="0"/>
    <x v="1"/>
  </r>
  <r>
    <n v="19"/>
    <x v="0"/>
    <n v="4.4000000000000004"/>
    <x v="1"/>
    <n v="4.3"/>
    <n v="0.8"/>
    <n v="2.44"/>
    <n v="1"/>
    <x v="1"/>
    <n v="9"/>
    <n v="9"/>
    <n v="7"/>
    <x v="0"/>
    <x v="1"/>
    <x v="1"/>
    <x v="1"/>
  </r>
  <r>
    <n v="18"/>
    <x v="0"/>
    <n v="7.7"/>
    <x v="1"/>
    <n v="4.7"/>
    <n v="1.4"/>
    <n v="3.04"/>
    <n v="0.6"/>
    <x v="2"/>
    <n v="9"/>
    <n v="6"/>
    <n v="6"/>
    <x v="0"/>
    <x v="1"/>
    <x v="1"/>
    <x v="2"/>
  </r>
  <r>
    <n v="14"/>
    <x v="1"/>
    <n v="7.1"/>
    <x v="1"/>
    <n v="4.5"/>
    <n v="2.4"/>
    <n v="3.53"/>
    <n v="0.4"/>
    <x v="1"/>
    <n v="3"/>
    <n v="4"/>
    <n v="4"/>
    <x v="0"/>
    <x v="0"/>
    <x v="1"/>
    <x v="2"/>
  </r>
  <r>
    <n v="16"/>
    <x v="0"/>
    <n v="4.9000000000000004"/>
    <x v="0"/>
    <n v="6.8"/>
    <n v="1"/>
    <n v="3.18"/>
    <n v="1.9"/>
    <x v="1"/>
    <n v="7"/>
    <n v="4"/>
    <n v="8"/>
    <x v="0"/>
    <x v="1"/>
    <x v="0"/>
    <x v="1"/>
  </r>
  <r>
    <n v="19"/>
    <x v="0"/>
    <n v="4.5999999999999996"/>
    <x v="2"/>
    <n v="8.9"/>
    <n v="1.9"/>
    <n v="2.5"/>
    <n v="0.4"/>
    <x v="2"/>
    <n v="8"/>
    <n v="1"/>
    <n v="3"/>
    <x v="0"/>
    <x v="1"/>
    <x v="0"/>
    <x v="0"/>
  </r>
  <r>
    <n v="19"/>
    <x v="0"/>
    <n v="1.8"/>
    <x v="0"/>
    <n v="6.5"/>
    <n v="2.6"/>
    <n v="2.75"/>
    <n v="1.7"/>
    <x v="1"/>
    <n v="7"/>
    <n v="6"/>
    <n v="1"/>
    <x v="0"/>
    <x v="1"/>
    <x v="0"/>
    <x v="0"/>
  </r>
  <r>
    <n v="16"/>
    <x v="0"/>
    <n v="4.2"/>
    <x v="2"/>
    <n v="5.7"/>
    <n v="1"/>
    <n v="2.77"/>
    <n v="0.1"/>
    <x v="1"/>
    <n v="10"/>
    <n v="5"/>
    <n v="9"/>
    <x v="0"/>
    <x v="1"/>
    <x v="1"/>
    <x v="1"/>
  </r>
  <r>
    <n v="16"/>
    <x v="0"/>
    <n v="1.5"/>
    <x v="1"/>
    <n v="6.7"/>
    <n v="0.5"/>
    <n v="2.78"/>
    <n v="1.2"/>
    <x v="0"/>
    <n v="1"/>
    <n v="9"/>
    <n v="6"/>
    <x v="0"/>
    <x v="1"/>
    <x v="0"/>
    <x v="2"/>
  </r>
  <r>
    <n v="19"/>
    <x v="0"/>
    <n v="7"/>
    <x v="0"/>
    <n v="8.9"/>
    <n v="2.8"/>
    <n v="2.84"/>
    <n v="0.4"/>
    <x v="1"/>
    <n v="6"/>
    <n v="8"/>
    <n v="6"/>
    <x v="0"/>
    <x v="1"/>
    <x v="0"/>
    <x v="2"/>
  </r>
  <r>
    <n v="14"/>
    <x v="1"/>
    <n v="6.5"/>
    <x v="2"/>
    <n v="7.8"/>
    <n v="1.5"/>
    <n v="3.26"/>
    <n v="0.8"/>
    <x v="2"/>
    <n v="9"/>
    <n v="2"/>
    <n v="3"/>
    <x v="0"/>
    <x v="0"/>
    <x v="0"/>
    <x v="0"/>
  </r>
  <r>
    <n v="19"/>
    <x v="1"/>
    <n v="4.3"/>
    <x v="0"/>
    <n v="5.9"/>
    <n v="2.1"/>
    <n v="2.85"/>
    <n v="1.7"/>
    <x v="1"/>
    <n v="9"/>
    <n v="9"/>
    <n v="8"/>
    <x v="0"/>
    <x v="1"/>
    <x v="1"/>
    <x v="1"/>
  </r>
  <r>
    <n v="16"/>
    <x v="0"/>
    <n v="7.2"/>
    <x v="2"/>
    <n v="7.7"/>
    <n v="2.5"/>
    <n v="2.56"/>
    <n v="1.7"/>
    <x v="1"/>
    <n v="8"/>
    <n v="7"/>
    <n v="6"/>
    <x v="0"/>
    <x v="1"/>
    <x v="0"/>
    <x v="2"/>
  </r>
  <r>
    <n v="13"/>
    <x v="0"/>
    <n v="7"/>
    <x v="2"/>
    <n v="4.0999999999999996"/>
    <n v="1.9"/>
    <n v="2.2999999999999998"/>
    <n v="0.3"/>
    <x v="2"/>
    <n v="3"/>
    <n v="10"/>
    <n v="6"/>
    <x v="0"/>
    <x v="0"/>
    <x v="1"/>
    <x v="2"/>
  </r>
  <r>
    <n v="18"/>
    <x v="1"/>
    <n v="3.8"/>
    <x v="2"/>
    <n v="5.4"/>
    <n v="1.7"/>
    <n v="3.06"/>
    <n v="1.9"/>
    <x v="2"/>
    <n v="5"/>
    <n v="10"/>
    <n v="3"/>
    <x v="0"/>
    <x v="1"/>
    <x v="1"/>
    <x v="0"/>
  </r>
  <r>
    <n v="17"/>
    <x v="1"/>
    <n v="3"/>
    <x v="0"/>
    <n v="6.9"/>
    <n v="2.2999999999999998"/>
    <n v="3.34"/>
    <n v="0.6"/>
    <x v="0"/>
    <n v="5"/>
    <n v="2"/>
    <n v="9"/>
    <x v="0"/>
    <x v="1"/>
    <x v="0"/>
    <x v="1"/>
  </r>
  <r>
    <n v="14"/>
    <x v="1"/>
    <n v="7"/>
    <x v="1"/>
    <n v="7.8"/>
    <n v="1.1000000000000001"/>
    <n v="3.81"/>
    <n v="1.4"/>
    <x v="2"/>
    <n v="10"/>
    <n v="4"/>
    <n v="2"/>
    <x v="0"/>
    <x v="0"/>
    <x v="0"/>
    <x v="0"/>
  </r>
  <r>
    <n v="13"/>
    <x v="0"/>
    <n v="4.5999999999999996"/>
    <x v="1"/>
    <n v="5.3"/>
    <n v="2.2999999999999998"/>
    <n v="2.42"/>
    <n v="0.2"/>
    <x v="0"/>
    <n v="5"/>
    <n v="9"/>
    <n v="5"/>
    <x v="0"/>
    <x v="0"/>
    <x v="1"/>
    <x v="2"/>
  </r>
  <r>
    <n v="16"/>
    <x v="0"/>
    <n v="3.4"/>
    <x v="2"/>
    <n v="8.9"/>
    <n v="2.6"/>
    <n v="2.54"/>
    <n v="1.8"/>
    <x v="1"/>
    <n v="6"/>
    <n v="2"/>
    <n v="5"/>
    <x v="0"/>
    <x v="1"/>
    <x v="0"/>
    <x v="2"/>
  </r>
  <r>
    <n v="19"/>
    <x v="1"/>
    <n v="3.5"/>
    <x v="1"/>
    <n v="6.7"/>
    <n v="2.7"/>
    <n v="3.4"/>
    <n v="1.2"/>
    <x v="0"/>
    <n v="4"/>
    <n v="6"/>
    <n v="7"/>
    <x v="0"/>
    <x v="1"/>
    <x v="0"/>
    <x v="1"/>
  </r>
  <r>
    <n v="14"/>
    <x v="1"/>
    <n v="4.4000000000000004"/>
    <x v="2"/>
    <n v="7.3"/>
    <n v="2.7"/>
    <n v="3.3"/>
    <n v="1.1000000000000001"/>
    <x v="0"/>
    <n v="2"/>
    <n v="1"/>
    <n v="9"/>
    <x v="0"/>
    <x v="0"/>
    <x v="0"/>
    <x v="1"/>
  </r>
  <r>
    <n v="14"/>
    <x v="1"/>
    <n v="1.8"/>
    <x v="2"/>
    <n v="8.1999999999999993"/>
    <n v="2.2000000000000002"/>
    <n v="3.36"/>
    <n v="1.7"/>
    <x v="1"/>
    <n v="9"/>
    <n v="5"/>
    <n v="10"/>
    <x v="0"/>
    <x v="0"/>
    <x v="0"/>
    <x v="1"/>
  </r>
  <r>
    <n v="17"/>
    <x v="0"/>
    <n v="3.9"/>
    <x v="2"/>
    <n v="7.7"/>
    <n v="1"/>
    <n v="2.1"/>
    <n v="1.8"/>
    <x v="1"/>
    <n v="7"/>
    <n v="4"/>
    <n v="5"/>
    <x v="0"/>
    <x v="1"/>
    <x v="0"/>
    <x v="2"/>
  </r>
  <r>
    <n v="14"/>
    <x v="1"/>
    <n v="4.4000000000000004"/>
    <x v="1"/>
    <n v="5.7"/>
    <n v="1"/>
    <n v="3.2"/>
    <n v="1.9"/>
    <x v="1"/>
    <n v="4"/>
    <n v="2"/>
    <n v="2"/>
    <x v="0"/>
    <x v="0"/>
    <x v="1"/>
    <x v="0"/>
  </r>
  <r>
    <n v="13"/>
    <x v="1"/>
    <n v="2"/>
    <x v="0"/>
    <n v="8.6999999999999993"/>
    <n v="1.9"/>
    <n v="2.2799999999999998"/>
    <n v="1.2"/>
    <x v="2"/>
    <n v="7"/>
    <n v="7"/>
    <n v="9"/>
    <x v="0"/>
    <x v="0"/>
    <x v="0"/>
    <x v="1"/>
  </r>
  <r>
    <n v="17"/>
    <x v="0"/>
    <n v="7.2"/>
    <x v="1"/>
    <n v="8.8000000000000007"/>
    <n v="2.5"/>
    <n v="3.97"/>
    <n v="1.9"/>
    <x v="0"/>
    <n v="1"/>
    <n v="3"/>
    <n v="9"/>
    <x v="0"/>
    <x v="1"/>
    <x v="0"/>
    <x v="1"/>
  </r>
  <r>
    <n v="19"/>
    <x v="0"/>
    <n v="4.4000000000000004"/>
    <x v="2"/>
    <n v="6.4"/>
    <n v="0.9"/>
    <n v="2.72"/>
    <n v="0.2"/>
    <x v="2"/>
    <n v="6"/>
    <n v="9"/>
    <n v="8"/>
    <x v="0"/>
    <x v="1"/>
    <x v="0"/>
    <x v="1"/>
  </r>
  <r>
    <n v="14"/>
    <x v="0"/>
    <n v="7.2"/>
    <x v="1"/>
    <n v="4.8"/>
    <n v="1.4"/>
    <n v="2.36"/>
    <n v="0.1"/>
    <x v="0"/>
    <n v="5"/>
    <n v="7"/>
    <n v="1"/>
    <x v="0"/>
    <x v="0"/>
    <x v="1"/>
    <x v="0"/>
  </r>
  <r>
    <n v="13"/>
    <x v="0"/>
    <n v="5.4"/>
    <x v="0"/>
    <n v="6.5"/>
    <n v="0.8"/>
    <n v="3.17"/>
    <n v="0.3"/>
    <x v="2"/>
    <n v="10"/>
    <n v="3"/>
    <n v="3"/>
    <x v="0"/>
    <x v="0"/>
    <x v="0"/>
    <x v="0"/>
  </r>
  <r>
    <n v="16"/>
    <x v="0"/>
    <n v="1.5"/>
    <x v="1"/>
    <n v="4.0999999999999996"/>
    <n v="1.3"/>
    <n v="3.67"/>
    <n v="1.2"/>
    <x v="1"/>
    <n v="10"/>
    <n v="6"/>
    <n v="6"/>
    <x v="0"/>
    <x v="1"/>
    <x v="1"/>
    <x v="2"/>
  </r>
  <r>
    <n v="15"/>
    <x v="1"/>
    <n v="1.8"/>
    <x v="0"/>
    <n v="8"/>
    <n v="2.8"/>
    <n v="3.49"/>
    <n v="0.6"/>
    <x v="0"/>
    <n v="9"/>
    <n v="8"/>
    <n v="8"/>
    <x v="0"/>
    <x v="0"/>
    <x v="0"/>
    <x v="1"/>
  </r>
  <r>
    <n v="17"/>
    <x v="1"/>
    <n v="3.7"/>
    <x v="1"/>
    <n v="5.3"/>
    <n v="0.7"/>
    <n v="2.09"/>
    <n v="0.8"/>
    <x v="1"/>
    <n v="8"/>
    <n v="8"/>
    <n v="10"/>
    <x v="0"/>
    <x v="1"/>
    <x v="1"/>
    <x v="1"/>
  </r>
  <r>
    <n v="13"/>
    <x v="0"/>
    <n v="6.4"/>
    <x v="2"/>
    <n v="8.3000000000000007"/>
    <n v="1.3"/>
    <n v="2.21"/>
    <n v="1.2"/>
    <x v="1"/>
    <n v="4"/>
    <n v="5"/>
    <n v="9"/>
    <x v="0"/>
    <x v="0"/>
    <x v="0"/>
    <x v="1"/>
  </r>
  <r>
    <n v="19"/>
    <x v="0"/>
    <n v="6.4"/>
    <x v="2"/>
    <n v="6.7"/>
    <n v="2.4"/>
    <n v="2.2000000000000002"/>
    <n v="1.3"/>
    <x v="0"/>
    <n v="5"/>
    <n v="2"/>
    <n v="2"/>
    <x v="0"/>
    <x v="1"/>
    <x v="0"/>
    <x v="0"/>
  </r>
  <r>
    <n v="17"/>
    <x v="1"/>
    <n v="1.1000000000000001"/>
    <x v="0"/>
    <n v="9"/>
    <n v="2.9"/>
    <n v="2.74"/>
    <n v="1"/>
    <x v="2"/>
    <n v="2"/>
    <n v="8"/>
    <n v="2"/>
    <x v="0"/>
    <x v="1"/>
    <x v="0"/>
    <x v="0"/>
  </r>
  <r>
    <n v="13"/>
    <x v="0"/>
    <n v="1.3"/>
    <x v="1"/>
    <n v="7.8"/>
    <n v="2.6"/>
    <n v="3.01"/>
    <n v="0.3"/>
    <x v="0"/>
    <n v="2"/>
    <n v="9"/>
    <n v="10"/>
    <x v="0"/>
    <x v="0"/>
    <x v="0"/>
    <x v="1"/>
  </r>
  <r>
    <n v="17"/>
    <x v="1"/>
    <n v="4.4000000000000004"/>
    <x v="0"/>
    <n v="6"/>
    <n v="1.2"/>
    <n v="2.48"/>
    <n v="0.9"/>
    <x v="2"/>
    <n v="6"/>
    <n v="2"/>
    <n v="6"/>
    <x v="0"/>
    <x v="1"/>
    <x v="1"/>
    <x v="2"/>
  </r>
  <r>
    <n v="13"/>
    <x v="0"/>
    <n v="7.8"/>
    <x v="0"/>
    <n v="5"/>
    <n v="1.8"/>
    <n v="3.57"/>
    <n v="1.5"/>
    <x v="2"/>
    <n v="8"/>
    <n v="10"/>
    <n v="3"/>
    <x v="1"/>
    <x v="0"/>
    <x v="1"/>
    <x v="0"/>
  </r>
  <r>
    <n v="14"/>
    <x v="1"/>
    <n v="6.9"/>
    <x v="1"/>
    <n v="6.4"/>
    <n v="0.9"/>
    <n v="2.04"/>
    <n v="1.3"/>
    <x v="2"/>
    <n v="5"/>
    <n v="5"/>
    <n v="9"/>
    <x v="0"/>
    <x v="0"/>
    <x v="0"/>
    <x v="1"/>
  </r>
  <r>
    <n v="14"/>
    <x v="1"/>
    <n v="4.8"/>
    <x v="0"/>
    <n v="6.8"/>
    <n v="0.8"/>
    <n v="3"/>
    <n v="0.9"/>
    <x v="0"/>
    <n v="4"/>
    <n v="3"/>
    <n v="4"/>
    <x v="0"/>
    <x v="0"/>
    <x v="0"/>
    <x v="2"/>
  </r>
  <r>
    <n v="13"/>
    <x v="0"/>
    <n v="7.5"/>
    <x v="0"/>
    <n v="8.6"/>
    <n v="1.9"/>
    <n v="3.33"/>
    <n v="0.9"/>
    <x v="2"/>
    <n v="7"/>
    <n v="3"/>
    <n v="10"/>
    <x v="0"/>
    <x v="0"/>
    <x v="0"/>
    <x v="1"/>
  </r>
  <r>
    <n v="15"/>
    <x v="1"/>
    <n v="6.7"/>
    <x v="0"/>
    <n v="7"/>
    <n v="2.2000000000000002"/>
    <n v="2.61"/>
    <n v="0.7"/>
    <x v="1"/>
    <n v="2"/>
    <n v="7"/>
    <n v="8"/>
    <x v="0"/>
    <x v="0"/>
    <x v="0"/>
    <x v="1"/>
  </r>
  <r>
    <n v="14"/>
    <x v="0"/>
    <n v="3.8"/>
    <x v="0"/>
    <n v="4.8"/>
    <n v="1.9"/>
    <n v="3.97"/>
    <n v="0.2"/>
    <x v="1"/>
    <n v="4"/>
    <n v="6"/>
    <n v="6"/>
    <x v="0"/>
    <x v="0"/>
    <x v="1"/>
    <x v="2"/>
  </r>
  <r>
    <n v="15"/>
    <x v="0"/>
    <n v="3"/>
    <x v="0"/>
    <n v="8.6"/>
    <n v="1.5"/>
    <n v="3.27"/>
    <n v="0.8"/>
    <x v="2"/>
    <n v="10"/>
    <n v="10"/>
    <n v="4"/>
    <x v="0"/>
    <x v="0"/>
    <x v="0"/>
    <x v="2"/>
  </r>
  <r>
    <n v="17"/>
    <x v="0"/>
    <n v="7.8"/>
    <x v="1"/>
    <n v="7.1"/>
    <n v="0.8"/>
    <n v="2.79"/>
    <n v="1.4"/>
    <x v="2"/>
    <n v="9"/>
    <n v="4"/>
    <n v="2"/>
    <x v="0"/>
    <x v="1"/>
    <x v="0"/>
    <x v="0"/>
  </r>
  <r>
    <n v="14"/>
    <x v="1"/>
    <n v="7.8"/>
    <x v="0"/>
    <n v="4.3"/>
    <n v="2.6"/>
    <n v="3.33"/>
    <n v="2"/>
    <x v="1"/>
    <n v="3"/>
    <n v="7"/>
    <n v="3"/>
    <x v="0"/>
    <x v="0"/>
    <x v="1"/>
    <x v="0"/>
  </r>
  <r>
    <n v="15"/>
    <x v="1"/>
    <n v="6.6"/>
    <x v="1"/>
    <n v="9"/>
    <n v="1.5"/>
    <n v="3.04"/>
    <n v="1.5"/>
    <x v="0"/>
    <n v="4"/>
    <n v="2"/>
    <n v="7"/>
    <x v="0"/>
    <x v="0"/>
    <x v="0"/>
    <x v="1"/>
  </r>
  <r>
    <n v="13"/>
    <x v="1"/>
    <n v="7.3"/>
    <x v="0"/>
    <n v="6.4"/>
    <n v="2.2999999999999998"/>
    <n v="2.5299999999999998"/>
    <n v="0.7"/>
    <x v="0"/>
    <n v="9"/>
    <n v="9"/>
    <n v="4"/>
    <x v="0"/>
    <x v="0"/>
    <x v="0"/>
    <x v="2"/>
  </r>
  <r>
    <n v="19"/>
    <x v="0"/>
    <n v="6.6"/>
    <x v="0"/>
    <n v="4.4000000000000004"/>
    <n v="1.1000000000000001"/>
    <n v="2.29"/>
    <n v="1"/>
    <x v="0"/>
    <n v="6"/>
    <n v="8"/>
    <n v="5"/>
    <x v="0"/>
    <x v="1"/>
    <x v="1"/>
    <x v="2"/>
  </r>
  <r>
    <n v="19"/>
    <x v="1"/>
    <n v="5.6"/>
    <x v="1"/>
    <n v="8.1"/>
    <n v="3"/>
    <n v="2.75"/>
    <n v="0.7"/>
    <x v="2"/>
    <n v="6"/>
    <n v="3"/>
    <n v="4"/>
    <x v="0"/>
    <x v="1"/>
    <x v="0"/>
    <x v="2"/>
  </r>
  <r>
    <n v="13"/>
    <x v="1"/>
    <n v="8"/>
    <x v="0"/>
    <n v="5.4"/>
    <n v="2.8"/>
    <n v="3.1"/>
    <n v="1.9"/>
    <x v="1"/>
    <n v="6"/>
    <n v="10"/>
    <n v="10"/>
    <x v="0"/>
    <x v="0"/>
    <x v="1"/>
    <x v="1"/>
  </r>
  <r>
    <n v="13"/>
    <x v="1"/>
    <n v="1.3"/>
    <x v="0"/>
    <n v="8.9"/>
    <n v="2.6"/>
    <n v="3.54"/>
    <n v="1.2"/>
    <x v="1"/>
    <n v="8"/>
    <n v="5"/>
    <n v="2"/>
    <x v="0"/>
    <x v="0"/>
    <x v="0"/>
    <x v="0"/>
  </r>
  <r>
    <n v="15"/>
    <x v="1"/>
    <n v="5.9"/>
    <x v="2"/>
    <n v="6.9"/>
    <n v="1.4"/>
    <n v="3.62"/>
    <n v="1.5"/>
    <x v="2"/>
    <n v="3"/>
    <n v="9"/>
    <n v="1"/>
    <x v="0"/>
    <x v="0"/>
    <x v="0"/>
    <x v="0"/>
  </r>
  <r>
    <n v="14"/>
    <x v="1"/>
    <n v="2"/>
    <x v="0"/>
    <n v="8.8000000000000007"/>
    <n v="0.9"/>
    <n v="3.61"/>
    <n v="0.7"/>
    <x v="1"/>
    <n v="10"/>
    <n v="2"/>
    <n v="3"/>
    <x v="0"/>
    <x v="0"/>
    <x v="0"/>
    <x v="0"/>
  </r>
  <r>
    <n v="19"/>
    <x v="1"/>
    <n v="1.4"/>
    <x v="0"/>
    <n v="6.6"/>
    <n v="1.8"/>
    <n v="3.07"/>
    <n v="0"/>
    <x v="0"/>
    <n v="5"/>
    <n v="2"/>
    <n v="6"/>
    <x v="0"/>
    <x v="1"/>
    <x v="0"/>
    <x v="2"/>
  </r>
  <r>
    <n v="13"/>
    <x v="1"/>
    <n v="6.4"/>
    <x v="2"/>
    <n v="6.7"/>
    <n v="0.8"/>
    <n v="3.9"/>
    <n v="1.9"/>
    <x v="1"/>
    <n v="3"/>
    <n v="3"/>
    <n v="10"/>
    <x v="0"/>
    <x v="0"/>
    <x v="0"/>
    <x v="1"/>
  </r>
  <r>
    <n v="15"/>
    <x v="0"/>
    <n v="7.6"/>
    <x v="1"/>
    <n v="7.9"/>
    <n v="0.8"/>
    <n v="3.55"/>
    <n v="1.9"/>
    <x v="1"/>
    <n v="10"/>
    <n v="8"/>
    <n v="6"/>
    <x v="0"/>
    <x v="0"/>
    <x v="0"/>
    <x v="2"/>
  </r>
  <r>
    <n v="16"/>
    <x v="0"/>
    <n v="7.9"/>
    <x v="2"/>
    <n v="5.5"/>
    <n v="0.6"/>
    <n v="3.65"/>
    <n v="1.4"/>
    <x v="0"/>
    <n v="1"/>
    <n v="4"/>
    <n v="1"/>
    <x v="0"/>
    <x v="1"/>
    <x v="1"/>
    <x v="0"/>
  </r>
  <r>
    <n v="15"/>
    <x v="0"/>
    <n v="5.0999999999999996"/>
    <x v="0"/>
    <n v="4.0999999999999996"/>
    <n v="2.8"/>
    <n v="3.79"/>
    <n v="0.8"/>
    <x v="2"/>
    <n v="9"/>
    <n v="7"/>
    <n v="3"/>
    <x v="1"/>
    <x v="0"/>
    <x v="1"/>
    <x v="0"/>
  </r>
  <r>
    <n v="18"/>
    <x v="0"/>
    <n v="6.4"/>
    <x v="1"/>
    <n v="7.4"/>
    <n v="1.5"/>
    <n v="2.92"/>
    <n v="0.6"/>
    <x v="0"/>
    <n v="9"/>
    <n v="2"/>
    <n v="5"/>
    <x v="0"/>
    <x v="1"/>
    <x v="0"/>
    <x v="2"/>
  </r>
  <r>
    <n v="13"/>
    <x v="1"/>
    <n v="7.2"/>
    <x v="2"/>
    <n v="6.7"/>
    <n v="0.9"/>
    <n v="2.36"/>
    <n v="0.6"/>
    <x v="0"/>
    <n v="8"/>
    <n v="8"/>
    <n v="1"/>
    <x v="0"/>
    <x v="0"/>
    <x v="0"/>
    <x v="0"/>
  </r>
  <r>
    <n v="18"/>
    <x v="1"/>
    <n v="2.9"/>
    <x v="2"/>
    <n v="4.5999999999999996"/>
    <n v="2.2999999999999998"/>
    <n v="3.03"/>
    <n v="0.3"/>
    <x v="0"/>
    <n v="6"/>
    <n v="1"/>
    <n v="9"/>
    <x v="0"/>
    <x v="1"/>
    <x v="1"/>
    <x v="1"/>
  </r>
  <r>
    <n v="19"/>
    <x v="0"/>
    <n v="1.5"/>
    <x v="0"/>
    <n v="7.3"/>
    <n v="2.7"/>
    <n v="2.61"/>
    <n v="0.9"/>
    <x v="0"/>
    <n v="5"/>
    <n v="7"/>
    <n v="10"/>
    <x v="0"/>
    <x v="1"/>
    <x v="0"/>
    <x v="1"/>
  </r>
  <r>
    <n v="14"/>
    <x v="0"/>
    <n v="5.4"/>
    <x v="2"/>
    <n v="8.1"/>
    <n v="1.8"/>
    <n v="2.5299999999999998"/>
    <n v="0.9"/>
    <x v="2"/>
    <n v="5"/>
    <n v="8"/>
    <n v="8"/>
    <x v="0"/>
    <x v="0"/>
    <x v="0"/>
    <x v="1"/>
  </r>
  <r>
    <n v="13"/>
    <x v="0"/>
    <n v="7.2"/>
    <x v="1"/>
    <n v="4.0999999999999996"/>
    <n v="1.3"/>
    <n v="2.4900000000000002"/>
    <n v="1.8"/>
    <x v="2"/>
    <n v="5"/>
    <n v="5"/>
    <n v="4"/>
    <x v="0"/>
    <x v="0"/>
    <x v="1"/>
    <x v="2"/>
  </r>
  <r>
    <n v="15"/>
    <x v="1"/>
    <n v="7"/>
    <x v="0"/>
    <n v="5.9"/>
    <n v="1.3"/>
    <n v="2.91"/>
    <n v="1.2"/>
    <x v="0"/>
    <n v="10"/>
    <n v="2"/>
    <n v="6"/>
    <x v="0"/>
    <x v="0"/>
    <x v="1"/>
    <x v="2"/>
  </r>
  <r>
    <n v="17"/>
    <x v="1"/>
    <n v="7.5"/>
    <x v="1"/>
    <n v="6.7"/>
    <n v="1.1000000000000001"/>
    <n v="3.77"/>
    <n v="0.6"/>
    <x v="1"/>
    <n v="3"/>
    <n v="8"/>
    <n v="6"/>
    <x v="0"/>
    <x v="1"/>
    <x v="0"/>
    <x v="2"/>
  </r>
  <r>
    <n v="14"/>
    <x v="0"/>
    <n v="1.4"/>
    <x v="2"/>
    <n v="7"/>
    <n v="1.8"/>
    <n v="2.69"/>
    <n v="0.9"/>
    <x v="0"/>
    <n v="10"/>
    <n v="4"/>
    <n v="2"/>
    <x v="0"/>
    <x v="0"/>
    <x v="0"/>
    <x v="0"/>
  </r>
  <r>
    <n v="16"/>
    <x v="1"/>
    <n v="6.1"/>
    <x v="0"/>
    <n v="8.1"/>
    <n v="1.4"/>
    <n v="3.27"/>
    <n v="1.6"/>
    <x v="0"/>
    <n v="10"/>
    <n v="1"/>
    <n v="4"/>
    <x v="0"/>
    <x v="1"/>
    <x v="0"/>
    <x v="2"/>
  </r>
  <r>
    <n v="16"/>
    <x v="1"/>
    <n v="1.4"/>
    <x v="2"/>
    <n v="5.2"/>
    <n v="1.7"/>
    <n v="3.82"/>
    <n v="0.7"/>
    <x v="0"/>
    <n v="10"/>
    <n v="4"/>
    <n v="3"/>
    <x v="0"/>
    <x v="1"/>
    <x v="1"/>
    <x v="0"/>
  </r>
  <r>
    <n v="13"/>
    <x v="0"/>
    <n v="5.4"/>
    <x v="0"/>
    <n v="4.0999999999999996"/>
    <n v="2"/>
    <n v="3.82"/>
    <n v="1.9"/>
    <x v="2"/>
    <n v="6"/>
    <n v="10"/>
    <n v="8"/>
    <x v="0"/>
    <x v="0"/>
    <x v="1"/>
    <x v="1"/>
  </r>
  <r>
    <n v="13"/>
    <x v="1"/>
    <n v="2.1"/>
    <x v="0"/>
    <n v="8.1999999999999993"/>
    <n v="0.9"/>
    <n v="2.48"/>
    <n v="0.5"/>
    <x v="1"/>
    <n v="2"/>
    <n v="7"/>
    <n v="6"/>
    <x v="0"/>
    <x v="0"/>
    <x v="0"/>
    <x v="2"/>
  </r>
  <r>
    <n v="14"/>
    <x v="0"/>
    <n v="5"/>
    <x v="2"/>
    <n v="4.3"/>
    <n v="1.1000000000000001"/>
    <n v="3.8"/>
    <n v="0.4"/>
    <x v="2"/>
    <n v="9"/>
    <n v="4"/>
    <n v="10"/>
    <x v="0"/>
    <x v="0"/>
    <x v="1"/>
    <x v="1"/>
  </r>
  <r>
    <n v="13"/>
    <x v="1"/>
    <n v="4.4000000000000004"/>
    <x v="0"/>
    <n v="4.3"/>
    <n v="1.9"/>
    <n v="3.51"/>
    <n v="0.9"/>
    <x v="2"/>
    <n v="8"/>
    <n v="4"/>
    <n v="3"/>
    <x v="0"/>
    <x v="0"/>
    <x v="1"/>
    <x v="0"/>
  </r>
  <r>
    <n v="13"/>
    <x v="0"/>
    <n v="3.4"/>
    <x v="2"/>
    <n v="8.6"/>
    <n v="0.8"/>
    <n v="3.08"/>
    <n v="0.4"/>
    <x v="0"/>
    <n v="7"/>
    <n v="10"/>
    <n v="6"/>
    <x v="0"/>
    <x v="0"/>
    <x v="0"/>
    <x v="2"/>
  </r>
  <r>
    <n v="18"/>
    <x v="0"/>
    <n v="1.2"/>
    <x v="0"/>
    <n v="6.4"/>
    <n v="1.3"/>
    <n v="3.03"/>
    <n v="1"/>
    <x v="0"/>
    <n v="5"/>
    <n v="9"/>
    <n v="10"/>
    <x v="0"/>
    <x v="1"/>
    <x v="0"/>
    <x v="1"/>
  </r>
  <r>
    <n v="14"/>
    <x v="0"/>
    <n v="5.5"/>
    <x v="1"/>
    <n v="7.3"/>
    <n v="1.4"/>
    <n v="2.61"/>
    <n v="1.2"/>
    <x v="1"/>
    <n v="5"/>
    <n v="7"/>
    <n v="1"/>
    <x v="0"/>
    <x v="0"/>
    <x v="0"/>
    <x v="0"/>
  </r>
  <r>
    <n v="15"/>
    <x v="0"/>
    <n v="2.2999999999999998"/>
    <x v="2"/>
    <n v="7.8"/>
    <n v="3"/>
    <n v="2.2999999999999998"/>
    <n v="1.4"/>
    <x v="2"/>
    <n v="4"/>
    <n v="9"/>
    <n v="10"/>
    <x v="0"/>
    <x v="0"/>
    <x v="0"/>
    <x v="1"/>
  </r>
  <r>
    <n v="13"/>
    <x v="1"/>
    <n v="1.4"/>
    <x v="2"/>
    <n v="7.4"/>
    <n v="0.5"/>
    <n v="2.3199999999999998"/>
    <n v="1.3"/>
    <x v="0"/>
    <n v="3"/>
    <n v="2"/>
    <n v="6"/>
    <x v="0"/>
    <x v="0"/>
    <x v="0"/>
    <x v="2"/>
  </r>
  <r>
    <n v="13"/>
    <x v="1"/>
    <n v="3"/>
    <x v="0"/>
    <n v="7"/>
    <n v="0.9"/>
    <n v="2.73"/>
    <n v="1.7"/>
    <x v="1"/>
    <n v="5"/>
    <n v="6"/>
    <n v="9"/>
    <x v="0"/>
    <x v="0"/>
    <x v="0"/>
    <x v="1"/>
  </r>
  <r>
    <n v="14"/>
    <x v="0"/>
    <n v="2.8"/>
    <x v="0"/>
    <n v="5"/>
    <n v="2.5"/>
    <n v="3.92"/>
    <n v="1.8"/>
    <x v="1"/>
    <n v="1"/>
    <n v="3"/>
    <n v="4"/>
    <x v="0"/>
    <x v="0"/>
    <x v="1"/>
    <x v="2"/>
  </r>
  <r>
    <n v="14"/>
    <x v="0"/>
    <n v="7"/>
    <x v="1"/>
    <n v="6.9"/>
    <n v="1"/>
    <n v="3.93"/>
    <n v="1.1000000000000001"/>
    <x v="1"/>
    <n v="9"/>
    <n v="3"/>
    <n v="7"/>
    <x v="0"/>
    <x v="0"/>
    <x v="0"/>
    <x v="1"/>
  </r>
  <r>
    <n v="13"/>
    <x v="1"/>
    <n v="1.6"/>
    <x v="2"/>
    <n v="8.4"/>
    <n v="1.4"/>
    <n v="3.47"/>
    <n v="0.1"/>
    <x v="2"/>
    <n v="1"/>
    <n v="6"/>
    <n v="6"/>
    <x v="0"/>
    <x v="0"/>
    <x v="0"/>
    <x v="2"/>
  </r>
  <r>
    <n v="15"/>
    <x v="1"/>
    <n v="4.2"/>
    <x v="0"/>
    <n v="8.4"/>
    <n v="1.2"/>
    <n v="2.61"/>
    <n v="0"/>
    <x v="2"/>
    <n v="3"/>
    <n v="10"/>
    <n v="2"/>
    <x v="0"/>
    <x v="0"/>
    <x v="0"/>
    <x v="0"/>
  </r>
  <r>
    <n v="17"/>
    <x v="0"/>
    <n v="4.9000000000000004"/>
    <x v="0"/>
    <n v="8.6"/>
    <n v="3"/>
    <n v="3.62"/>
    <n v="1.2"/>
    <x v="0"/>
    <n v="6"/>
    <n v="6"/>
    <n v="9"/>
    <x v="0"/>
    <x v="1"/>
    <x v="0"/>
    <x v="1"/>
  </r>
  <r>
    <n v="14"/>
    <x v="1"/>
    <n v="3.6"/>
    <x v="0"/>
    <n v="4.0999999999999996"/>
    <n v="2.9"/>
    <n v="2.83"/>
    <n v="0.5"/>
    <x v="2"/>
    <n v="10"/>
    <n v="6"/>
    <n v="7"/>
    <x v="0"/>
    <x v="0"/>
    <x v="1"/>
    <x v="1"/>
  </r>
  <r>
    <n v="19"/>
    <x v="0"/>
    <n v="1.8"/>
    <x v="1"/>
    <n v="6"/>
    <n v="2.2999999999999998"/>
    <n v="3.22"/>
    <n v="1"/>
    <x v="2"/>
    <n v="5"/>
    <n v="6"/>
    <n v="8"/>
    <x v="0"/>
    <x v="1"/>
    <x v="1"/>
    <x v="1"/>
  </r>
  <r>
    <n v="17"/>
    <x v="1"/>
    <n v="2.7"/>
    <x v="0"/>
    <n v="5.4"/>
    <n v="2.6"/>
    <n v="2.0699999999999998"/>
    <n v="0"/>
    <x v="2"/>
    <n v="6"/>
    <n v="5"/>
    <n v="6"/>
    <x v="0"/>
    <x v="1"/>
    <x v="1"/>
    <x v="2"/>
  </r>
  <r>
    <n v="15"/>
    <x v="1"/>
    <n v="1.2"/>
    <x v="0"/>
    <n v="5.2"/>
    <n v="1"/>
    <n v="2.78"/>
    <n v="1.3"/>
    <x v="1"/>
    <n v="5"/>
    <n v="8"/>
    <n v="10"/>
    <x v="0"/>
    <x v="0"/>
    <x v="1"/>
    <x v="1"/>
  </r>
  <r>
    <n v="18"/>
    <x v="1"/>
    <n v="6.2"/>
    <x v="2"/>
    <n v="6.7"/>
    <n v="1.4"/>
    <n v="3.42"/>
    <n v="0.9"/>
    <x v="0"/>
    <n v="6"/>
    <n v="8"/>
    <n v="6"/>
    <x v="0"/>
    <x v="1"/>
    <x v="0"/>
    <x v="2"/>
  </r>
  <r>
    <n v="18"/>
    <x v="0"/>
    <n v="1.6"/>
    <x v="1"/>
    <n v="6.2"/>
    <n v="1.9"/>
    <n v="2.0499999999999998"/>
    <n v="0.3"/>
    <x v="0"/>
    <n v="8"/>
    <n v="9"/>
    <n v="9"/>
    <x v="0"/>
    <x v="1"/>
    <x v="0"/>
    <x v="1"/>
  </r>
  <r>
    <n v="18"/>
    <x v="1"/>
    <n v="5.0999999999999996"/>
    <x v="1"/>
    <n v="7.4"/>
    <n v="1.3"/>
    <n v="3.5"/>
    <n v="1.6"/>
    <x v="1"/>
    <n v="1"/>
    <n v="5"/>
    <n v="5"/>
    <x v="0"/>
    <x v="1"/>
    <x v="0"/>
    <x v="2"/>
  </r>
  <r>
    <n v="13"/>
    <x v="1"/>
    <n v="5.2"/>
    <x v="1"/>
    <n v="8.1999999999999993"/>
    <n v="2.8"/>
    <n v="2.12"/>
    <n v="1.4"/>
    <x v="2"/>
    <n v="1"/>
    <n v="8"/>
    <n v="1"/>
    <x v="0"/>
    <x v="0"/>
    <x v="0"/>
    <x v="0"/>
  </r>
  <r>
    <n v="14"/>
    <x v="0"/>
    <n v="4.0999999999999996"/>
    <x v="1"/>
    <n v="5.0999999999999996"/>
    <n v="2"/>
    <n v="3.51"/>
    <n v="0.7"/>
    <x v="1"/>
    <n v="2"/>
    <n v="9"/>
    <n v="1"/>
    <x v="0"/>
    <x v="0"/>
    <x v="1"/>
    <x v="0"/>
  </r>
  <r>
    <n v="19"/>
    <x v="1"/>
    <n v="5.4"/>
    <x v="1"/>
    <n v="4.4000000000000004"/>
    <n v="2.2999999999999998"/>
    <n v="3.34"/>
    <n v="0.4"/>
    <x v="1"/>
    <n v="3"/>
    <n v="3"/>
    <n v="8"/>
    <x v="0"/>
    <x v="1"/>
    <x v="1"/>
    <x v="1"/>
  </r>
  <r>
    <n v="13"/>
    <x v="0"/>
    <n v="2.4"/>
    <x v="1"/>
    <n v="8.4"/>
    <n v="1.6"/>
    <n v="2.82"/>
    <n v="1.1000000000000001"/>
    <x v="0"/>
    <n v="1"/>
    <n v="3"/>
    <n v="2"/>
    <x v="0"/>
    <x v="0"/>
    <x v="0"/>
    <x v="0"/>
  </r>
  <r>
    <n v="18"/>
    <x v="0"/>
    <n v="1.7"/>
    <x v="2"/>
    <n v="5.6"/>
    <n v="1.4"/>
    <n v="2.85"/>
    <n v="1"/>
    <x v="1"/>
    <n v="3"/>
    <n v="3"/>
    <n v="7"/>
    <x v="0"/>
    <x v="1"/>
    <x v="1"/>
    <x v="1"/>
  </r>
  <r>
    <n v="18"/>
    <x v="0"/>
    <n v="6"/>
    <x v="2"/>
    <n v="6.1"/>
    <n v="0.9"/>
    <n v="2.68"/>
    <n v="0.3"/>
    <x v="2"/>
    <n v="2"/>
    <n v="10"/>
    <n v="10"/>
    <x v="0"/>
    <x v="1"/>
    <x v="0"/>
    <x v="1"/>
  </r>
  <r>
    <n v="17"/>
    <x v="0"/>
    <n v="7.2"/>
    <x v="2"/>
    <n v="6.1"/>
    <n v="0.8"/>
    <n v="3.9"/>
    <n v="0.2"/>
    <x v="0"/>
    <n v="8"/>
    <n v="3"/>
    <n v="7"/>
    <x v="0"/>
    <x v="1"/>
    <x v="0"/>
    <x v="1"/>
  </r>
  <r>
    <n v="18"/>
    <x v="0"/>
    <n v="3.5"/>
    <x v="1"/>
    <n v="6.3"/>
    <n v="2.9"/>
    <n v="3.35"/>
    <n v="1.6"/>
    <x v="1"/>
    <n v="1"/>
    <n v="4"/>
    <n v="2"/>
    <x v="0"/>
    <x v="1"/>
    <x v="0"/>
    <x v="0"/>
  </r>
  <r>
    <n v="15"/>
    <x v="1"/>
    <n v="3.8"/>
    <x v="0"/>
    <n v="4.4000000000000004"/>
    <n v="1.9"/>
    <n v="2.04"/>
    <n v="0.5"/>
    <x v="2"/>
    <n v="4"/>
    <n v="9"/>
    <n v="7"/>
    <x v="0"/>
    <x v="0"/>
    <x v="1"/>
    <x v="1"/>
  </r>
  <r>
    <n v="18"/>
    <x v="1"/>
    <n v="4.5"/>
    <x v="2"/>
    <n v="8"/>
    <n v="1.5"/>
    <n v="3.45"/>
    <n v="1"/>
    <x v="0"/>
    <n v="4"/>
    <n v="3"/>
    <n v="9"/>
    <x v="0"/>
    <x v="1"/>
    <x v="0"/>
    <x v="1"/>
  </r>
  <r>
    <n v="16"/>
    <x v="1"/>
    <n v="7.3"/>
    <x v="2"/>
    <n v="7.2"/>
    <n v="0.5"/>
    <n v="2.78"/>
    <n v="1.9"/>
    <x v="0"/>
    <n v="7"/>
    <n v="3"/>
    <n v="9"/>
    <x v="0"/>
    <x v="1"/>
    <x v="0"/>
    <x v="1"/>
  </r>
  <r>
    <n v="18"/>
    <x v="1"/>
    <n v="6.4"/>
    <x v="0"/>
    <n v="7.7"/>
    <n v="0.5"/>
    <n v="3.05"/>
    <n v="1.2"/>
    <x v="0"/>
    <n v="3"/>
    <n v="1"/>
    <n v="2"/>
    <x v="0"/>
    <x v="1"/>
    <x v="0"/>
    <x v="0"/>
  </r>
  <r>
    <n v="16"/>
    <x v="0"/>
    <n v="5.3"/>
    <x v="1"/>
    <n v="8.4"/>
    <n v="2.2000000000000002"/>
    <n v="2.81"/>
    <n v="0.6"/>
    <x v="1"/>
    <n v="2"/>
    <n v="8"/>
    <n v="8"/>
    <x v="0"/>
    <x v="1"/>
    <x v="0"/>
    <x v="1"/>
  </r>
  <r>
    <n v="13"/>
    <x v="0"/>
    <n v="2.4"/>
    <x v="0"/>
    <n v="7.1"/>
    <n v="0.7"/>
    <n v="3.64"/>
    <n v="1.1000000000000001"/>
    <x v="1"/>
    <n v="6"/>
    <n v="5"/>
    <n v="5"/>
    <x v="0"/>
    <x v="0"/>
    <x v="0"/>
    <x v="2"/>
  </r>
  <r>
    <n v="13"/>
    <x v="0"/>
    <n v="8"/>
    <x v="2"/>
    <n v="8.9"/>
    <n v="2.2000000000000002"/>
    <n v="3.82"/>
    <n v="1.2"/>
    <x v="0"/>
    <n v="8"/>
    <n v="8"/>
    <n v="4"/>
    <x v="0"/>
    <x v="0"/>
    <x v="0"/>
    <x v="2"/>
  </r>
  <r>
    <n v="15"/>
    <x v="0"/>
    <n v="7.3"/>
    <x v="2"/>
    <n v="4.4000000000000004"/>
    <n v="2.2999999999999998"/>
    <n v="2.76"/>
    <n v="1.8"/>
    <x v="2"/>
    <n v="4"/>
    <n v="6"/>
    <n v="9"/>
    <x v="0"/>
    <x v="0"/>
    <x v="1"/>
    <x v="1"/>
  </r>
  <r>
    <n v="17"/>
    <x v="1"/>
    <n v="4.5"/>
    <x v="2"/>
    <n v="7.3"/>
    <n v="0.9"/>
    <n v="2.34"/>
    <n v="0.9"/>
    <x v="2"/>
    <n v="7"/>
    <n v="3"/>
    <n v="8"/>
    <x v="0"/>
    <x v="1"/>
    <x v="0"/>
    <x v="1"/>
  </r>
  <r>
    <n v="19"/>
    <x v="0"/>
    <n v="5"/>
    <x v="2"/>
    <n v="9"/>
    <n v="2.4"/>
    <n v="2.5299999999999998"/>
    <n v="0.4"/>
    <x v="2"/>
    <n v="7"/>
    <n v="2"/>
    <n v="10"/>
    <x v="0"/>
    <x v="1"/>
    <x v="0"/>
    <x v="1"/>
  </r>
  <r>
    <n v="16"/>
    <x v="1"/>
    <n v="5.7"/>
    <x v="2"/>
    <n v="4.2"/>
    <n v="1.4"/>
    <n v="2.56"/>
    <n v="0.1"/>
    <x v="1"/>
    <n v="4"/>
    <n v="3"/>
    <n v="1"/>
    <x v="0"/>
    <x v="1"/>
    <x v="1"/>
    <x v="0"/>
  </r>
  <r>
    <n v="18"/>
    <x v="1"/>
    <n v="2.9"/>
    <x v="0"/>
    <n v="8.4"/>
    <n v="2.6"/>
    <n v="2.57"/>
    <n v="1.8"/>
    <x v="2"/>
    <n v="4"/>
    <n v="1"/>
    <n v="3"/>
    <x v="0"/>
    <x v="1"/>
    <x v="0"/>
    <x v="0"/>
  </r>
  <r>
    <n v="13"/>
    <x v="0"/>
    <n v="7.9"/>
    <x v="0"/>
    <n v="8.8000000000000007"/>
    <n v="2.2999999999999998"/>
    <n v="3.39"/>
    <n v="0.5"/>
    <x v="0"/>
    <n v="1"/>
    <n v="9"/>
    <n v="3"/>
    <x v="0"/>
    <x v="0"/>
    <x v="0"/>
    <x v="0"/>
  </r>
  <r>
    <n v="19"/>
    <x v="0"/>
    <n v="4.8"/>
    <x v="1"/>
    <n v="5"/>
    <n v="2.6"/>
    <n v="3.25"/>
    <n v="1.6"/>
    <x v="0"/>
    <n v="4"/>
    <n v="6"/>
    <n v="1"/>
    <x v="0"/>
    <x v="1"/>
    <x v="1"/>
    <x v="0"/>
  </r>
  <r>
    <n v="13"/>
    <x v="1"/>
    <n v="3"/>
    <x v="2"/>
    <n v="6"/>
    <n v="1"/>
    <n v="2.63"/>
    <n v="0.1"/>
    <x v="0"/>
    <n v="5"/>
    <n v="10"/>
    <n v="9"/>
    <x v="0"/>
    <x v="0"/>
    <x v="1"/>
    <x v="1"/>
  </r>
  <r>
    <n v="14"/>
    <x v="1"/>
    <n v="4.0999999999999996"/>
    <x v="2"/>
    <n v="6.4"/>
    <n v="2"/>
    <n v="3.69"/>
    <n v="1.5"/>
    <x v="2"/>
    <n v="7"/>
    <n v="7"/>
    <n v="9"/>
    <x v="0"/>
    <x v="0"/>
    <x v="0"/>
    <x v="1"/>
  </r>
  <r>
    <n v="19"/>
    <x v="0"/>
    <n v="6.9"/>
    <x v="0"/>
    <n v="5"/>
    <n v="1.2"/>
    <n v="2.56"/>
    <n v="1.6"/>
    <x v="1"/>
    <n v="3"/>
    <n v="10"/>
    <n v="8"/>
    <x v="0"/>
    <x v="1"/>
    <x v="1"/>
    <x v="1"/>
  </r>
  <r>
    <n v="17"/>
    <x v="1"/>
    <n v="3.2"/>
    <x v="0"/>
    <n v="6.2"/>
    <n v="2.2000000000000002"/>
    <n v="2.96"/>
    <n v="1.6"/>
    <x v="0"/>
    <n v="8"/>
    <n v="10"/>
    <n v="9"/>
    <x v="0"/>
    <x v="1"/>
    <x v="0"/>
    <x v="1"/>
  </r>
  <r>
    <n v="18"/>
    <x v="1"/>
    <n v="1.3"/>
    <x v="2"/>
    <n v="4.9000000000000004"/>
    <n v="0.9"/>
    <n v="3.86"/>
    <n v="0"/>
    <x v="2"/>
    <n v="4"/>
    <n v="9"/>
    <n v="8"/>
    <x v="0"/>
    <x v="1"/>
    <x v="1"/>
    <x v="1"/>
  </r>
  <r>
    <n v="15"/>
    <x v="1"/>
    <n v="4.2"/>
    <x v="1"/>
    <n v="6.8"/>
    <n v="1.1000000000000001"/>
    <n v="3.37"/>
    <n v="0.7"/>
    <x v="1"/>
    <n v="3"/>
    <n v="6"/>
    <n v="8"/>
    <x v="0"/>
    <x v="0"/>
    <x v="0"/>
    <x v="1"/>
  </r>
  <r>
    <n v="19"/>
    <x v="0"/>
    <n v="6.6"/>
    <x v="2"/>
    <n v="6"/>
    <n v="2.1"/>
    <n v="2.84"/>
    <n v="1.5"/>
    <x v="0"/>
    <n v="9"/>
    <n v="4"/>
    <n v="5"/>
    <x v="0"/>
    <x v="1"/>
    <x v="1"/>
    <x v="2"/>
  </r>
  <r>
    <n v="13"/>
    <x v="0"/>
    <n v="7.5"/>
    <x v="1"/>
    <n v="4.8"/>
    <n v="0.7"/>
    <n v="2.91"/>
    <n v="2"/>
    <x v="1"/>
    <n v="10"/>
    <n v="9"/>
    <n v="1"/>
    <x v="1"/>
    <x v="0"/>
    <x v="1"/>
    <x v="0"/>
  </r>
  <r>
    <n v="15"/>
    <x v="0"/>
    <n v="7"/>
    <x v="2"/>
    <n v="8.6999999999999993"/>
    <n v="3"/>
    <n v="2.84"/>
    <n v="1.4"/>
    <x v="2"/>
    <n v="5"/>
    <n v="3"/>
    <n v="2"/>
    <x v="0"/>
    <x v="0"/>
    <x v="0"/>
    <x v="0"/>
  </r>
  <r>
    <n v="15"/>
    <x v="1"/>
    <n v="6.7"/>
    <x v="2"/>
    <n v="5"/>
    <n v="0.6"/>
    <n v="2.75"/>
    <n v="1.5"/>
    <x v="2"/>
    <n v="7"/>
    <n v="4"/>
    <n v="8"/>
    <x v="0"/>
    <x v="0"/>
    <x v="1"/>
    <x v="1"/>
  </r>
  <r>
    <n v="15"/>
    <x v="1"/>
    <n v="2.2999999999999998"/>
    <x v="0"/>
    <n v="5.6"/>
    <n v="2.9"/>
    <n v="2.72"/>
    <n v="1"/>
    <x v="1"/>
    <n v="6"/>
    <n v="6"/>
    <n v="2"/>
    <x v="0"/>
    <x v="0"/>
    <x v="1"/>
    <x v="0"/>
  </r>
  <r>
    <n v="14"/>
    <x v="0"/>
    <n v="5.3"/>
    <x v="2"/>
    <n v="9"/>
    <n v="2.8"/>
    <n v="3.1"/>
    <n v="1.6"/>
    <x v="1"/>
    <n v="10"/>
    <n v="7"/>
    <n v="6"/>
    <x v="0"/>
    <x v="0"/>
    <x v="0"/>
    <x v="2"/>
  </r>
  <r>
    <n v="13"/>
    <x v="1"/>
    <n v="2.7"/>
    <x v="1"/>
    <n v="6.5"/>
    <n v="1.5"/>
    <n v="2.58"/>
    <n v="0.4"/>
    <x v="1"/>
    <n v="1"/>
    <n v="1"/>
    <n v="6"/>
    <x v="0"/>
    <x v="0"/>
    <x v="0"/>
    <x v="2"/>
  </r>
  <r>
    <n v="13"/>
    <x v="0"/>
    <n v="5.4"/>
    <x v="0"/>
    <n v="7.8"/>
    <n v="1.8"/>
    <n v="3.46"/>
    <n v="1"/>
    <x v="1"/>
    <n v="4"/>
    <n v="7"/>
    <n v="7"/>
    <x v="0"/>
    <x v="0"/>
    <x v="0"/>
    <x v="1"/>
  </r>
  <r>
    <n v="17"/>
    <x v="0"/>
    <n v="7.2"/>
    <x v="0"/>
    <n v="8"/>
    <n v="1.9"/>
    <n v="2.66"/>
    <n v="1.4"/>
    <x v="2"/>
    <n v="5"/>
    <n v="8"/>
    <n v="6"/>
    <x v="0"/>
    <x v="1"/>
    <x v="0"/>
    <x v="2"/>
  </r>
  <r>
    <n v="19"/>
    <x v="0"/>
    <n v="1.5"/>
    <x v="1"/>
    <n v="6.8"/>
    <n v="2.5"/>
    <n v="2.13"/>
    <n v="0.2"/>
    <x v="2"/>
    <n v="9"/>
    <n v="8"/>
    <n v="10"/>
    <x v="0"/>
    <x v="1"/>
    <x v="0"/>
    <x v="1"/>
  </r>
  <r>
    <n v="13"/>
    <x v="0"/>
    <n v="4"/>
    <x v="2"/>
    <n v="4.2"/>
    <n v="0.5"/>
    <n v="2.46"/>
    <n v="0.6"/>
    <x v="0"/>
    <n v="2"/>
    <n v="9"/>
    <n v="9"/>
    <x v="0"/>
    <x v="0"/>
    <x v="1"/>
    <x v="1"/>
  </r>
  <r>
    <n v="15"/>
    <x v="1"/>
    <n v="4.2"/>
    <x v="2"/>
    <n v="7.1"/>
    <n v="2.1"/>
    <n v="2.21"/>
    <n v="1.8"/>
    <x v="2"/>
    <n v="4"/>
    <n v="1"/>
    <n v="3"/>
    <x v="0"/>
    <x v="0"/>
    <x v="0"/>
    <x v="0"/>
  </r>
  <r>
    <n v="19"/>
    <x v="0"/>
    <n v="1.8"/>
    <x v="1"/>
    <n v="7.7"/>
    <n v="2.2000000000000002"/>
    <n v="3.77"/>
    <n v="0.3"/>
    <x v="2"/>
    <n v="4"/>
    <n v="6"/>
    <n v="7"/>
    <x v="0"/>
    <x v="1"/>
    <x v="0"/>
    <x v="1"/>
  </r>
  <r>
    <n v="17"/>
    <x v="1"/>
    <n v="3.3"/>
    <x v="0"/>
    <n v="8.6"/>
    <n v="1.1000000000000001"/>
    <n v="2.62"/>
    <n v="0.4"/>
    <x v="0"/>
    <n v="4"/>
    <n v="7"/>
    <n v="9"/>
    <x v="0"/>
    <x v="1"/>
    <x v="0"/>
    <x v="1"/>
  </r>
  <r>
    <n v="14"/>
    <x v="1"/>
    <n v="1"/>
    <x v="2"/>
    <n v="6.6"/>
    <n v="1.4"/>
    <n v="2.02"/>
    <n v="1.9"/>
    <x v="0"/>
    <n v="6"/>
    <n v="5"/>
    <n v="5"/>
    <x v="0"/>
    <x v="0"/>
    <x v="0"/>
    <x v="2"/>
  </r>
  <r>
    <n v="13"/>
    <x v="1"/>
    <n v="1.2"/>
    <x v="1"/>
    <n v="8"/>
    <n v="2.8"/>
    <n v="2.1800000000000002"/>
    <n v="1.1000000000000001"/>
    <x v="1"/>
    <n v="5"/>
    <n v="8"/>
    <n v="5"/>
    <x v="0"/>
    <x v="0"/>
    <x v="0"/>
    <x v="2"/>
  </r>
  <r>
    <n v="19"/>
    <x v="0"/>
    <n v="2"/>
    <x v="0"/>
    <n v="4.0999999999999996"/>
    <n v="1.3"/>
    <n v="3.71"/>
    <n v="1.6"/>
    <x v="0"/>
    <n v="7"/>
    <n v="7"/>
    <n v="8"/>
    <x v="0"/>
    <x v="1"/>
    <x v="1"/>
    <x v="1"/>
  </r>
  <r>
    <n v="13"/>
    <x v="1"/>
    <n v="7.1"/>
    <x v="2"/>
    <n v="6.5"/>
    <n v="1.6"/>
    <n v="2.0299999999999998"/>
    <n v="0.3"/>
    <x v="2"/>
    <n v="1"/>
    <n v="10"/>
    <n v="6"/>
    <x v="0"/>
    <x v="0"/>
    <x v="0"/>
    <x v="2"/>
  </r>
  <r>
    <n v="15"/>
    <x v="1"/>
    <n v="5.5"/>
    <x v="1"/>
    <n v="7.8"/>
    <n v="1.5"/>
    <n v="2.79"/>
    <n v="0.7"/>
    <x v="1"/>
    <n v="9"/>
    <n v="10"/>
    <n v="7"/>
    <x v="0"/>
    <x v="0"/>
    <x v="0"/>
    <x v="1"/>
  </r>
  <r>
    <n v="17"/>
    <x v="0"/>
    <n v="7.7"/>
    <x v="1"/>
    <n v="4.7"/>
    <n v="2.8"/>
    <n v="3.5"/>
    <n v="1.5"/>
    <x v="0"/>
    <n v="8"/>
    <n v="4"/>
    <n v="8"/>
    <x v="0"/>
    <x v="1"/>
    <x v="1"/>
    <x v="1"/>
  </r>
  <r>
    <n v="17"/>
    <x v="1"/>
    <n v="7.6"/>
    <x v="0"/>
    <n v="5.9"/>
    <n v="2"/>
    <n v="2.52"/>
    <n v="1.5"/>
    <x v="2"/>
    <n v="1"/>
    <n v="5"/>
    <n v="1"/>
    <x v="0"/>
    <x v="1"/>
    <x v="1"/>
    <x v="0"/>
  </r>
  <r>
    <n v="13"/>
    <x v="0"/>
    <n v="8"/>
    <x v="0"/>
    <n v="6.9"/>
    <n v="2.5"/>
    <n v="2.4500000000000002"/>
    <n v="1.7"/>
    <x v="2"/>
    <n v="10"/>
    <n v="1"/>
    <n v="3"/>
    <x v="0"/>
    <x v="0"/>
    <x v="0"/>
    <x v="0"/>
  </r>
  <r>
    <n v="16"/>
    <x v="1"/>
    <n v="4.3"/>
    <x v="0"/>
    <n v="6"/>
    <n v="1.4"/>
    <n v="2.98"/>
    <n v="1.7"/>
    <x v="0"/>
    <n v="8"/>
    <n v="7"/>
    <n v="4"/>
    <x v="0"/>
    <x v="1"/>
    <x v="1"/>
    <x v="2"/>
  </r>
  <r>
    <n v="13"/>
    <x v="0"/>
    <n v="3.8"/>
    <x v="2"/>
    <n v="5.3"/>
    <n v="2.5"/>
    <n v="3.48"/>
    <n v="1"/>
    <x v="0"/>
    <n v="6"/>
    <n v="7"/>
    <n v="7"/>
    <x v="0"/>
    <x v="0"/>
    <x v="1"/>
    <x v="1"/>
  </r>
  <r>
    <n v="16"/>
    <x v="1"/>
    <n v="2.9"/>
    <x v="1"/>
    <n v="6.3"/>
    <n v="3"/>
    <n v="2.6"/>
    <n v="0.4"/>
    <x v="2"/>
    <n v="9"/>
    <n v="7"/>
    <n v="3"/>
    <x v="0"/>
    <x v="1"/>
    <x v="0"/>
    <x v="0"/>
  </r>
  <r>
    <n v="13"/>
    <x v="1"/>
    <n v="5.3"/>
    <x v="1"/>
    <n v="6.5"/>
    <n v="1.1000000000000001"/>
    <n v="3.48"/>
    <n v="1.8"/>
    <x v="0"/>
    <n v="9"/>
    <n v="5"/>
    <n v="4"/>
    <x v="0"/>
    <x v="0"/>
    <x v="0"/>
    <x v="2"/>
  </r>
  <r>
    <n v="15"/>
    <x v="1"/>
    <n v="5.7"/>
    <x v="0"/>
    <n v="7.5"/>
    <n v="2.4"/>
    <n v="2.84"/>
    <n v="1.3"/>
    <x v="2"/>
    <n v="10"/>
    <n v="10"/>
    <n v="2"/>
    <x v="0"/>
    <x v="0"/>
    <x v="0"/>
    <x v="0"/>
  </r>
  <r>
    <n v="18"/>
    <x v="1"/>
    <n v="2.8"/>
    <x v="0"/>
    <n v="7.4"/>
    <n v="1"/>
    <n v="3.73"/>
    <n v="1.9"/>
    <x v="0"/>
    <n v="7"/>
    <n v="3"/>
    <n v="6"/>
    <x v="0"/>
    <x v="1"/>
    <x v="0"/>
    <x v="2"/>
  </r>
  <r>
    <n v="15"/>
    <x v="0"/>
    <n v="2.8"/>
    <x v="1"/>
    <n v="6.1"/>
    <n v="2.9"/>
    <n v="2.98"/>
    <n v="1.8"/>
    <x v="2"/>
    <n v="6"/>
    <n v="3"/>
    <n v="7"/>
    <x v="0"/>
    <x v="0"/>
    <x v="0"/>
    <x v="1"/>
  </r>
  <r>
    <n v="13"/>
    <x v="1"/>
    <n v="1.1000000000000001"/>
    <x v="0"/>
    <n v="7"/>
    <n v="1.9"/>
    <n v="4"/>
    <n v="0.9"/>
    <x v="2"/>
    <n v="2"/>
    <n v="9"/>
    <n v="6"/>
    <x v="0"/>
    <x v="0"/>
    <x v="0"/>
    <x v="2"/>
  </r>
  <r>
    <n v="14"/>
    <x v="1"/>
    <n v="2"/>
    <x v="2"/>
    <n v="5"/>
    <n v="2.6"/>
    <n v="2.71"/>
    <n v="2"/>
    <x v="0"/>
    <n v="5"/>
    <n v="4"/>
    <n v="3"/>
    <x v="0"/>
    <x v="0"/>
    <x v="1"/>
    <x v="0"/>
  </r>
  <r>
    <n v="16"/>
    <x v="1"/>
    <n v="6.5"/>
    <x v="1"/>
    <n v="5.3"/>
    <n v="1.8"/>
    <n v="2.29"/>
    <n v="0.2"/>
    <x v="1"/>
    <n v="4"/>
    <n v="10"/>
    <n v="2"/>
    <x v="0"/>
    <x v="1"/>
    <x v="1"/>
    <x v="0"/>
  </r>
  <r>
    <n v="16"/>
    <x v="1"/>
    <n v="7.5"/>
    <x v="1"/>
    <n v="7.8"/>
    <n v="1.3"/>
    <n v="2.73"/>
    <n v="1.5"/>
    <x v="2"/>
    <n v="4"/>
    <n v="5"/>
    <n v="8"/>
    <x v="0"/>
    <x v="1"/>
    <x v="0"/>
    <x v="1"/>
  </r>
  <r>
    <n v="16"/>
    <x v="1"/>
    <n v="3.1"/>
    <x v="0"/>
    <n v="7.9"/>
    <n v="1.2"/>
    <n v="2.85"/>
    <n v="0.7"/>
    <x v="1"/>
    <n v="2"/>
    <n v="2"/>
    <n v="5"/>
    <x v="0"/>
    <x v="1"/>
    <x v="0"/>
    <x v="2"/>
  </r>
  <r>
    <n v="19"/>
    <x v="0"/>
    <n v="5.9"/>
    <x v="2"/>
    <n v="7"/>
    <n v="2.2999999999999998"/>
    <n v="3"/>
    <n v="1.6"/>
    <x v="0"/>
    <n v="3"/>
    <n v="5"/>
    <n v="10"/>
    <x v="0"/>
    <x v="1"/>
    <x v="0"/>
    <x v="1"/>
  </r>
  <r>
    <n v="15"/>
    <x v="0"/>
    <n v="7.9"/>
    <x v="1"/>
    <n v="4.0999999999999996"/>
    <n v="0.7"/>
    <n v="2.33"/>
    <n v="1.2"/>
    <x v="2"/>
    <n v="3"/>
    <n v="8"/>
    <n v="1"/>
    <x v="0"/>
    <x v="0"/>
    <x v="1"/>
    <x v="0"/>
  </r>
  <r>
    <n v="15"/>
    <x v="0"/>
    <n v="5.0999999999999996"/>
    <x v="0"/>
    <n v="7.4"/>
    <n v="0.7"/>
    <n v="2.64"/>
    <n v="0.2"/>
    <x v="2"/>
    <n v="5"/>
    <n v="8"/>
    <n v="1"/>
    <x v="0"/>
    <x v="0"/>
    <x v="0"/>
    <x v="0"/>
  </r>
  <r>
    <n v="16"/>
    <x v="0"/>
    <n v="1.9"/>
    <x v="2"/>
    <n v="5.8"/>
    <n v="2.1"/>
    <n v="2.27"/>
    <n v="0.6"/>
    <x v="2"/>
    <n v="3"/>
    <n v="3"/>
    <n v="2"/>
    <x v="0"/>
    <x v="1"/>
    <x v="1"/>
    <x v="0"/>
  </r>
  <r>
    <n v="17"/>
    <x v="0"/>
    <n v="8"/>
    <x v="0"/>
    <n v="8.6999999999999993"/>
    <n v="1.5"/>
    <n v="3.7"/>
    <n v="2"/>
    <x v="1"/>
    <n v="10"/>
    <n v="9"/>
    <n v="5"/>
    <x v="0"/>
    <x v="1"/>
    <x v="0"/>
    <x v="2"/>
  </r>
  <r>
    <n v="19"/>
    <x v="0"/>
    <n v="2.9"/>
    <x v="2"/>
    <n v="4"/>
    <n v="0.5"/>
    <n v="3.16"/>
    <n v="0.2"/>
    <x v="1"/>
    <n v="7"/>
    <n v="6"/>
    <n v="3"/>
    <x v="0"/>
    <x v="1"/>
    <x v="1"/>
    <x v="0"/>
  </r>
  <r>
    <n v="14"/>
    <x v="0"/>
    <n v="4.3"/>
    <x v="0"/>
    <n v="8.4"/>
    <n v="0.9"/>
    <n v="3.2"/>
    <n v="1.6"/>
    <x v="1"/>
    <n v="10"/>
    <n v="10"/>
    <n v="1"/>
    <x v="0"/>
    <x v="0"/>
    <x v="0"/>
    <x v="0"/>
  </r>
  <r>
    <n v="16"/>
    <x v="0"/>
    <n v="1.1000000000000001"/>
    <x v="0"/>
    <n v="6.4"/>
    <n v="3"/>
    <n v="2.5099999999999998"/>
    <n v="0.1"/>
    <x v="2"/>
    <n v="8"/>
    <n v="6"/>
    <n v="9"/>
    <x v="0"/>
    <x v="1"/>
    <x v="0"/>
    <x v="1"/>
  </r>
  <r>
    <n v="16"/>
    <x v="0"/>
    <n v="4.9000000000000004"/>
    <x v="0"/>
    <n v="5.7"/>
    <n v="1.2"/>
    <n v="2.0699999999999998"/>
    <n v="0.1"/>
    <x v="2"/>
    <n v="8"/>
    <n v="2"/>
    <n v="1"/>
    <x v="0"/>
    <x v="1"/>
    <x v="1"/>
    <x v="0"/>
  </r>
  <r>
    <n v="14"/>
    <x v="0"/>
    <n v="6.1"/>
    <x v="2"/>
    <n v="7.6"/>
    <n v="1.4"/>
    <n v="2.72"/>
    <n v="0.9"/>
    <x v="0"/>
    <n v="9"/>
    <n v="3"/>
    <n v="3"/>
    <x v="0"/>
    <x v="0"/>
    <x v="0"/>
    <x v="0"/>
  </r>
  <r>
    <n v="15"/>
    <x v="1"/>
    <n v="2.7"/>
    <x v="2"/>
    <n v="6.5"/>
    <n v="1.6"/>
    <n v="2.14"/>
    <n v="0.4"/>
    <x v="1"/>
    <n v="6"/>
    <n v="6"/>
    <n v="6"/>
    <x v="0"/>
    <x v="0"/>
    <x v="0"/>
    <x v="2"/>
  </r>
  <r>
    <n v="16"/>
    <x v="1"/>
    <n v="7.8"/>
    <x v="2"/>
    <n v="7.4"/>
    <n v="0.7"/>
    <n v="2.54"/>
    <n v="1.2"/>
    <x v="2"/>
    <n v="10"/>
    <n v="4"/>
    <n v="9"/>
    <x v="0"/>
    <x v="1"/>
    <x v="0"/>
    <x v="1"/>
  </r>
  <r>
    <n v="18"/>
    <x v="0"/>
    <n v="4.2"/>
    <x v="1"/>
    <n v="6.5"/>
    <n v="1.4"/>
    <n v="2.91"/>
    <n v="1.5"/>
    <x v="0"/>
    <n v="5"/>
    <n v="6"/>
    <n v="4"/>
    <x v="0"/>
    <x v="1"/>
    <x v="0"/>
    <x v="2"/>
  </r>
  <r>
    <n v="13"/>
    <x v="1"/>
    <n v="4.4000000000000004"/>
    <x v="0"/>
    <n v="5.5"/>
    <n v="2.7"/>
    <n v="3.17"/>
    <n v="0.3"/>
    <x v="0"/>
    <n v="5"/>
    <n v="1"/>
    <n v="5"/>
    <x v="0"/>
    <x v="0"/>
    <x v="1"/>
    <x v="2"/>
  </r>
  <r>
    <n v="13"/>
    <x v="1"/>
    <n v="1.4"/>
    <x v="2"/>
    <n v="7.8"/>
    <n v="0.6"/>
    <n v="3.42"/>
    <n v="1.6"/>
    <x v="2"/>
    <n v="10"/>
    <n v="4"/>
    <n v="6"/>
    <x v="0"/>
    <x v="0"/>
    <x v="0"/>
    <x v="2"/>
  </r>
  <r>
    <n v="17"/>
    <x v="0"/>
    <n v="3.7"/>
    <x v="1"/>
    <n v="7.2"/>
    <n v="0.6"/>
    <n v="3.34"/>
    <n v="1.8"/>
    <x v="1"/>
    <n v="2"/>
    <n v="6"/>
    <n v="2"/>
    <x v="0"/>
    <x v="1"/>
    <x v="0"/>
    <x v="0"/>
  </r>
  <r>
    <n v="14"/>
    <x v="0"/>
    <n v="3.8"/>
    <x v="0"/>
    <n v="8.9"/>
    <n v="1.9"/>
    <n v="2.77"/>
    <n v="0.2"/>
    <x v="2"/>
    <n v="6"/>
    <n v="2"/>
    <n v="2"/>
    <x v="0"/>
    <x v="0"/>
    <x v="0"/>
    <x v="0"/>
  </r>
  <r>
    <n v="15"/>
    <x v="1"/>
    <n v="5.4"/>
    <x v="1"/>
    <n v="7"/>
    <n v="1.8"/>
    <n v="2.54"/>
    <n v="0.1"/>
    <x v="0"/>
    <n v="1"/>
    <n v="4"/>
    <n v="4"/>
    <x v="0"/>
    <x v="0"/>
    <x v="0"/>
    <x v="2"/>
  </r>
  <r>
    <n v="17"/>
    <x v="0"/>
    <n v="4"/>
    <x v="2"/>
    <n v="4.3"/>
    <n v="1.8"/>
    <n v="2.17"/>
    <n v="0.9"/>
    <x v="1"/>
    <n v="8"/>
    <n v="8"/>
    <n v="3"/>
    <x v="0"/>
    <x v="1"/>
    <x v="1"/>
    <x v="0"/>
  </r>
  <r>
    <n v="19"/>
    <x v="0"/>
    <n v="3.5"/>
    <x v="1"/>
    <n v="5.8"/>
    <n v="1.8"/>
    <n v="3.3"/>
    <n v="0.9"/>
    <x v="0"/>
    <n v="7"/>
    <n v="6"/>
    <n v="9"/>
    <x v="0"/>
    <x v="1"/>
    <x v="1"/>
    <x v="1"/>
  </r>
  <r>
    <n v="17"/>
    <x v="0"/>
    <n v="1.3"/>
    <x v="2"/>
    <n v="8.3000000000000007"/>
    <n v="1"/>
    <n v="3.95"/>
    <n v="1.2"/>
    <x v="2"/>
    <n v="4"/>
    <n v="1"/>
    <n v="1"/>
    <x v="0"/>
    <x v="1"/>
    <x v="0"/>
    <x v="0"/>
  </r>
  <r>
    <n v="14"/>
    <x v="0"/>
    <n v="5.6"/>
    <x v="0"/>
    <n v="8.8000000000000007"/>
    <n v="0.9"/>
    <n v="3.03"/>
    <n v="2"/>
    <x v="0"/>
    <n v="8"/>
    <n v="10"/>
    <n v="3"/>
    <x v="0"/>
    <x v="0"/>
    <x v="0"/>
    <x v="0"/>
  </r>
  <r>
    <n v="13"/>
    <x v="1"/>
    <n v="2.4"/>
    <x v="0"/>
    <n v="5.5"/>
    <n v="0.6"/>
    <n v="3.56"/>
    <n v="1.6"/>
    <x v="2"/>
    <n v="4"/>
    <n v="8"/>
    <n v="7"/>
    <x v="0"/>
    <x v="0"/>
    <x v="1"/>
    <x v="1"/>
  </r>
  <r>
    <n v="16"/>
    <x v="0"/>
    <n v="2"/>
    <x v="2"/>
    <n v="7.8"/>
    <n v="2.8"/>
    <n v="2.1"/>
    <n v="0.6"/>
    <x v="2"/>
    <n v="2"/>
    <n v="6"/>
    <n v="8"/>
    <x v="0"/>
    <x v="1"/>
    <x v="0"/>
    <x v="1"/>
  </r>
  <r>
    <n v="15"/>
    <x v="0"/>
    <n v="6.6"/>
    <x v="0"/>
    <n v="8.6"/>
    <n v="1.5"/>
    <n v="2.63"/>
    <n v="1.1000000000000001"/>
    <x v="0"/>
    <n v="1"/>
    <n v="9"/>
    <n v="9"/>
    <x v="0"/>
    <x v="0"/>
    <x v="0"/>
    <x v="1"/>
  </r>
  <r>
    <n v="17"/>
    <x v="1"/>
    <n v="2.2999999999999998"/>
    <x v="1"/>
    <n v="6.4"/>
    <n v="2.4"/>
    <n v="3.61"/>
    <n v="0.6"/>
    <x v="2"/>
    <n v="2"/>
    <n v="1"/>
    <n v="1"/>
    <x v="0"/>
    <x v="1"/>
    <x v="0"/>
    <x v="0"/>
  </r>
  <r>
    <n v="16"/>
    <x v="0"/>
    <n v="6.4"/>
    <x v="1"/>
    <n v="5.4"/>
    <n v="1.4"/>
    <n v="2.42"/>
    <n v="1.9"/>
    <x v="2"/>
    <n v="4"/>
    <n v="9"/>
    <n v="5"/>
    <x v="0"/>
    <x v="1"/>
    <x v="1"/>
    <x v="2"/>
  </r>
  <r>
    <n v="18"/>
    <x v="1"/>
    <n v="3.5"/>
    <x v="2"/>
    <n v="5.9"/>
    <n v="1.3"/>
    <n v="3.68"/>
    <n v="2"/>
    <x v="2"/>
    <n v="7"/>
    <n v="4"/>
    <n v="10"/>
    <x v="0"/>
    <x v="1"/>
    <x v="1"/>
    <x v="1"/>
  </r>
  <r>
    <n v="18"/>
    <x v="1"/>
    <n v="1.7"/>
    <x v="0"/>
    <n v="8.5"/>
    <n v="1"/>
    <n v="3.32"/>
    <n v="1.3"/>
    <x v="2"/>
    <n v="1"/>
    <n v="1"/>
    <n v="7"/>
    <x v="0"/>
    <x v="1"/>
    <x v="0"/>
    <x v="1"/>
  </r>
  <r>
    <n v="14"/>
    <x v="0"/>
    <n v="4.0999999999999996"/>
    <x v="0"/>
    <n v="8.1999999999999993"/>
    <n v="1.7"/>
    <n v="2.3199999999999998"/>
    <n v="1.4"/>
    <x v="1"/>
    <n v="9"/>
    <n v="2"/>
    <n v="4"/>
    <x v="0"/>
    <x v="0"/>
    <x v="0"/>
    <x v="2"/>
  </r>
  <r>
    <n v="14"/>
    <x v="0"/>
    <n v="3.3"/>
    <x v="0"/>
    <n v="6.5"/>
    <n v="0.8"/>
    <n v="2.54"/>
    <n v="0.8"/>
    <x v="0"/>
    <n v="1"/>
    <n v="2"/>
    <n v="3"/>
    <x v="0"/>
    <x v="0"/>
    <x v="0"/>
    <x v="0"/>
  </r>
  <r>
    <n v="14"/>
    <x v="1"/>
    <n v="5"/>
    <x v="1"/>
    <n v="4.9000000000000004"/>
    <n v="2.6"/>
    <n v="3.82"/>
    <n v="1.9"/>
    <x v="2"/>
    <n v="3"/>
    <n v="10"/>
    <n v="10"/>
    <x v="0"/>
    <x v="0"/>
    <x v="1"/>
    <x v="1"/>
  </r>
  <r>
    <n v="19"/>
    <x v="1"/>
    <n v="1.5"/>
    <x v="0"/>
    <n v="8.4"/>
    <n v="3"/>
    <n v="2.46"/>
    <n v="1.5"/>
    <x v="1"/>
    <n v="1"/>
    <n v="7"/>
    <n v="6"/>
    <x v="0"/>
    <x v="1"/>
    <x v="0"/>
    <x v="2"/>
  </r>
  <r>
    <n v="17"/>
    <x v="1"/>
    <n v="3.3"/>
    <x v="1"/>
    <n v="8.4"/>
    <n v="2.1"/>
    <n v="3.4"/>
    <n v="0.2"/>
    <x v="1"/>
    <n v="1"/>
    <n v="3"/>
    <n v="10"/>
    <x v="0"/>
    <x v="1"/>
    <x v="0"/>
    <x v="1"/>
  </r>
  <r>
    <n v="13"/>
    <x v="0"/>
    <n v="6.4"/>
    <x v="2"/>
    <n v="4.0999999999999996"/>
    <n v="1.3"/>
    <n v="2.77"/>
    <n v="1.3"/>
    <x v="0"/>
    <n v="10"/>
    <n v="6"/>
    <n v="1"/>
    <x v="0"/>
    <x v="0"/>
    <x v="1"/>
    <x v="0"/>
  </r>
  <r>
    <n v="17"/>
    <x v="1"/>
    <n v="8"/>
    <x v="0"/>
    <n v="8.1"/>
    <n v="1.2"/>
    <n v="2.13"/>
    <n v="1"/>
    <x v="0"/>
    <n v="1"/>
    <n v="8"/>
    <n v="7"/>
    <x v="0"/>
    <x v="1"/>
    <x v="0"/>
    <x v="1"/>
  </r>
  <r>
    <n v="16"/>
    <x v="1"/>
    <n v="1"/>
    <x v="2"/>
    <n v="4.0999999999999996"/>
    <n v="1.3"/>
    <n v="2.2200000000000002"/>
    <n v="0.4"/>
    <x v="0"/>
    <n v="2"/>
    <n v="1"/>
    <n v="8"/>
    <x v="0"/>
    <x v="1"/>
    <x v="1"/>
    <x v="1"/>
  </r>
  <r>
    <n v="18"/>
    <x v="1"/>
    <n v="4.2"/>
    <x v="0"/>
    <n v="5.4"/>
    <n v="1.1000000000000001"/>
    <n v="2.31"/>
    <n v="0.3"/>
    <x v="0"/>
    <n v="4"/>
    <n v="9"/>
    <n v="1"/>
    <x v="0"/>
    <x v="1"/>
    <x v="1"/>
    <x v="0"/>
  </r>
  <r>
    <n v="18"/>
    <x v="1"/>
    <n v="4.5999999999999996"/>
    <x v="1"/>
    <n v="7.3"/>
    <n v="2.8"/>
    <n v="3.22"/>
    <n v="0.6"/>
    <x v="1"/>
    <n v="1"/>
    <n v="3"/>
    <n v="6"/>
    <x v="0"/>
    <x v="1"/>
    <x v="0"/>
    <x v="2"/>
  </r>
  <r>
    <n v="17"/>
    <x v="1"/>
    <n v="2.8"/>
    <x v="2"/>
    <n v="6.2"/>
    <n v="2.4"/>
    <n v="2.58"/>
    <n v="0.4"/>
    <x v="1"/>
    <n v="4"/>
    <n v="10"/>
    <n v="9"/>
    <x v="0"/>
    <x v="1"/>
    <x v="0"/>
    <x v="1"/>
  </r>
  <r>
    <n v="16"/>
    <x v="1"/>
    <n v="6.3"/>
    <x v="0"/>
    <n v="6.9"/>
    <n v="1.3"/>
    <n v="2.15"/>
    <n v="1.4"/>
    <x v="0"/>
    <n v="9"/>
    <n v="2"/>
    <n v="10"/>
    <x v="0"/>
    <x v="1"/>
    <x v="0"/>
    <x v="1"/>
  </r>
  <r>
    <n v="17"/>
    <x v="1"/>
    <n v="7.2"/>
    <x v="1"/>
    <n v="7"/>
    <n v="1.3"/>
    <n v="3.86"/>
    <n v="0.9"/>
    <x v="0"/>
    <n v="7"/>
    <n v="8"/>
    <n v="4"/>
    <x v="0"/>
    <x v="1"/>
    <x v="0"/>
    <x v="2"/>
  </r>
  <r>
    <n v="13"/>
    <x v="0"/>
    <n v="4.5"/>
    <x v="2"/>
    <n v="6.7"/>
    <n v="2.2000000000000002"/>
    <n v="3.73"/>
    <n v="0.3"/>
    <x v="0"/>
    <n v="3"/>
    <n v="5"/>
    <n v="10"/>
    <x v="0"/>
    <x v="0"/>
    <x v="0"/>
    <x v="1"/>
  </r>
  <r>
    <n v="18"/>
    <x v="0"/>
    <n v="5.3"/>
    <x v="2"/>
    <n v="5.0999999999999996"/>
    <n v="1.2"/>
    <n v="3.32"/>
    <n v="1.8"/>
    <x v="0"/>
    <n v="7"/>
    <n v="3"/>
    <n v="8"/>
    <x v="0"/>
    <x v="1"/>
    <x v="1"/>
    <x v="1"/>
  </r>
  <r>
    <n v="13"/>
    <x v="0"/>
    <n v="5.2"/>
    <x v="1"/>
    <n v="6.7"/>
    <n v="2.5"/>
    <n v="3.82"/>
    <n v="0.9"/>
    <x v="2"/>
    <n v="8"/>
    <n v="8"/>
    <n v="6"/>
    <x v="0"/>
    <x v="0"/>
    <x v="0"/>
    <x v="2"/>
  </r>
  <r>
    <n v="13"/>
    <x v="0"/>
    <n v="7.9"/>
    <x v="1"/>
    <n v="6"/>
    <n v="2.7"/>
    <n v="2.85"/>
    <n v="0.3"/>
    <x v="0"/>
    <n v="9"/>
    <n v="10"/>
    <n v="3"/>
    <x v="0"/>
    <x v="0"/>
    <x v="1"/>
    <x v="0"/>
  </r>
  <r>
    <n v="19"/>
    <x v="0"/>
    <n v="6.9"/>
    <x v="1"/>
    <n v="8.5"/>
    <n v="1.5"/>
    <n v="3.55"/>
    <n v="1.3"/>
    <x v="0"/>
    <n v="5"/>
    <n v="6"/>
    <n v="1"/>
    <x v="0"/>
    <x v="1"/>
    <x v="0"/>
    <x v="0"/>
  </r>
  <r>
    <n v="17"/>
    <x v="1"/>
    <n v="5.8"/>
    <x v="0"/>
    <n v="4.0999999999999996"/>
    <n v="2.9"/>
    <n v="2.33"/>
    <n v="0.4"/>
    <x v="1"/>
    <n v="9"/>
    <n v="6"/>
    <n v="8"/>
    <x v="0"/>
    <x v="1"/>
    <x v="1"/>
    <x v="1"/>
  </r>
  <r>
    <n v="19"/>
    <x v="0"/>
    <n v="7"/>
    <x v="0"/>
    <n v="8.3000000000000007"/>
    <n v="2.1"/>
    <n v="3.09"/>
    <n v="1.5"/>
    <x v="0"/>
    <n v="9"/>
    <n v="7"/>
    <n v="3"/>
    <x v="0"/>
    <x v="1"/>
    <x v="0"/>
    <x v="0"/>
  </r>
  <r>
    <n v="14"/>
    <x v="1"/>
    <n v="3"/>
    <x v="1"/>
    <n v="8.3000000000000007"/>
    <n v="2.7"/>
    <n v="3.9"/>
    <n v="0.7"/>
    <x v="1"/>
    <n v="3"/>
    <n v="1"/>
    <n v="5"/>
    <x v="0"/>
    <x v="0"/>
    <x v="0"/>
    <x v="2"/>
  </r>
  <r>
    <n v="18"/>
    <x v="0"/>
    <n v="6.3"/>
    <x v="2"/>
    <n v="7.9"/>
    <n v="1.7"/>
    <n v="2.85"/>
    <n v="0.3"/>
    <x v="2"/>
    <n v="1"/>
    <n v="1"/>
    <n v="2"/>
    <x v="0"/>
    <x v="1"/>
    <x v="0"/>
    <x v="0"/>
  </r>
  <r>
    <n v="17"/>
    <x v="1"/>
    <n v="5.5"/>
    <x v="0"/>
    <n v="4.9000000000000004"/>
    <n v="2.6"/>
    <n v="3.64"/>
    <n v="0.8"/>
    <x v="2"/>
    <n v="6"/>
    <n v="8"/>
    <n v="3"/>
    <x v="0"/>
    <x v="1"/>
    <x v="1"/>
    <x v="0"/>
  </r>
  <r>
    <n v="17"/>
    <x v="1"/>
    <n v="2.2000000000000002"/>
    <x v="2"/>
    <n v="7.5"/>
    <n v="2.2000000000000002"/>
    <n v="2.95"/>
    <n v="1.6"/>
    <x v="0"/>
    <n v="9"/>
    <n v="7"/>
    <n v="4"/>
    <x v="0"/>
    <x v="1"/>
    <x v="0"/>
    <x v="2"/>
  </r>
  <r>
    <n v="14"/>
    <x v="0"/>
    <n v="1.4"/>
    <x v="2"/>
    <n v="4.5"/>
    <n v="1.4"/>
    <n v="3.17"/>
    <n v="1.7"/>
    <x v="1"/>
    <n v="9"/>
    <n v="10"/>
    <n v="9"/>
    <x v="0"/>
    <x v="0"/>
    <x v="1"/>
    <x v="1"/>
  </r>
  <r>
    <n v="18"/>
    <x v="0"/>
    <n v="4.5"/>
    <x v="0"/>
    <n v="4.4000000000000004"/>
    <n v="1.9"/>
    <n v="2.2599999999999998"/>
    <n v="0"/>
    <x v="0"/>
    <n v="7"/>
    <n v="8"/>
    <n v="10"/>
    <x v="0"/>
    <x v="1"/>
    <x v="1"/>
    <x v="1"/>
  </r>
  <r>
    <n v="14"/>
    <x v="1"/>
    <n v="6.1"/>
    <x v="0"/>
    <n v="5.7"/>
    <n v="2"/>
    <n v="3.9"/>
    <n v="1"/>
    <x v="0"/>
    <n v="8"/>
    <n v="4"/>
    <n v="6"/>
    <x v="0"/>
    <x v="0"/>
    <x v="1"/>
    <x v="2"/>
  </r>
  <r>
    <n v="17"/>
    <x v="0"/>
    <n v="3.3"/>
    <x v="1"/>
    <n v="5.7"/>
    <n v="2"/>
    <n v="3.71"/>
    <n v="0.1"/>
    <x v="0"/>
    <n v="6"/>
    <n v="6"/>
    <n v="8"/>
    <x v="0"/>
    <x v="1"/>
    <x v="1"/>
    <x v="1"/>
  </r>
  <r>
    <n v="15"/>
    <x v="0"/>
    <n v="5.2"/>
    <x v="2"/>
    <n v="5.6"/>
    <n v="1.1000000000000001"/>
    <n v="2.88"/>
    <n v="0.1"/>
    <x v="2"/>
    <n v="4"/>
    <n v="8"/>
    <n v="7"/>
    <x v="0"/>
    <x v="0"/>
    <x v="1"/>
    <x v="1"/>
  </r>
  <r>
    <n v="18"/>
    <x v="0"/>
    <n v="5"/>
    <x v="2"/>
    <n v="5.8"/>
    <n v="1.3"/>
    <n v="2.12"/>
    <n v="0.1"/>
    <x v="0"/>
    <n v="1"/>
    <n v="9"/>
    <n v="2"/>
    <x v="0"/>
    <x v="1"/>
    <x v="1"/>
    <x v="0"/>
  </r>
  <r>
    <n v="17"/>
    <x v="1"/>
    <n v="1.8"/>
    <x v="1"/>
    <n v="5.9"/>
    <n v="1.9"/>
    <n v="2.89"/>
    <n v="0.6"/>
    <x v="0"/>
    <n v="8"/>
    <n v="8"/>
    <n v="5"/>
    <x v="0"/>
    <x v="1"/>
    <x v="1"/>
    <x v="2"/>
  </r>
  <r>
    <n v="13"/>
    <x v="0"/>
    <n v="2.2999999999999998"/>
    <x v="1"/>
    <n v="4.5"/>
    <n v="0.7"/>
    <n v="2.71"/>
    <n v="0.2"/>
    <x v="0"/>
    <n v="6"/>
    <n v="3"/>
    <n v="7"/>
    <x v="0"/>
    <x v="0"/>
    <x v="1"/>
    <x v="1"/>
  </r>
  <r>
    <n v="14"/>
    <x v="0"/>
    <n v="2.7"/>
    <x v="2"/>
    <n v="6.3"/>
    <n v="0.6"/>
    <n v="3.88"/>
    <n v="0.3"/>
    <x v="2"/>
    <n v="6"/>
    <n v="6"/>
    <n v="6"/>
    <x v="0"/>
    <x v="0"/>
    <x v="0"/>
    <x v="2"/>
  </r>
  <r>
    <n v="16"/>
    <x v="0"/>
    <n v="7.4"/>
    <x v="1"/>
    <n v="7.5"/>
    <n v="1.7"/>
    <n v="3.16"/>
    <n v="1.8"/>
    <x v="2"/>
    <n v="2"/>
    <n v="3"/>
    <n v="2"/>
    <x v="0"/>
    <x v="1"/>
    <x v="0"/>
    <x v="0"/>
  </r>
  <r>
    <n v="15"/>
    <x v="0"/>
    <n v="6.2"/>
    <x v="1"/>
    <n v="4.5999999999999996"/>
    <n v="1.1000000000000001"/>
    <n v="2.94"/>
    <n v="1.8"/>
    <x v="1"/>
    <n v="4"/>
    <n v="2"/>
    <n v="3"/>
    <x v="0"/>
    <x v="0"/>
    <x v="1"/>
    <x v="0"/>
  </r>
  <r>
    <n v="16"/>
    <x v="0"/>
    <n v="2.2999999999999998"/>
    <x v="1"/>
    <n v="8.8000000000000007"/>
    <n v="1"/>
    <n v="2.5099999999999998"/>
    <n v="2"/>
    <x v="2"/>
    <n v="6"/>
    <n v="10"/>
    <n v="10"/>
    <x v="0"/>
    <x v="1"/>
    <x v="0"/>
    <x v="1"/>
  </r>
  <r>
    <n v="18"/>
    <x v="0"/>
    <n v="1.8"/>
    <x v="1"/>
    <n v="5.2"/>
    <n v="1.4"/>
    <n v="2.68"/>
    <n v="0.1"/>
    <x v="1"/>
    <n v="6"/>
    <n v="2"/>
    <n v="10"/>
    <x v="0"/>
    <x v="1"/>
    <x v="1"/>
    <x v="1"/>
  </r>
  <r>
    <n v="16"/>
    <x v="1"/>
    <n v="1.3"/>
    <x v="0"/>
    <n v="4.9000000000000004"/>
    <n v="2.6"/>
    <n v="2.89"/>
    <n v="0.2"/>
    <x v="0"/>
    <n v="2"/>
    <n v="5"/>
    <n v="2"/>
    <x v="0"/>
    <x v="1"/>
    <x v="1"/>
    <x v="0"/>
  </r>
  <r>
    <n v="15"/>
    <x v="0"/>
    <n v="2.1"/>
    <x v="0"/>
    <n v="4.4000000000000004"/>
    <n v="2.1"/>
    <n v="3.43"/>
    <n v="1.9"/>
    <x v="0"/>
    <n v="6"/>
    <n v="6"/>
    <n v="7"/>
    <x v="0"/>
    <x v="0"/>
    <x v="1"/>
    <x v="1"/>
  </r>
  <r>
    <n v="14"/>
    <x v="0"/>
    <n v="3.9"/>
    <x v="0"/>
    <n v="7.7"/>
    <n v="1.4"/>
    <n v="2.86"/>
    <n v="1.7"/>
    <x v="1"/>
    <n v="3"/>
    <n v="5"/>
    <n v="1"/>
    <x v="0"/>
    <x v="0"/>
    <x v="0"/>
    <x v="0"/>
  </r>
  <r>
    <n v="18"/>
    <x v="1"/>
    <n v="3.8"/>
    <x v="2"/>
    <n v="4.5"/>
    <n v="1.3"/>
    <n v="3.06"/>
    <n v="0.3"/>
    <x v="2"/>
    <n v="7"/>
    <n v="8"/>
    <n v="1"/>
    <x v="0"/>
    <x v="1"/>
    <x v="1"/>
    <x v="0"/>
  </r>
  <r>
    <n v="15"/>
    <x v="0"/>
    <n v="6.4"/>
    <x v="0"/>
    <n v="7.8"/>
    <n v="0.7"/>
    <n v="2.6"/>
    <n v="0.7"/>
    <x v="1"/>
    <n v="4"/>
    <n v="4"/>
    <n v="2"/>
    <x v="0"/>
    <x v="0"/>
    <x v="0"/>
    <x v="0"/>
  </r>
  <r>
    <n v="19"/>
    <x v="0"/>
    <n v="3.2"/>
    <x v="0"/>
    <n v="6.2"/>
    <n v="2.6"/>
    <n v="3.72"/>
    <n v="1.9"/>
    <x v="1"/>
    <n v="9"/>
    <n v="5"/>
    <n v="7"/>
    <x v="0"/>
    <x v="1"/>
    <x v="0"/>
    <x v="1"/>
  </r>
  <r>
    <n v="13"/>
    <x v="0"/>
    <n v="4.4000000000000004"/>
    <x v="2"/>
    <n v="8.1999999999999993"/>
    <n v="1.5"/>
    <n v="3.98"/>
    <n v="1.4"/>
    <x v="1"/>
    <n v="9"/>
    <n v="6"/>
    <n v="6"/>
    <x v="0"/>
    <x v="0"/>
    <x v="0"/>
    <x v="2"/>
  </r>
  <r>
    <n v="15"/>
    <x v="0"/>
    <n v="1.3"/>
    <x v="1"/>
    <n v="7.5"/>
    <n v="1.3"/>
    <n v="2.99"/>
    <n v="1.4"/>
    <x v="0"/>
    <n v="1"/>
    <n v="5"/>
    <n v="2"/>
    <x v="0"/>
    <x v="0"/>
    <x v="0"/>
    <x v="0"/>
  </r>
  <r>
    <n v="18"/>
    <x v="1"/>
    <n v="5.7"/>
    <x v="1"/>
    <n v="6.2"/>
    <n v="0.5"/>
    <n v="3.98"/>
    <n v="1.7"/>
    <x v="2"/>
    <n v="7"/>
    <n v="6"/>
    <n v="3"/>
    <x v="0"/>
    <x v="1"/>
    <x v="0"/>
    <x v="0"/>
  </r>
  <r>
    <n v="13"/>
    <x v="0"/>
    <n v="4"/>
    <x v="1"/>
    <n v="5"/>
    <n v="2.9"/>
    <n v="3.84"/>
    <n v="0.1"/>
    <x v="0"/>
    <n v="7"/>
    <n v="8"/>
    <n v="10"/>
    <x v="0"/>
    <x v="0"/>
    <x v="1"/>
    <x v="1"/>
  </r>
  <r>
    <n v="16"/>
    <x v="1"/>
    <n v="4.8"/>
    <x v="0"/>
    <n v="6.7"/>
    <n v="1.4"/>
    <n v="2.44"/>
    <n v="0.3"/>
    <x v="0"/>
    <n v="1"/>
    <n v="3"/>
    <n v="1"/>
    <x v="0"/>
    <x v="1"/>
    <x v="0"/>
    <x v="0"/>
  </r>
  <r>
    <n v="19"/>
    <x v="0"/>
    <n v="5.8"/>
    <x v="2"/>
    <n v="7.5"/>
    <n v="1.9"/>
    <n v="2.08"/>
    <n v="0.1"/>
    <x v="1"/>
    <n v="2"/>
    <n v="1"/>
    <n v="3"/>
    <x v="0"/>
    <x v="1"/>
    <x v="0"/>
    <x v="0"/>
  </r>
  <r>
    <n v="16"/>
    <x v="0"/>
    <n v="5.8"/>
    <x v="2"/>
    <n v="8.9"/>
    <n v="1.1000000000000001"/>
    <n v="2.08"/>
    <n v="1.9"/>
    <x v="2"/>
    <n v="8"/>
    <n v="5"/>
    <n v="9"/>
    <x v="0"/>
    <x v="1"/>
    <x v="0"/>
    <x v="1"/>
  </r>
  <r>
    <n v="13"/>
    <x v="0"/>
    <n v="3.2"/>
    <x v="1"/>
    <n v="5.0999999999999996"/>
    <n v="1.6"/>
    <n v="2.87"/>
    <n v="1.8"/>
    <x v="2"/>
    <n v="4"/>
    <n v="9"/>
    <n v="8"/>
    <x v="0"/>
    <x v="0"/>
    <x v="1"/>
    <x v="1"/>
  </r>
  <r>
    <n v="16"/>
    <x v="1"/>
    <n v="5.2"/>
    <x v="2"/>
    <n v="4"/>
    <n v="2.4"/>
    <n v="2.35"/>
    <n v="1.6"/>
    <x v="0"/>
    <n v="10"/>
    <n v="5"/>
    <n v="2"/>
    <x v="0"/>
    <x v="1"/>
    <x v="1"/>
    <x v="0"/>
  </r>
  <r>
    <n v="17"/>
    <x v="0"/>
    <n v="2.4"/>
    <x v="1"/>
    <n v="6"/>
    <n v="0.7"/>
    <n v="3.67"/>
    <n v="1.5"/>
    <x v="0"/>
    <n v="7"/>
    <n v="9"/>
    <n v="2"/>
    <x v="0"/>
    <x v="1"/>
    <x v="1"/>
    <x v="0"/>
  </r>
  <r>
    <n v="15"/>
    <x v="0"/>
    <n v="7.4"/>
    <x v="2"/>
    <n v="5.9"/>
    <n v="2.6"/>
    <n v="2.89"/>
    <n v="1.9"/>
    <x v="2"/>
    <n v="7"/>
    <n v="3"/>
    <n v="8"/>
    <x v="0"/>
    <x v="0"/>
    <x v="1"/>
    <x v="1"/>
  </r>
  <r>
    <n v="18"/>
    <x v="1"/>
    <n v="7.1"/>
    <x v="0"/>
    <n v="4.8"/>
    <n v="2.1"/>
    <n v="2.5099999999999998"/>
    <n v="0.9"/>
    <x v="1"/>
    <n v="1"/>
    <n v="1"/>
    <n v="10"/>
    <x v="0"/>
    <x v="1"/>
    <x v="1"/>
    <x v="1"/>
  </r>
  <r>
    <n v="16"/>
    <x v="0"/>
    <n v="6.5"/>
    <x v="1"/>
    <n v="7.4"/>
    <n v="1.9"/>
    <n v="2.2200000000000002"/>
    <n v="1.1000000000000001"/>
    <x v="2"/>
    <n v="10"/>
    <n v="10"/>
    <n v="2"/>
    <x v="0"/>
    <x v="1"/>
    <x v="0"/>
    <x v="0"/>
  </r>
  <r>
    <n v="13"/>
    <x v="0"/>
    <n v="7.4"/>
    <x v="2"/>
    <n v="7"/>
    <n v="1.8"/>
    <n v="2.17"/>
    <n v="1.4"/>
    <x v="2"/>
    <n v="9"/>
    <n v="10"/>
    <n v="5"/>
    <x v="0"/>
    <x v="0"/>
    <x v="0"/>
    <x v="2"/>
  </r>
  <r>
    <n v="15"/>
    <x v="1"/>
    <n v="3.9"/>
    <x v="0"/>
    <n v="6.4"/>
    <n v="1.7"/>
    <n v="2.87"/>
    <n v="1.8"/>
    <x v="1"/>
    <n v="6"/>
    <n v="6"/>
    <n v="6"/>
    <x v="0"/>
    <x v="0"/>
    <x v="0"/>
    <x v="2"/>
  </r>
  <r>
    <n v="15"/>
    <x v="1"/>
    <n v="4.5999999999999996"/>
    <x v="2"/>
    <n v="8.6"/>
    <n v="2"/>
    <n v="3.01"/>
    <n v="0"/>
    <x v="0"/>
    <n v="1"/>
    <n v="8"/>
    <n v="3"/>
    <x v="0"/>
    <x v="0"/>
    <x v="0"/>
    <x v="0"/>
  </r>
  <r>
    <n v="19"/>
    <x v="0"/>
    <n v="1.5"/>
    <x v="1"/>
    <n v="6.7"/>
    <n v="1"/>
    <n v="3.9"/>
    <n v="0.4"/>
    <x v="0"/>
    <n v="4"/>
    <n v="3"/>
    <n v="3"/>
    <x v="0"/>
    <x v="1"/>
    <x v="0"/>
    <x v="0"/>
  </r>
  <r>
    <n v="15"/>
    <x v="1"/>
    <n v="5.8"/>
    <x v="0"/>
    <n v="7.1"/>
    <n v="1.1000000000000001"/>
    <n v="3.72"/>
    <n v="1.5"/>
    <x v="0"/>
    <n v="9"/>
    <n v="6"/>
    <n v="6"/>
    <x v="0"/>
    <x v="0"/>
    <x v="0"/>
    <x v="2"/>
  </r>
  <r>
    <n v="17"/>
    <x v="1"/>
    <n v="6.4"/>
    <x v="1"/>
    <n v="4.9000000000000004"/>
    <n v="2.1"/>
    <n v="2.78"/>
    <n v="1"/>
    <x v="1"/>
    <n v="2"/>
    <n v="2"/>
    <n v="6"/>
    <x v="0"/>
    <x v="1"/>
    <x v="1"/>
    <x v="2"/>
  </r>
  <r>
    <n v="16"/>
    <x v="1"/>
    <n v="2.1"/>
    <x v="1"/>
    <n v="8.1999999999999993"/>
    <n v="2.4"/>
    <n v="3.25"/>
    <n v="0.1"/>
    <x v="1"/>
    <n v="1"/>
    <n v="1"/>
    <n v="8"/>
    <x v="0"/>
    <x v="1"/>
    <x v="0"/>
    <x v="1"/>
  </r>
  <r>
    <n v="17"/>
    <x v="1"/>
    <n v="2.2000000000000002"/>
    <x v="1"/>
    <n v="6.5"/>
    <n v="3"/>
    <n v="2.4900000000000002"/>
    <n v="0.2"/>
    <x v="2"/>
    <n v="5"/>
    <n v="8"/>
    <n v="4"/>
    <x v="0"/>
    <x v="1"/>
    <x v="0"/>
    <x v="2"/>
  </r>
  <r>
    <n v="14"/>
    <x v="0"/>
    <n v="5.5"/>
    <x v="1"/>
    <n v="7.4"/>
    <n v="2.9"/>
    <n v="3.54"/>
    <n v="1.1000000000000001"/>
    <x v="1"/>
    <n v="8"/>
    <n v="4"/>
    <n v="10"/>
    <x v="0"/>
    <x v="0"/>
    <x v="0"/>
    <x v="1"/>
  </r>
  <r>
    <n v="17"/>
    <x v="1"/>
    <n v="6.6"/>
    <x v="2"/>
    <n v="7.4"/>
    <n v="2.2000000000000002"/>
    <n v="2.63"/>
    <n v="0.6"/>
    <x v="1"/>
    <n v="7"/>
    <n v="4"/>
    <n v="9"/>
    <x v="0"/>
    <x v="1"/>
    <x v="0"/>
    <x v="1"/>
  </r>
  <r>
    <n v="19"/>
    <x v="1"/>
    <n v="5.2"/>
    <x v="0"/>
    <n v="6.6"/>
    <n v="1.6"/>
    <n v="2.36"/>
    <n v="1.4"/>
    <x v="0"/>
    <n v="2"/>
    <n v="6"/>
    <n v="10"/>
    <x v="0"/>
    <x v="1"/>
    <x v="0"/>
    <x v="1"/>
  </r>
  <r>
    <n v="17"/>
    <x v="0"/>
    <n v="4.7"/>
    <x v="1"/>
    <n v="5.0999999999999996"/>
    <n v="2"/>
    <n v="2.35"/>
    <n v="1.8"/>
    <x v="0"/>
    <n v="8"/>
    <n v="9"/>
    <n v="1"/>
    <x v="0"/>
    <x v="1"/>
    <x v="1"/>
    <x v="0"/>
  </r>
  <r>
    <n v="19"/>
    <x v="1"/>
    <n v="7.1"/>
    <x v="2"/>
    <n v="6.3"/>
    <n v="2.2000000000000002"/>
    <n v="3.88"/>
    <n v="0.8"/>
    <x v="1"/>
    <n v="10"/>
    <n v="4"/>
    <n v="9"/>
    <x v="0"/>
    <x v="1"/>
    <x v="0"/>
    <x v="1"/>
  </r>
  <r>
    <n v="19"/>
    <x v="1"/>
    <n v="4.2"/>
    <x v="2"/>
    <n v="8.1"/>
    <n v="1.4"/>
    <n v="2.66"/>
    <n v="1.9"/>
    <x v="0"/>
    <n v="9"/>
    <n v="4"/>
    <n v="2"/>
    <x v="0"/>
    <x v="1"/>
    <x v="0"/>
    <x v="0"/>
  </r>
  <r>
    <n v="17"/>
    <x v="1"/>
    <n v="1.3"/>
    <x v="0"/>
    <n v="5.0999999999999996"/>
    <n v="2.2000000000000002"/>
    <n v="3.44"/>
    <n v="0.6"/>
    <x v="1"/>
    <n v="7"/>
    <n v="8"/>
    <n v="6"/>
    <x v="0"/>
    <x v="1"/>
    <x v="1"/>
    <x v="2"/>
  </r>
  <r>
    <n v="18"/>
    <x v="0"/>
    <n v="2.6"/>
    <x v="2"/>
    <n v="7.8"/>
    <n v="1.9"/>
    <n v="3.15"/>
    <n v="0.4"/>
    <x v="2"/>
    <n v="8"/>
    <n v="3"/>
    <n v="2"/>
    <x v="0"/>
    <x v="1"/>
    <x v="0"/>
    <x v="0"/>
  </r>
  <r>
    <n v="15"/>
    <x v="0"/>
    <n v="6.2"/>
    <x v="0"/>
    <n v="8.1"/>
    <n v="2.2999999999999998"/>
    <n v="3.46"/>
    <n v="1.3"/>
    <x v="0"/>
    <n v="5"/>
    <n v="4"/>
    <n v="9"/>
    <x v="0"/>
    <x v="0"/>
    <x v="0"/>
    <x v="1"/>
  </r>
  <r>
    <n v="14"/>
    <x v="1"/>
    <n v="6.2"/>
    <x v="1"/>
    <n v="5.0999999999999996"/>
    <n v="1.5"/>
    <n v="3.85"/>
    <n v="0.2"/>
    <x v="1"/>
    <n v="3"/>
    <n v="4"/>
    <n v="10"/>
    <x v="0"/>
    <x v="0"/>
    <x v="1"/>
    <x v="1"/>
  </r>
  <r>
    <n v="18"/>
    <x v="0"/>
    <n v="4.8"/>
    <x v="1"/>
    <n v="8.5"/>
    <n v="2.8"/>
    <n v="3.77"/>
    <n v="1.3"/>
    <x v="0"/>
    <n v="5"/>
    <n v="4"/>
    <n v="3"/>
    <x v="0"/>
    <x v="1"/>
    <x v="0"/>
    <x v="0"/>
  </r>
  <r>
    <n v="18"/>
    <x v="1"/>
    <n v="3"/>
    <x v="2"/>
    <n v="4.5999999999999996"/>
    <n v="2"/>
    <n v="2.2400000000000002"/>
    <n v="1.5"/>
    <x v="2"/>
    <n v="10"/>
    <n v="2"/>
    <n v="5"/>
    <x v="0"/>
    <x v="1"/>
    <x v="1"/>
    <x v="2"/>
  </r>
  <r>
    <n v="16"/>
    <x v="0"/>
    <n v="4.7"/>
    <x v="0"/>
    <n v="8.1999999999999993"/>
    <n v="2.7"/>
    <n v="3.04"/>
    <n v="0.3"/>
    <x v="1"/>
    <n v="1"/>
    <n v="3"/>
    <n v="4"/>
    <x v="0"/>
    <x v="1"/>
    <x v="0"/>
    <x v="2"/>
  </r>
  <r>
    <n v="18"/>
    <x v="1"/>
    <n v="4.4000000000000004"/>
    <x v="2"/>
    <n v="5.0999999999999996"/>
    <n v="1.4"/>
    <n v="2.33"/>
    <n v="0.6"/>
    <x v="0"/>
    <n v="2"/>
    <n v="7"/>
    <n v="4"/>
    <x v="0"/>
    <x v="1"/>
    <x v="1"/>
    <x v="2"/>
  </r>
  <r>
    <n v="14"/>
    <x v="1"/>
    <n v="2.2999999999999998"/>
    <x v="1"/>
    <n v="7.3"/>
    <n v="2.2999999999999998"/>
    <n v="2.8"/>
    <n v="1.5"/>
    <x v="2"/>
    <n v="4"/>
    <n v="6"/>
    <n v="5"/>
    <x v="0"/>
    <x v="0"/>
    <x v="0"/>
    <x v="2"/>
  </r>
  <r>
    <n v="14"/>
    <x v="1"/>
    <n v="3.1"/>
    <x v="0"/>
    <n v="6.9"/>
    <n v="1.9"/>
    <n v="2.2000000000000002"/>
    <n v="1.2"/>
    <x v="2"/>
    <n v="3"/>
    <n v="4"/>
    <n v="2"/>
    <x v="0"/>
    <x v="0"/>
    <x v="0"/>
    <x v="0"/>
  </r>
  <r>
    <n v="18"/>
    <x v="0"/>
    <n v="2.9"/>
    <x v="1"/>
    <n v="7.5"/>
    <n v="0.6"/>
    <n v="2.25"/>
    <n v="1"/>
    <x v="1"/>
    <n v="4"/>
    <n v="7"/>
    <n v="4"/>
    <x v="0"/>
    <x v="1"/>
    <x v="0"/>
    <x v="2"/>
  </r>
  <r>
    <n v="13"/>
    <x v="0"/>
    <n v="1.8"/>
    <x v="0"/>
    <n v="4.4000000000000004"/>
    <n v="0.6"/>
    <n v="3.48"/>
    <n v="1.7"/>
    <x v="2"/>
    <n v="3"/>
    <n v="1"/>
    <n v="10"/>
    <x v="0"/>
    <x v="0"/>
    <x v="1"/>
    <x v="1"/>
  </r>
  <r>
    <n v="15"/>
    <x v="1"/>
    <n v="2"/>
    <x v="0"/>
    <n v="4.7"/>
    <n v="1.3"/>
    <n v="3.55"/>
    <n v="1.3"/>
    <x v="0"/>
    <n v="2"/>
    <n v="6"/>
    <n v="5"/>
    <x v="0"/>
    <x v="0"/>
    <x v="1"/>
    <x v="2"/>
  </r>
  <r>
    <n v="13"/>
    <x v="1"/>
    <n v="4.2"/>
    <x v="0"/>
    <n v="7.9"/>
    <n v="2.7"/>
    <n v="3.76"/>
    <n v="0.1"/>
    <x v="2"/>
    <n v="10"/>
    <n v="7"/>
    <n v="2"/>
    <x v="0"/>
    <x v="0"/>
    <x v="0"/>
    <x v="0"/>
  </r>
  <r>
    <n v="17"/>
    <x v="1"/>
    <n v="6.7"/>
    <x v="2"/>
    <n v="7.9"/>
    <n v="1.4"/>
    <n v="3.91"/>
    <n v="0.4"/>
    <x v="1"/>
    <n v="3"/>
    <n v="3"/>
    <n v="1"/>
    <x v="0"/>
    <x v="1"/>
    <x v="0"/>
    <x v="0"/>
  </r>
  <r>
    <n v="17"/>
    <x v="1"/>
    <n v="2.2000000000000002"/>
    <x v="2"/>
    <n v="7.2"/>
    <n v="0.5"/>
    <n v="2.38"/>
    <n v="1.2"/>
    <x v="2"/>
    <n v="10"/>
    <n v="4"/>
    <n v="8"/>
    <x v="0"/>
    <x v="1"/>
    <x v="0"/>
    <x v="1"/>
  </r>
  <r>
    <n v="17"/>
    <x v="1"/>
    <n v="1.1000000000000001"/>
    <x v="1"/>
    <n v="6.8"/>
    <n v="0.6"/>
    <n v="2.2799999999999998"/>
    <n v="1.6"/>
    <x v="2"/>
    <n v="9"/>
    <n v="3"/>
    <n v="7"/>
    <x v="0"/>
    <x v="1"/>
    <x v="0"/>
    <x v="1"/>
  </r>
  <r>
    <n v="16"/>
    <x v="1"/>
    <n v="6.4"/>
    <x v="1"/>
    <n v="5.9"/>
    <n v="2.8"/>
    <n v="3.81"/>
    <n v="1.3"/>
    <x v="1"/>
    <n v="1"/>
    <n v="3"/>
    <n v="7"/>
    <x v="0"/>
    <x v="1"/>
    <x v="1"/>
    <x v="1"/>
  </r>
  <r>
    <n v="19"/>
    <x v="1"/>
    <n v="2.8"/>
    <x v="0"/>
    <n v="5.9"/>
    <n v="1.5"/>
    <n v="2.85"/>
    <n v="0.6"/>
    <x v="1"/>
    <n v="10"/>
    <n v="9"/>
    <n v="4"/>
    <x v="0"/>
    <x v="1"/>
    <x v="1"/>
    <x v="2"/>
  </r>
  <r>
    <n v="13"/>
    <x v="0"/>
    <n v="2.2000000000000002"/>
    <x v="2"/>
    <n v="5.8"/>
    <n v="2"/>
    <n v="3.63"/>
    <n v="1.9"/>
    <x v="0"/>
    <n v="4"/>
    <n v="4"/>
    <n v="10"/>
    <x v="0"/>
    <x v="0"/>
    <x v="1"/>
    <x v="1"/>
  </r>
  <r>
    <n v="19"/>
    <x v="0"/>
    <n v="5.7"/>
    <x v="0"/>
    <n v="4.8"/>
    <n v="2.2000000000000002"/>
    <n v="3.66"/>
    <n v="0.9"/>
    <x v="0"/>
    <n v="3"/>
    <n v="7"/>
    <n v="5"/>
    <x v="0"/>
    <x v="1"/>
    <x v="1"/>
    <x v="2"/>
  </r>
  <r>
    <n v="15"/>
    <x v="0"/>
    <n v="5.3"/>
    <x v="2"/>
    <n v="7.3"/>
    <n v="1.9"/>
    <n v="2.5099999999999998"/>
    <n v="1.4"/>
    <x v="1"/>
    <n v="10"/>
    <n v="4"/>
    <n v="2"/>
    <x v="0"/>
    <x v="0"/>
    <x v="0"/>
    <x v="0"/>
  </r>
  <r>
    <n v="14"/>
    <x v="0"/>
    <n v="3.1"/>
    <x v="1"/>
    <n v="8.8000000000000007"/>
    <n v="1.5"/>
    <n v="3.91"/>
    <n v="0.6"/>
    <x v="2"/>
    <n v="4"/>
    <n v="9"/>
    <n v="6"/>
    <x v="0"/>
    <x v="0"/>
    <x v="0"/>
    <x v="2"/>
  </r>
  <r>
    <n v="16"/>
    <x v="0"/>
    <n v="1.7"/>
    <x v="1"/>
    <n v="4.9000000000000004"/>
    <n v="0.6"/>
    <n v="3.38"/>
    <n v="1.1000000000000001"/>
    <x v="2"/>
    <n v="10"/>
    <n v="4"/>
    <n v="6"/>
    <x v="0"/>
    <x v="1"/>
    <x v="1"/>
    <x v="2"/>
  </r>
  <r>
    <n v="19"/>
    <x v="1"/>
    <n v="6.7"/>
    <x v="0"/>
    <n v="7.3"/>
    <n v="2.8"/>
    <n v="2.2599999999999998"/>
    <n v="1.4"/>
    <x v="1"/>
    <n v="7"/>
    <n v="6"/>
    <n v="8"/>
    <x v="0"/>
    <x v="1"/>
    <x v="0"/>
    <x v="1"/>
  </r>
  <r>
    <n v="13"/>
    <x v="1"/>
    <n v="7.8"/>
    <x v="0"/>
    <n v="7.4"/>
    <n v="1.7"/>
    <n v="2.76"/>
    <n v="1.1000000000000001"/>
    <x v="0"/>
    <n v="10"/>
    <n v="1"/>
    <n v="4"/>
    <x v="0"/>
    <x v="0"/>
    <x v="0"/>
    <x v="2"/>
  </r>
  <r>
    <n v="18"/>
    <x v="1"/>
    <n v="2.1"/>
    <x v="2"/>
    <n v="6.7"/>
    <n v="0.9"/>
    <n v="3.73"/>
    <n v="0.7"/>
    <x v="0"/>
    <n v="3"/>
    <n v="5"/>
    <n v="7"/>
    <x v="0"/>
    <x v="1"/>
    <x v="0"/>
    <x v="1"/>
  </r>
  <r>
    <n v="17"/>
    <x v="1"/>
    <n v="5.0999999999999996"/>
    <x v="1"/>
    <n v="8.6"/>
    <n v="1.9"/>
    <n v="3.33"/>
    <n v="1.1000000000000001"/>
    <x v="0"/>
    <n v="1"/>
    <n v="7"/>
    <n v="8"/>
    <x v="0"/>
    <x v="1"/>
    <x v="0"/>
    <x v="1"/>
  </r>
  <r>
    <n v="18"/>
    <x v="1"/>
    <n v="3.6"/>
    <x v="0"/>
    <n v="5.4"/>
    <n v="0.9"/>
    <n v="3.45"/>
    <n v="0.5"/>
    <x v="2"/>
    <n v="1"/>
    <n v="10"/>
    <n v="2"/>
    <x v="0"/>
    <x v="1"/>
    <x v="1"/>
    <x v="0"/>
  </r>
  <r>
    <n v="18"/>
    <x v="0"/>
    <n v="5"/>
    <x v="2"/>
    <n v="7.6"/>
    <n v="2"/>
    <n v="3.94"/>
    <n v="0.5"/>
    <x v="0"/>
    <n v="4"/>
    <n v="3"/>
    <n v="3"/>
    <x v="0"/>
    <x v="1"/>
    <x v="0"/>
    <x v="0"/>
  </r>
  <r>
    <n v="17"/>
    <x v="0"/>
    <n v="1.7"/>
    <x v="2"/>
    <n v="8.6"/>
    <n v="0.9"/>
    <n v="2.36"/>
    <n v="1.7"/>
    <x v="0"/>
    <n v="9"/>
    <n v="1"/>
    <n v="3"/>
    <x v="0"/>
    <x v="1"/>
    <x v="0"/>
    <x v="0"/>
  </r>
  <r>
    <n v="17"/>
    <x v="0"/>
    <n v="6.8"/>
    <x v="0"/>
    <n v="4.7"/>
    <n v="0.6"/>
    <n v="3.4"/>
    <n v="0.9"/>
    <x v="0"/>
    <n v="3"/>
    <n v="9"/>
    <n v="7"/>
    <x v="0"/>
    <x v="1"/>
    <x v="1"/>
    <x v="1"/>
  </r>
  <r>
    <n v="14"/>
    <x v="0"/>
    <n v="3.8"/>
    <x v="2"/>
    <n v="7.5"/>
    <n v="0.5"/>
    <n v="2.1800000000000002"/>
    <n v="1"/>
    <x v="2"/>
    <n v="5"/>
    <n v="2"/>
    <n v="2"/>
    <x v="0"/>
    <x v="0"/>
    <x v="0"/>
    <x v="0"/>
  </r>
  <r>
    <n v="16"/>
    <x v="0"/>
    <n v="2.1"/>
    <x v="0"/>
    <n v="7.7"/>
    <n v="1.1000000000000001"/>
    <n v="2.27"/>
    <n v="1.1000000000000001"/>
    <x v="2"/>
    <n v="3"/>
    <n v="2"/>
    <n v="4"/>
    <x v="0"/>
    <x v="1"/>
    <x v="0"/>
    <x v="2"/>
  </r>
  <r>
    <n v="15"/>
    <x v="1"/>
    <n v="3.2"/>
    <x v="0"/>
    <n v="4"/>
    <n v="2"/>
    <n v="3.25"/>
    <n v="0.7"/>
    <x v="0"/>
    <n v="8"/>
    <n v="4"/>
    <n v="8"/>
    <x v="0"/>
    <x v="0"/>
    <x v="1"/>
    <x v="1"/>
  </r>
  <r>
    <n v="18"/>
    <x v="0"/>
    <n v="1.9"/>
    <x v="0"/>
    <n v="5.6"/>
    <n v="2.2999999999999998"/>
    <n v="2.8"/>
    <n v="1.9"/>
    <x v="2"/>
    <n v="8"/>
    <n v="1"/>
    <n v="8"/>
    <x v="0"/>
    <x v="1"/>
    <x v="1"/>
    <x v="1"/>
  </r>
  <r>
    <n v="13"/>
    <x v="1"/>
    <n v="3.5"/>
    <x v="0"/>
    <n v="6.8"/>
    <n v="1.5"/>
    <n v="2.35"/>
    <n v="1.8"/>
    <x v="2"/>
    <n v="7"/>
    <n v="3"/>
    <n v="2"/>
    <x v="0"/>
    <x v="0"/>
    <x v="0"/>
    <x v="0"/>
  </r>
  <r>
    <n v="15"/>
    <x v="1"/>
    <n v="4.5"/>
    <x v="0"/>
    <n v="7.7"/>
    <n v="0.9"/>
    <n v="2.61"/>
    <n v="1.1000000000000001"/>
    <x v="2"/>
    <n v="9"/>
    <n v="10"/>
    <n v="4"/>
    <x v="0"/>
    <x v="0"/>
    <x v="0"/>
    <x v="2"/>
  </r>
  <r>
    <n v="13"/>
    <x v="1"/>
    <n v="6"/>
    <x v="1"/>
    <n v="5"/>
    <n v="2.5"/>
    <n v="2.5499999999999998"/>
    <n v="1.8"/>
    <x v="1"/>
    <n v="4"/>
    <n v="9"/>
    <n v="2"/>
    <x v="0"/>
    <x v="0"/>
    <x v="1"/>
    <x v="0"/>
  </r>
  <r>
    <n v="13"/>
    <x v="1"/>
    <n v="3.6"/>
    <x v="1"/>
    <n v="4.8"/>
    <n v="2.2000000000000002"/>
    <n v="3.58"/>
    <n v="1.2"/>
    <x v="2"/>
    <n v="4"/>
    <n v="4"/>
    <n v="7"/>
    <x v="0"/>
    <x v="0"/>
    <x v="1"/>
    <x v="1"/>
  </r>
  <r>
    <n v="19"/>
    <x v="0"/>
    <n v="5.2"/>
    <x v="1"/>
    <n v="6.9"/>
    <n v="2.2999999999999998"/>
    <n v="2.09"/>
    <n v="0.2"/>
    <x v="1"/>
    <n v="6"/>
    <n v="4"/>
    <n v="8"/>
    <x v="0"/>
    <x v="1"/>
    <x v="0"/>
    <x v="1"/>
  </r>
  <r>
    <n v="13"/>
    <x v="0"/>
    <n v="2.7"/>
    <x v="2"/>
    <n v="6.9"/>
    <n v="1.4"/>
    <n v="2.87"/>
    <n v="1.5"/>
    <x v="0"/>
    <n v="2"/>
    <n v="6"/>
    <n v="3"/>
    <x v="0"/>
    <x v="0"/>
    <x v="0"/>
    <x v="0"/>
  </r>
  <r>
    <n v="16"/>
    <x v="1"/>
    <n v="2.8"/>
    <x v="1"/>
    <n v="7.1"/>
    <n v="1.4"/>
    <n v="3.85"/>
    <n v="0.4"/>
    <x v="1"/>
    <n v="7"/>
    <n v="9"/>
    <n v="8"/>
    <x v="0"/>
    <x v="1"/>
    <x v="0"/>
    <x v="1"/>
  </r>
  <r>
    <n v="14"/>
    <x v="0"/>
    <n v="5.6"/>
    <x v="0"/>
    <n v="7"/>
    <n v="1.9"/>
    <n v="2.58"/>
    <n v="0.4"/>
    <x v="0"/>
    <n v="5"/>
    <n v="7"/>
    <n v="3"/>
    <x v="0"/>
    <x v="0"/>
    <x v="0"/>
    <x v="0"/>
  </r>
  <r>
    <n v="16"/>
    <x v="0"/>
    <n v="2.7"/>
    <x v="2"/>
    <n v="7.2"/>
    <n v="0.6"/>
    <n v="3.98"/>
    <n v="1.7"/>
    <x v="0"/>
    <n v="6"/>
    <n v="1"/>
    <n v="5"/>
    <x v="0"/>
    <x v="1"/>
    <x v="0"/>
    <x v="2"/>
  </r>
  <r>
    <n v="14"/>
    <x v="0"/>
    <n v="4.2"/>
    <x v="2"/>
    <n v="7"/>
    <n v="1.1000000000000001"/>
    <n v="2.12"/>
    <n v="0.9"/>
    <x v="1"/>
    <n v="4"/>
    <n v="8"/>
    <n v="1"/>
    <x v="0"/>
    <x v="0"/>
    <x v="0"/>
    <x v="0"/>
  </r>
  <r>
    <n v="18"/>
    <x v="1"/>
    <n v="5.0999999999999996"/>
    <x v="1"/>
    <n v="8.1999999999999993"/>
    <n v="2.8"/>
    <n v="2.1800000000000002"/>
    <n v="0.5"/>
    <x v="1"/>
    <n v="8"/>
    <n v="8"/>
    <n v="8"/>
    <x v="0"/>
    <x v="1"/>
    <x v="0"/>
    <x v="1"/>
  </r>
  <r>
    <n v="15"/>
    <x v="1"/>
    <n v="5.7"/>
    <x v="0"/>
    <n v="6.1"/>
    <n v="0.7"/>
    <n v="3.08"/>
    <n v="0.6"/>
    <x v="2"/>
    <n v="5"/>
    <n v="9"/>
    <n v="7"/>
    <x v="0"/>
    <x v="0"/>
    <x v="0"/>
    <x v="1"/>
  </r>
  <r>
    <n v="13"/>
    <x v="1"/>
    <n v="1.5"/>
    <x v="2"/>
    <n v="7.9"/>
    <n v="1.8"/>
    <n v="2.85"/>
    <n v="1.1000000000000001"/>
    <x v="2"/>
    <n v="5"/>
    <n v="7"/>
    <n v="1"/>
    <x v="0"/>
    <x v="0"/>
    <x v="0"/>
    <x v="0"/>
  </r>
  <r>
    <n v="15"/>
    <x v="1"/>
    <n v="6.9"/>
    <x v="1"/>
    <n v="8.3000000000000007"/>
    <n v="2.4"/>
    <n v="3.34"/>
    <n v="1.2"/>
    <x v="1"/>
    <n v="2"/>
    <n v="4"/>
    <n v="9"/>
    <x v="0"/>
    <x v="0"/>
    <x v="0"/>
    <x v="1"/>
  </r>
  <r>
    <n v="14"/>
    <x v="0"/>
    <n v="4.7"/>
    <x v="1"/>
    <n v="7.9"/>
    <n v="2.9"/>
    <n v="2.54"/>
    <n v="0.7"/>
    <x v="1"/>
    <n v="5"/>
    <n v="8"/>
    <n v="7"/>
    <x v="0"/>
    <x v="0"/>
    <x v="0"/>
    <x v="1"/>
  </r>
  <r>
    <n v="15"/>
    <x v="1"/>
    <n v="2.7"/>
    <x v="2"/>
    <n v="8.5"/>
    <n v="0.8"/>
    <n v="2.91"/>
    <n v="1.3"/>
    <x v="0"/>
    <n v="6"/>
    <n v="3"/>
    <n v="1"/>
    <x v="0"/>
    <x v="0"/>
    <x v="0"/>
    <x v="0"/>
  </r>
  <r>
    <n v="13"/>
    <x v="1"/>
    <n v="6.1"/>
    <x v="2"/>
    <n v="6.4"/>
    <n v="2.8"/>
    <n v="2.5099999999999998"/>
    <n v="1.9"/>
    <x v="0"/>
    <n v="6"/>
    <n v="1"/>
    <n v="9"/>
    <x v="0"/>
    <x v="0"/>
    <x v="0"/>
    <x v="1"/>
  </r>
  <r>
    <n v="17"/>
    <x v="1"/>
    <n v="5"/>
    <x v="1"/>
    <n v="7.3"/>
    <n v="1.9"/>
    <n v="3.83"/>
    <n v="0.4"/>
    <x v="1"/>
    <n v="8"/>
    <n v="9"/>
    <n v="9"/>
    <x v="0"/>
    <x v="1"/>
    <x v="0"/>
    <x v="1"/>
  </r>
  <r>
    <n v="17"/>
    <x v="1"/>
    <n v="5.3"/>
    <x v="2"/>
    <n v="6.8"/>
    <n v="1.9"/>
    <n v="3.39"/>
    <n v="1.6"/>
    <x v="0"/>
    <n v="10"/>
    <n v="6"/>
    <n v="8"/>
    <x v="0"/>
    <x v="1"/>
    <x v="0"/>
    <x v="1"/>
  </r>
  <r>
    <n v="19"/>
    <x v="0"/>
    <n v="7.2"/>
    <x v="1"/>
    <n v="6.6"/>
    <n v="2.9"/>
    <n v="2.74"/>
    <n v="0.3"/>
    <x v="2"/>
    <n v="1"/>
    <n v="10"/>
    <n v="9"/>
    <x v="0"/>
    <x v="1"/>
    <x v="0"/>
    <x v="1"/>
  </r>
  <r>
    <n v="15"/>
    <x v="0"/>
    <n v="2.2999999999999998"/>
    <x v="2"/>
    <n v="5.7"/>
    <n v="2.8"/>
    <n v="2.79"/>
    <n v="1.9"/>
    <x v="2"/>
    <n v="4"/>
    <n v="1"/>
    <n v="4"/>
    <x v="0"/>
    <x v="0"/>
    <x v="1"/>
    <x v="2"/>
  </r>
  <r>
    <n v="17"/>
    <x v="1"/>
    <n v="7.3"/>
    <x v="2"/>
    <n v="7.8"/>
    <n v="1.1000000000000001"/>
    <n v="2.0299999999999998"/>
    <n v="1.1000000000000001"/>
    <x v="0"/>
    <n v="3"/>
    <n v="10"/>
    <n v="6"/>
    <x v="0"/>
    <x v="1"/>
    <x v="0"/>
    <x v="2"/>
  </r>
  <r>
    <n v="16"/>
    <x v="1"/>
    <n v="1.5"/>
    <x v="0"/>
    <n v="8"/>
    <n v="0.7"/>
    <n v="2.1800000000000002"/>
    <n v="0.6"/>
    <x v="2"/>
    <n v="4"/>
    <n v="7"/>
    <n v="5"/>
    <x v="0"/>
    <x v="1"/>
    <x v="0"/>
    <x v="2"/>
  </r>
  <r>
    <n v="18"/>
    <x v="1"/>
    <n v="2.2000000000000002"/>
    <x v="0"/>
    <n v="6.5"/>
    <n v="1.9"/>
    <n v="3.79"/>
    <n v="0.2"/>
    <x v="0"/>
    <n v="1"/>
    <n v="6"/>
    <n v="2"/>
    <x v="0"/>
    <x v="1"/>
    <x v="0"/>
    <x v="0"/>
  </r>
  <r>
    <n v="13"/>
    <x v="1"/>
    <n v="5.5"/>
    <x v="2"/>
    <n v="6.7"/>
    <n v="1.6"/>
    <n v="3.09"/>
    <n v="1.7"/>
    <x v="1"/>
    <n v="10"/>
    <n v="1"/>
    <n v="6"/>
    <x v="0"/>
    <x v="0"/>
    <x v="0"/>
    <x v="2"/>
  </r>
  <r>
    <n v="19"/>
    <x v="0"/>
    <n v="2.1"/>
    <x v="1"/>
    <n v="5.2"/>
    <n v="2.5"/>
    <n v="3.1"/>
    <n v="0.3"/>
    <x v="0"/>
    <n v="9"/>
    <n v="9"/>
    <n v="3"/>
    <x v="0"/>
    <x v="1"/>
    <x v="1"/>
    <x v="0"/>
  </r>
  <r>
    <n v="15"/>
    <x v="1"/>
    <n v="4.5"/>
    <x v="2"/>
    <n v="5.4"/>
    <n v="1.2"/>
    <n v="3.76"/>
    <n v="1.7"/>
    <x v="1"/>
    <n v="1"/>
    <n v="8"/>
    <n v="7"/>
    <x v="0"/>
    <x v="0"/>
    <x v="1"/>
    <x v="1"/>
  </r>
  <r>
    <n v="13"/>
    <x v="0"/>
    <n v="3.9"/>
    <x v="2"/>
    <n v="5.8"/>
    <n v="0.7"/>
    <n v="2.77"/>
    <n v="1.3"/>
    <x v="2"/>
    <n v="10"/>
    <n v="3"/>
    <n v="1"/>
    <x v="0"/>
    <x v="0"/>
    <x v="1"/>
    <x v="0"/>
  </r>
  <r>
    <n v="14"/>
    <x v="0"/>
    <n v="5.8"/>
    <x v="0"/>
    <n v="5.0999999999999996"/>
    <n v="2.6"/>
    <n v="2.06"/>
    <n v="1.5"/>
    <x v="2"/>
    <n v="7"/>
    <n v="5"/>
    <n v="2"/>
    <x v="0"/>
    <x v="0"/>
    <x v="1"/>
    <x v="0"/>
  </r>
  <r>
    <n v="13"/>
    <x v="1"/>
    <n v="7.2"/>
    <x v="2"/>
    <n v="4.2"/>
    <n v="2.5"/>
    <n v="2.65"/>
    <n v="1.6"/>
    <x v="0"/>
    <n v="10"/>
    <n v="9"/>
    <n v="3"/>
    <x v="1"/>
    <x v="0"/>
    <x v="1"/>
    <x v="0"/>
  </r>
  <r>
    <n v="17"/>
    <x v="1"/>
    <n v="2.9"/>
    <x v="2"/>
    <n v="7.5"/>
    <n v="1.4"/>
    <n v="3.42"/>
    <n v="1.7"/>
    <x v="0"/>
    <n v="5"/>
    <n v="6"/>
    <n v="3"/>
    <x v="0"/>
    <x v="1"/>
    <x v="0"/>
    <x v="0"/>
  </r>
  <r>
    <n v="17"/>
    <x v="0"/>
    <n v="6.2"/>
    <x v="0"/>
    <n v="7.4"/>
    <n v="0.6"/>
    <n v="3.38"/>
    <n v="1.5"/>
    <x v="0"/>
    <n v="4"/>
    <n v="7"/>
    <n v="9"/>
    <x v="0"/>
    <x v="1"/>
    <x v="0"/>
    <x v="1"/>
  </r>
  <r>
    <n v="18"/>
    <x v="1"/>
    <n v="1.1000000000000001"/>
    <x v="2"/>
    <n v="4.9000000000000004"/>
    <n v="2.6"/>
    <n v="2.4300000000000002"/>
    <n v="1.3"/>
    <x v="1"/>
    <n v="9"/>
    <n v="7"/>
    <n v="6"/>
    <x v="0"/>
    <x v="1"/>
    <x v="1"/>
    <x v="2"/>
  </r>
  <r>
    <n v="19"/>
    <x v="0"/>
    <n v="5.2"/>
    <x v="0"/>
    <n v="4.3"/>
    <n v="1.3"/>
    <n v="2.29"/>
    <n v="1.3"/>
    <x v="2"/>
    <n v="10"/>
    <n v="8"/>
    <n v="10"/>
    <x v="1"/>
    <x v="1"/>
    <x v="1"/>
    <x v="1"/>
  </r>
  <r>
    <n v="15"/>
    <x v="1"/>
    <n v="5"/>
    <x v="0"/>
    <n v="7.6"/>
    <n v="1.8"/>
    <n v="2.52"/>
    <n v="1.4"/>
    <x v="1"/>
    <n v="1"/>
    <n v="4"/>
    <n v="3"/>
    <x v="0"/>
    <x v="0"/>
    <x v="0"/>
    <x v="0"/>
  </r>
  <r>
    <n v="13"/>
    <x v="1"/>
    <n v="2.2999999999999998"/>
    <x v="1"/>
    <n v="8.6999999999999993"/>
    <n v="1.2"/>
    <n v="3.25"/>
    <n v="1.5"/>
    <x v="1"/>
    <n v="9"/>
    <n v="9"/>
    <n v="1"/>
    <x v="0"/>
    <x v="0"/>
    <x v="0"/>
    <x v="0"/>
  </r>
  <r>
    <n v="15"/>
    <x v="1"/>
    <n v="5.2"/>
    <x v="1"/>
    <n v="5.6"/>
    <n v="1.5"/>
    <n v="3.13"/>
    <n v="0.1"/>
    <x v="0"/>
    <n v="7"/>
    <n v="9"/>
    <n v="4"/>
    <x v="1"/>
    <x v="0"/>
    <x v="1"/>
    <x v="2"/>
  </r>
  <r>
    <n v="13"/>
    <x v="1"/>
    <n v="3.5"/>
    <x v="2"/>
    <n v="8.6999999999999993"/>
    <n v="1.4"/>
    <n v="3.5"/>
    <n v="1.3"/>
    <x v="1"/>
    <n v="9"/>
    <n v="4"/>
    <n v="5"/>
    <x v="0"/>
    <x v="0"/>
    <x v="0"/>
    <x v="2"/>
  </r>
  <r>
    <n v="16"/>
    <x v="1"/>
    <n v="3.5"/>
    <x v="2"/>
    <n v="4.2"/>
    <n v="1.5"/>
    <n v="3.98"/>
    <n v="0.4"/>
    <x v="2"/>
    <n v="1"/>
    <n v="7"/>
    <n v="2"/>
    <x v="0"/>
    <x v="1"/>
    <x v="1"/>
    <x v="0"/>
  </r>
  <r>
    <n v="19"/>
    <x v="0"/>
    <n v="7.7"/>
    <x v="0"/>
    <n v="4.2"/>
    <n v="2.6"/>
    <n v="2.2000000000000002"/>
    <n v="1.8"/>
    <x v="0"/>
    <n v="8"/>
    <n v="9"/>
    <n v="4"/>
    <x v="1"/>
    <x v="1"/>
    <x v="1"/>
    <x v="2"/>
  </r>
  <r>
    <n v="18"/>
    <x v="1"/>
    <n v="2"/>
    <x v="2"/>
    <n v="8.6"/>
    <n v="2.2000000000000002"/>
    <n v="3.53"/>
    <n v="1.9"/>
    <x v="0"/>
    <n v="2"/>
    <n v="5"/>
    <n v="8"/>
    <x v="0"/>
    <x v="1"/>
    <x v="0"/>
    <x v="1"/>
  </r>
  <r>
    <n v="13"/>
    <x v="1"/>
    <n v="5.0999999999999996"/>
    <x v="1"/>
    <n v="4.5"/>
    <n v="2.7"/>
    <n v="2.54"/>
    <n v="1.4"/>
    <x v="1"/>
    <n v="2"/>
    <n v="3"/>
    <n v="10"/>
    <x v="0"/>
    <x v="0"/>
    <x v="1"/>
    <x v="1"/>
  </r>
  <r>
    <n v="16"/>
    <x v="0"/>
    <n v="2"/>
    <x v="0"/>
    <n v="7.9"/>
    <n v="2.4"/>
    <n v="2.81"/>
    <n v="1.9"/>
    <x v="0"/>
    <n v="10"/>
    <n v="6"/>
    <n v="6"/>
    <x v="0"/>
    <x v="1"/>
    <x v="0"/>
    <x v="2"/>
  </r>
  <r>
    <n v="15"/>
    <x v="0"/>
    <n v="4.7"/>
    <x v="0"/>
    <n v="8.4"/>
    <n v="1.9"/>
    <n v="3.9"/>
    <n v="1"/>
    <x v="1"/>
    <n v="4"/>
    <n v="10"/>
    <n v="6"/>
    <x v="0"/>
    <x v="0"/>
    <x v="0"/>
    <x v="2"/>
  </r>
  <r>
    <n v="17"/>
    <x v="1"/>
    <n v="6.9"/>
    <x v="1"/>
    <n v="6.1"/>
    <n v="2.4"/>
    <n v="3.77"/>
    <n v="1.1000000000000001"/>
    <x v="2"/>
    <n v="9"/>
    <n v="4"/>
    <n v="9"/>
    <x v="0"/>
    <x v="1"/>
    <x v="0"/>
    <x v="1"/>
  </r>
  <r>
    <n v="18"/>
    <x v="0"/>
    <n v="5.9"/>
    <x v="0"/>
    <n v="4.4000000000000004"/>
    <n v="2.7"/>
    <n v="2.09"/>
    <n v="1.8"/>
    <x v="1"/>
    <n v="1"/>
    <n v="6"/>
    <n v="6"/>
    <x v="0"/>
    <x v="1"/>
    <x v="1"/>
    <x v="2"/>
  </r>
  <r>
    <n v="19"/>
    <x v="0"/>
    <n v="2.7"/>
    <x v="0"/>
    <n v="6.3"/>
    <n v="1.3"/>
    <n v="3.91"/>
    <n v="1.2"/>
    <x v="1"/>
    <n v="7"/>
    <n v="5"/>
    <n v="7"/>
    <x v="0"/>
    <x v="1"/>
    <x v="0"/>
    <x v="1"/>
  </r>
  <r>
    <n v="16"/>
    <x v="0"/>
    <n v="7.9"/>
    <x v="1"/>
    <n v="8"/>
    <n v="1.6"/>
    <n v="3.47"/>
    <n v="1.5"/>
    <x v="1"/>
    <n v="3"/>
    <n v="5"/>
    <n v="6"/>
    <x v="0"/>
    <x v="1"/>
    <x v="0"/>
    <x v="2"/>
  </r>
  <r>
    <n v="16"/>
    <x v="1"/>
    <n v="7.4"/>
    <x v="1"/>
    <n v="5.5"/>
    <n v="1.8"/>
    <n v="2.13"/>
    <n v="0.3"/>
    <x v="1"/>
    <n v="7"/>
    <n v="9"/>
    <n v="9"/>
    <x v="1"/>
    <x v="1"/>
    <x v="1"/>
    <x v="1"/>
  </r>
  <r>
    <n v="17"/>
    <x v="1"/>
    <n v="2.2999999999999998"/>
    <x v="0"/>
    <n v="4.9000000000000004"/>
    <n v="1.7"/>
    <n v="2.0699999999999998"/>
    <n v="0.3"/>
    <x v="2"/>
    <n v="3"/>
    <n v="7"/>
    <n v="7"/>
    <x v="0"/>
    <x v="1"/>
    <x v="1"/>
    <x v="1"/>
  </r>
  <r>
    <n v="13"/>
    <x v="0"/>
    <n v="7.1"/>
    <x v="2"/>
    <n v="5.7"/>
    <n v="2.1"/>
    <n v="3.52"/>
    <n v="1.7"/>
    <x v="0"/>
    <n v="1"/>
    <n v="1"/>
    <n v="3"/>
    <x v="0"/>
    <x v="0"/>
    <x v="1"/>
    <x v="0"/>
  </r>
  <r>
    <n v="16"/>
    <x v="0"/>
    <n v="6.9"/>
    <x v="0"/>
    <n v="6.8"/>
    <n v="1.1000000000000001"/>
    <n v="3.33"/>
    <n v="1"/>
    <x v="2"/>
    <n v="7"/>
    <n v="9"/>
    <n v="4"/>
    <x v="0"/>
    <x v="1"/>
    <x v="0"/>
    <x v="2"/>
  </r>
  <r>
    <n v="16"/>
    <x v="1"/>
    <n v="5.6"/>
    <x v="1"/>
    <n v="7.9"/>
    <n v="2"/>
    <n v="3.91"/>
    <n v="0.6"/>
    <x v="2"/>
    <n v="7"/>
    <n v="3"/>
    <n v="10"/>
    <x v="0"/>
    <x v="1"/>
    <x v="0"/>
    <x v="1"/>
  </r>
  <r>
    <n v="16"/>
    <x v="1"/>
    <n v="5.2"/>
    <x v="1"/>
    <n v="8.1"/>
    <n v="2.1"/>
    <n v="2.67"/>
    <n v="1.7"/>
    <x v="2"/>
    <n v="9"/>
    <n v="10"/>
    <n v="10"/>
    <x v="0"/>
    <x v="1"/>
    <x v="0"/>
    <x v="1"/>
  </r>
  <r>
    <n v="17"/>
    <x v="0"/>
    <n v="4.5"/>
    <x v="2"/>
    <n v="4.9000000000000004"/>
    <n v="0.5"/>
    <n v="3.44"/>
    <n v="1.2"/>
    <x v="2"/>
    <n v="5"/>
    <n v="3"/>
    <n v="1"/>
    <x v="0"/>
    <x v="1"/>
    <x v="1"/>
    <x v="0"/>
  </r>
  <r>
    <n v="14"/>
    <x v="0"/>
    <n v="3.6"/>
    <x v="1"/>
    <n v="4"/>
    <n v="1.4"/>
    <n v="3.83"/>
    <n v="0.5"/>
    <x v="2"/>
    <n v="1"/>
    <n v="5"/>
    <n v="2"/>
    <x v="0"/>
    <x v="0"/>
    <x v="1"/>
    <x v="0"/>
  </r>
  <r>
    <n v="19"/>
    <x v="0"/>
    <n v="7.2"/>
    <x v="0"/>
    <n v="5"/>
    <n v="2.2000000000000002"/>
    <n v="2.5"/>
    <n v="0.7"/>
    <x v="1"/>
    <n v="6"/>
    <n v="9"/>
    <n v="2"/>
    <x v="0"/>
    <x v="1"/>
    <x v="1"/>
    <x v="0"/>
  </r>
  <r>
    <n v="17"/>
    <x v="0"/>
    <n v="6.4"/>
    <x v="1"/>
    <n v="8.6"/>
    <n v="2.2999999999999998"/>
    <n v="2.57"/>
    <n v="1.3"/>
    <x v="0"/>
    <n v="9"/>
    <n v="10"/>
    <n v="5"/>
    <x v="0"/>
    <x v="1"/>
    <x v="0"/>
    <x v="2"/>
  </r>
  <r>
    <n v="15"/>
    <x v="0"/>
    <n v="7.1"/>
    <x v="2"/>
    <n v="6.5"/>
    <n v="0.7"/>
    <n v="3.94"/>
    <n v="0.2"/>
    <x v="2"/>
    <n v="4"/>
    <n v="7"/>
    <n v="1"/>
    <x v="0"/>
    <x v="0"/>
    <x v="0"/>
    <x v="0"/>
  </r>
  <r>
    <n v="18"/>
    <x v="0"/>
    <n v="1.2"/>
    <x v="2"/>
    <n v="4.0999999999999996"/>
    <n v="1.1000000000000001"/>
    <n v="3.04"/>
    <n v="1.6"/>
    <x v="0"/>
    <n v="1"/>
    <n v="3"/>
    <n v="6"/>
    <x v="0"/>
    <x v="1"/>
    <x v="1"/>
    <x v="2"/>
  </r>
  <r>
    <n v="19"/>
    <x v="0"/>
    <n v="6.6"/>
    <x v="1"/>
    <n v="8.8000000000000007"/>
    <n v="0.9"/>
    <n v="3.84"/>
    <n v="0.3"/>
    <x v="1"/>
    <n v="10"/>
    <n v="10"/>
    <n v="6"/>
    <x v="0"/>
    <x v="1"/>
    <x v="0"/>
    <x v="2"/>
  </r>
  <r>
    <n v="19"/>
    <x v="1"/>
    <n v="6.5"/>
    <x v="1"/>
    <n v="6.4"/>
    <n v="1.1000000000000001"/>
    <n v="3.71"/>
    <n v="1.2"/>
    <x v="0"/>
    <n v="8"/>
    <n v="9"/>
    <n v="8"/>
    <x v="0"/>
    <x v="1"/>
    <x v="0"/>
    <x v="1"/>
  </r>
  <r>
    <n v="16"/>
    <x v="0"/>
    <n v="2"/>
    <x v="1"/>
    <n v="4.4000000000000004"/>
    <n v="0.7"/>
    <n v="2.68"/>
    <n v="0.8"/>
    <x v="2"/>
    <n v="1"/>
    <n v="4"/>
    <n v="10"/>
    <x v="0"/>
    <x v="1"/>
    <x v="1"/>
    <x v="1"/>
  </r>
  <r>
    <n v="13"/>
    <x v="0"/>
    <n v="2.5"/>
    <x v="0"/>
    <n v="5.3"/>
    <n v="0.8"/>
    <n v="3.12"/>
    <n v="0.4"/>
    <x v="1"/>
    <n v="3"/>
    <n v="5"/>
    <n v="3"/>
    <x v="0"/>
    <x v="0"/>
    <x v="1"/>
    <x v="0"/>
  </r>
  <r>
    <n v="19"/>
    <x v="0"/>
    <n v="2.1"/>
    <x v="0"/>
    <n v="8.8000000000000007"/>
    <n v="2.2999999999999998"/>
    <n v="2.2200000000000002"/>
    <n v="1.2"/>
    <x v="1"/>
    <n v="5"/>
    <n v="5"/>
    <n v="3"/>
    <x v="0"/>
    <x v="1"/>
    <x v="0"/>
    <x v="0"/>
  </r>
  <r>
    <n v="16"/>
    <x v="1"/>
    <n v="7.1"/>
    <x v="1"/>
    <n v="8.8000000000000007"/>
    <n v="1.8"/>
    <n v="3.99"/>
    <n v="0.8"/>
    <x v="0"/>
    <n v="6"/>
    <n v="10"/>
    <n v="8"/>
    <x v="0"/>
    <x v="1"/>
    <x v="0"/>
    <x v="1"/>
  </r>
  <r>
    <n v="19"/>
    <x v="1"/>
    <n v="6.8"/>
    <x v="2"/>
    <n v="4.4000000000000004"/>
    <n v="2.1"/>
    <n v="3.69"/>
    <n v="0.4"/>
    <x v="1"/>
    <n v="3"/>
    <n v="2"/>
    <n v="8"/>
    <x v="0"/>
    <x v="1"/>
    <x v="1"/>
    <x v="1"/>
  </r>
  <r>
    <n v="13"/>
    <x v="0"/>
    <n v="5.2"/>
    <x v="2"/>
    <n v="5.4"/>
    <n v="0.8"/>
    <n v="2.39"/>
    <n v="2"/>
    <x v="0"/>
    <n v="8"/>
    <n v="3"/>
    <n v="10"/>
    <x v="0"/>
    <x v="0"/>
    <x v="1"/>
    <x v="1"/>
  </r>
  <r>
    <n v="19"/>
    <x v="0"/>
    <n v="7"/>
    <x v="1"/>
    <n v="4.5"/>
    <n v="2.2999999999999998"/>
    <n v="3.26"/>
    <n v="1.7"/>
    <x v="1"/>
    <n v="9"/>
    <n v="10"/>
    <n v="3"/>
    <x v="1"/>
    <x v="1"/>
    <x v="1"/>
    <x v="0"/>
  </r>
  <r>
    <n v="19"/>
    <x v="0"/>
    <n v="6.8"/>
    <x v="1"/>
    <n v="8.4"/>
    <n v="2"/>
    <n v="2.6"/>
    <n v="1.5"/>
    <x v="0"/>
    <n v="7"/>
    <n v="2"/>
    <n v="2"/>
    <x v="0"/>
    <x v="1"/>
    <x v="0"/>
    <x v="0"/>
  </r>
  <r>
    <n v="16"/>
    <x v="1"/>
    <n v="3.8"/>
    <x v="1"/>
    <n v="5.3"/>
    <n v="1.5"/>
    <n v="2.04"/>
    <n v="1.5"/>
    <x v="1"/>
    <n v="5"/>
    <n v="10"/>
    <n v="5"/>
    <x v="0"/>
    <x v="1"/>
    <x v="1"/>
    <x v="2"/>
  </r>
  <r>
    <n v="14"/>
    <x v="0"/>
    <n v="2.9"/>
    <x v="0"/>
    <n v="7.2"/>
    <n v="2"/>
    <n v="3.96"/>
    <n v="1.5"/>
    <x v="2"/>
    <n v="9"/>
    <n v="10"/>
    <n v="4"/>
    <x v="0"/>
    <x v="0"/>
    <x v="0"/>
    <x v="2"/>
  </r>
  <r>
    <n v="16"/>
    <x v="0"/>
    <n v="3.6"/>
    <x v="0"/>
    <n v="6.6"/>
    <n v="0.7"/>
    <n v="2.25"/>
    <n v="1.9"/>
    <x v="0"/>
    <n v="4"/>
    <n v="1"/>
    <n v="8"/>
    <x v="0"/>
    <x v="1"/>
    <x v="0"/>
    <x v="1"/>
  </r>
  <r>
    <n v="13"/>
    <x v="0"/>
    <n v="4"/>
    <x v="2"/>
    <n v="8.3000000000000007"/>
    <n v="0.6"/>
    <n v="3.71"/>
    <n v="0.1"/>
    <x v="0"/>
    <n v="2"/>
    <n v="6"/>
    <n v="1"/>
    <x v="0"/>
    <x v="0"/>
    <x v="0"/>
    <x v="0"/>
  </r>
  <r>
    <n v="17"/>
    <x v="1"/>
    <n v="7.5"/>
    <x v="2"/>
    <n v="4.7"/>
    <n v="2.1"/>
    <n v="2.5499999999999998"/>
    <n v="0.1"/>
    <x v="1"/>
    <n v="3"/>
    <n v="9"/>
    <n v="1"/>
    <x v="0"/>
    <x v="1"/>
    <x v="1"/>
    <x v="0"/>
  </r>
  <r>
    <n v="16"/>
    <x v="1"/>
    <n v="6"/>
    <x v="2"/>
    <n v="8.6999999999999993"/>
    <n v="1.5"/>
    <n v="3.76"/>
    <n v="0.1"/>
    <x v="2"/>
    <n v="2"/>
    <n v="5"/>
    <n v="4"/>
    <x v="0"/>
    <x v="1"/>
    <x v="0"/>
    <x v="2"/>
  </r>
  <r>
    <n v="16"/>
    <x v="1"/>
    <n v="3.6"/>
    <x v="0"/>
    <n v="6.1"/>
    <n v="2.8"/>
    <n v="3.8"/>
    <n v="0.1"/>
    <x v="1"/>
    <n v="2"/>
    <n v="1"/>
    <n v="7"/>
    <x v="0"/>
    <x v="1"/>
    <x v="0"/>
    <x v="1"/>
  </r>
  <r>
    <n v="19"/>
    <x v="0"/>
    <n v="4.7"/>
    <x v="2"/>
    <n v="8.1999999999999993"/>
    <n v="1.2"/>
    <n v="2.83"/>
    <n v="1.2"/>
    <x v="1"/>
    <n v="5"/>
    <n v="9"/>
    <n v="9"/>
    <x v="0"/>
    <x v="1"/>
    <x v="0"/>
    <x v="1"/>
  </r>
  <r>
    <n v="13"/>
    <x v="0"/>
    <n v="2"/>
    <x v="0"/>
    <n v="6.6"/>
    <n v="0.9"/>
    <n v="3.34"/>
    <n v="1.5"/>
    <x v="1"/>
    <n v="5"/>
    <n v="9"/>
    <n v="4"/>
    <x v="0"/>
    <x v="0"/>
    <x v="0"/>
    <x v="2"/>
  </r>
  <r>
    <n v="13"/>
    <x v="0"/>
    <n v="7.8"/>
    <x v="1"/>
    <n v="7.2"/>
    <n v="1.3"/>
    <n v="3.31"/>
    <n v="0.8"/>
    <x v="1"/>
    <n v="9"/>
    <n v="2"/>
    <n v="4"/>
    <x v="0"/>
    <x v="0"/>
    <x v="0"/>
    <x v="2"/>
  </r>
  <r>
    <n v="19"/>
    <x v="0"/>
    <n v="5.9"/>
    <x v="1"/>
    <n v="7.4"/>
    <n v="0.7"/>
    <n v="3.27"/>
    <n v="1.7"/>
    <x v="1"/>
    <n v="1"/>
    <n v="9"/>
    <n v="9"/>
    <x v="0"/>
    <x v="1"/>
    <x v="0"/>
    <x v="1"/>
  </r>
  <r>
    <n v="19"/>
    <x v="0"/>
    <n v="7.7"/>
    <x v="1"/>
    <n v="8.4"/>
    <n v="2.8"/>
    <n v="3.43"/>
    <n v="0.2"/>
    <x v="2"/>
    <n v="7"/>
    <n v="6"/>
    <n v="6"/>
    <x v="0"/>
    <x v="1"/>
    <x v="0"/>
    <x v="2"/>
  </r>
  <r>
    <n v="13"/>
    <x v="0"/>
    <n v="2.2000000000000002"/>
    <x v="1"/>
    <n v="5.4"/>
    <n v="1.2"/>
    <n v="2.33"/>
    <n v="0.8"/>
    <x v="2"/>
    <n v="10"/>
    <n v="3"/>
    <n v="4"/>
    <x v="0"/>
    <x v="0"/>
    <x v="1"/>
    <x v="2"/>
  </r>
  <r>
    <n v="18"/>
    <x v="1"/>
    <n v="7.7"/>
    <x v="1"/>
    <n v="7.6"/>
    <n v="2.9"/>
    <n v="3.81"/>
    <n v="0.5"/>
    <x v="1"/>
    <n v="10"/>
    <n v="3"/>
    <n v="6"/>
    <x v="0"/>
    <x v="1"/>
    <x v="0"/>
    <x v="2"/>
  </r>
  <r>
    <n v="18"/>
    <x v="0"/>
    <n v="3.2"/>
    <x v="0"/>
    <n v="6"/>
    <n v="1.5"/>
    <n v="3.36"/>
    <n v="1.5"/>
    <x v="1"/>
    <n v="9"/>
    <n v="7"/>
    <n v="10"/>
    <x v="0"/>
    <x v="1"/>
    <x v="1"/>
    <x v="1"/>
  </r>
  <r>
    <n v="16"/>
    <x v="0"/>
    <n v="2"/>
    <x v="1"/>
    <n v="7.8"/>
    <n v="0.5"/>
    <n v="2.81"/>
    <n v="1.4"/>
    <x v="1"/>
    <n v="10"/>
    <n v="2"/>
    <n v="4"/>
    <x v="0"/>
    <x v="1"/>
    <x v="0"/>
    <x v="2"/>
  </r>
  <r>
    <n v="15"/>
    <x v="1"/>
    <n v="6.2"/>
    <x v="2"/>
    <n v="5.2"/>
    <n v="1"/>
    <n v="3.94"/>
    <n v="1.4"/>
    <x v="0"/>
    <n v="5"/>
    <n v="2"/>
    <n v="7"/>
    <x v="0"/>
    <x v="0"/>
    <x v="1"/>
    <x v="1"/>
  </r>
  <r>
    <n v="19"/>
    <x v="1"/>
    <n v="2.4"/>
    <x v="0"/>
    <n v="8.6999999999999993"/>
    <n v="1.6"/>
    <n v="2.4"/>
    <n v="0.1"/>
    <x v="2"/>
    <n v="2"/>
    <n v="9"/>
    <n v="7"/>
    <x v="0"/>
    <x v="1"/>
    <x v="0"/>
    <x v="1"/>
  </r>
  <r>
    <n v="15"/>
    <x v="0"/>
    <n v="3.4"/>
    <x v="2"/>
    <n v="8"/>
    <n v="1"/>
    <n v="2.31"/>
    <n v="1"/>
    <x v="1"/>
    <n v="4"/>
    <n v="7"/>
    <n v="6"/>
    <x v="0"/>
    <x v="0"/>
    <x v="0"/>
    <x v="2"/>
  </r>
  <r>
    <n v="19"/>
    <x v="0"/>
    <n v="6"/>
    <x v="0"/>
    <n v="4.2"/>
    <n v="0.9"/>
    <n v="2.41"/>
    <n v="0.8"/>
    <x v="2"/>
    <n v="7"/>
    <n v="9"/>
    <n v="9"/>
    <x v="1"/>
    <x v="1"/>
    <x v="1"/>
    <x v="1"/>
  </r>
  <r>
    <n v="16"/>
    <x v="1"/>
    <n v="5.3"/>
    <x v="2"/>
    <n v="5.6"/>
    <n v="2.5"/>
    <n v="2.73"/>
    <n v="1.3"/>
    <x v="2"/>
    <n v="7"/>
    <n v="10"/>
    <n v="4"/>
    <x v="1"/>
    <x v="1"/>
    <x v="1"/>
    <x v="2"/>
  </r>
  <r>
    <n v="17"/>
    <x v="1"/>
    <n v="5.5"/>
    <x v="0"/>
    <n v="6.3"/>
    <n v="0.8"/>
    <n v="2.59"/>
    <n v="1.6"/>
    <x v="1"/>
    <n v="6"/>
    <n v="8"/>
    <n v="7"/>
    <x v="0"/>
    <x v="1"/>
    <x v="0"/>
    <x v="1"/>
  </r>
  <r>
    <n v="17"/>
    <x v="0"/>
    <n v="3.6"/>
    <x v="2"/>
    <n v="6.1"/>
    <n v="2.8"/>
    <n v="2.39"/>
    <n v="0.6"/>
    <x v="0"/>
    <n v="6"/>
    <n v="8"/>
    <n v="5"/>
    <x v="0"/>
    <x v="1"/>
    <x v="0"/>
    <x v="2"/>
  </r>
  <r>
    <n v="17"/>
    <x v="1"/>
    <n v="3.7"/>
    <x v="0"/>
    <n v="6.3"/>
    <n v="1.3"/>
    <n v="2.7"/>
    <n v="1.1000000000000001"/>
    <x v="2"/>
    <n v="2"/>
    <n v="6"/>
    <n v="9"/>
    <x v="0"/>
    <x v="1"/>
    <x v="0"/>
    <x v="1"/>
  </r>
  <r>
    <n v="16"/>
    <x v="1"/>
    <n v="7.4"/>
    <x v="0"/>
    <n v="7.4"/>
    <n v="0.9"/>
    <n v="3.7"/>
    <n v="1.3"/>
    <x v="2"/>
    <n v="10"/>
    <n v="6"/>
    <n v="2"/>
    <x v="0"/>
    <x v="1"/>
    <x v="0"/>
    <x v="0"/>
  </r>
  <r>
    <n v="13"/>
    <x v="0"/>
    <n v="5.3"/>
    <x v="0"/>
    <n v="6"/>
    <n v="1"/>
    <n v="2.92"/>
    <n v="0.7"/>
    <x v="1"/>
    <n v="3"/>
    <n v="8"/>
    <n v="5"/>
    <x v="0"/>
    <x v="0"/>
    <x v="1"/>
    <x v="2"/>
  </r>
  <r>
    <n v="18"/>
    <x v="1"/>
    <n v="4.8"/>
    <x v="0"/>
    <n v="5.5"/>
    <n v="1.8"/>
    <n v="2.9"/>
    <n v="0.6"/>
    <x v="0"/>
    <n v="6"/>
    <n v="2"/>
    <n v="5"/>
    <x v="0"/>
    <x v="1"/>
    <x v="1"/>
    <x v="2"/>
  </r>
  <r>
    <n v="13"/>
    <x v="0"/>
    <n v="3.4"/>
    <x v="1"/>
    <n v="4.5"/>
    <n v="0.5"/>
    <n v="3.71"/>
    <n v="1"/>
    <x v="2"/>
    <n v="1"/>
    <n v="10"/>
    <n v="1"/>
    <x v="0"/>
    <x v="0"/>
    <x v="1"/>
    <x v="0"/>
  </r>
  <r>
    <n v="17"/>
    <x v="1"/>
    <n v="7"/>
    <x v="1"/>
    <n v="8.9"/>
    <n v="0.6"/>
    <n v="3.67"/>
    <n v="0.2"/>
    <x v="2"/>
    <n v="9"/>
    <n v="2"/>
    <n v="4"/>
    <x v="0"/>
    <x v="1"/>
    <x v="0"/>
    <x v="2"/>
  </r>
  <r>
    <n v="15"/>
    <x v="0"/>
    <n v="5.4"/>
    <x v="0"/>
    <n v="7.2"/>
    <n v="1.2"/>
    <n v="3.32"/>
    <n v="1.3"/>
    <x v="1"/>
    <n v="7"/>
    <n v="8"/>
    <n v="1"/>
    <x v="0"/>
    <x v="0"/>
    <x v="0"/>
    <x v="0"/>
  </r>
  <r>
    <n v="17"/>
    <x v="0"/>
    <n v="5.3"/>
    <x v="0"/>
    <n v="6.4"/>
    <n v="2.9"/>
    <n v="2.42"/>
    <n v="1.1000000000000001"/>
    <x v="0"/>
    <n v="3"/>
    <n v="8"/>
    <n v="3"/>
    <x v="0"/>
    <x v="1"/>
    <x v="0"/>
    <x v="0"/>
  </r>
  <r>
    <n v="14"/>
    <x v="0"/>
    <n v="1.8"/>
    <x v="2"/>
    <n v="5.0999999999999996"/>
    <n v="2.7"/>
    <n v="3.47"/>
    <n v="0.2"/>
    <x v="0"/>
    <n v="8"/>
    <n v="4"/>
    <n v="6"/>
    <x v="0"/>
    <x v="0"/>
    <x v="1"/>
    <x v="2"/>
  </r>
  <r>
    <n v="15"/>
    <x v="0"/>
    <n v="4.5"/>
    <x v="1"/>
    <n v="6.2"/>
    <n v="2.8"/>
    <n v="2.74"/>
    <n v="0.1"/>
    <x v="1"/>
    <n v="2"/>
    <n v="3"/>
    <n v="5"/>
    <x v="0"/>
    <x v="0"/>
    <x v="0"/>
    <x v="2"/>
  </r>
  <r>
    <n v="17"/>
    <x v="1"/>
    <n v="5.4"/>
    <x v="1"/>
    <n v="7.1"/>
    <n v="2.5"/>
    <n v="2.68"/>
    <n v="1.6"/>
    <x v="0"/>
    <n v="3"/>
    <n v="5"/>
    <n v="7"/>
    <x v="0"/>
    <x v="1"/>
    <x v="0"/>
    <x v="1"/>
  </r>
  <r>
    <n v="13"/>
    <x v="0"/>
    <n v="3.6"/>
    <x v="0"/>
    <n v="8.6"/>
    <n v="0.7"/>
    <n v="2.42"/>
    <n v="0.2"/>
    <x v="2"/>
    <n v="2"/>
    <n v="6"/>
    <n v="8"/>
    <x v="0"/>
    <x v="0"/>
    <x v="0"/>
    <x v="1"/>
  </r>
  <r>
    <n v="14"/>
    <x v="1"/>
    <n v="5.7"/>
    <x v="0"/>
    <n v="8.9"/>
    <n v="0.7"/>
    <n v="2.17"/>
    <n v="1.3"/>
    <x v="1"/>
    <n v="10"/>
    <n v="4"/>
    <n v="3"/>
    <x v="0"/>
    <x v="0"/>
    <x v="0"/>
    <x v="0"/>
  </r>
  <r>
    <n v="15"/>
    <x v="1"/>
    <n v="5.5"/>
    <x v="2"/>
    <n v="7.3"/>
    <n v="2.5"/>
    <n v="3.67"/>
    <n v="0.5"/>
    <x v="0"/>
    <n v="4"/>
    <n v="3"/>
    <n v="6"/>
    <x v="0"/>
    <x v="0"/>
    <x v="0"/>
    <x v="2"/>
  </r>
  <r>
    <n v="14"/>
    <x v="1"/>
    <n v="5.3"/>
    <x v="2"/>
    <n v="4.7"/>
    <n v="1.1000000000000001"/>
    <n v="3.68"/>
    <n v="1.8"/>
    <x v="1"/>
    <n v="10"/>
    <n v="8"/>
    <n v="10"/>
    <x v="1"/>
    <x v="0"/>
    <x v="1"/>
    <x v="1"/>
  </r>
  <r>
    <n v="15"/>
    <x v="0"/>
    <n v="2.7"/>
    <x v="0"/>
    <n v="5.4"/>
    <n v="1.6"/>
    <n v="2.34"/>
    <n v="0.3"/>
    <x v="1"/>
    <n v="2"/>
    <n v="6"/>
    <n v="8"/>
    <x v="0"/>
    <x v="0"/>
    <x v="1"/>
    <x v="1"/>
  </r>
  <r>
    <n v="14"/>
    <x v="0"/>
    <n v="6.4"/>
    <x v="0"/>
    <n v="5.6"/>
    <n v="0.8"/>
    <n v="4"/>
    <n v="1.9"/>
    <x v="2"/>
    <n v="5"/>
    <n v="1"/>
    <n v="3"/>
    <x v="0"/>
    <x v="0"/>
    <x v="1"/>
    <x v="0"/>
  </r>
  <r>
    <n v="16"/>
    <x v="0"/>
    <n v="5"/>
    <x v="1"/>
    <n v="6.3"/>
    <n v="3"/>
    <n v="3.72"/>
    <n v="1.6"/>
    <x v="2"/>
    <n v="5"/>
    <n v="10"/>
    <n v="3"/>
    <x v="0"/>
    <x v="1"/>
    <x v="0"/>
    <x v="0"/>
  </r>
  <r>
    <n v="13"/>
    <x v="1"/>
    <n v="2.5"/>
    <x v="0"/>
    <n v="4.5999999999999996"/>
    <n v="1.6"/>
    <n v="3.22"/>
    <n v="0.9"/>
    <x v="2"/>
    <n v="6"/>
    <n v="4"/>
    <n v="3"/>
    <x v="0"/>
    <x v="0"/>
    <x v="1"/>
    <x v="0"/>
  </r>
  <r>
    <n v="18"/>
    <x v="0"/>
    <n v="2.2000000000000002"/>
    <x v="2"/>
    <n v="4.5"/>
    <n v="2"/>
    <n v="2.4900000000000002"/>
    <n v="0.8"/>
    <x v="1"/>
    <n v="1"/>
    <n v="7"/>
    <n v="6"/>
    <x v="0"/>
    <x v="1"/>
    <x v="1"/>
    <x v="2"/>
  </r>
  <r>
    <n v="16"/>
    <x v="0"/>
    <n v="4.0999999999999996"/>
    <x v="2"/>
    <n v="5.5"/>
    <n v="1.9"/>
    <n v="2.65"/>
    <n v="1.5"/>
    <x v="0"/>
    <n v="5"/>
    <n v="7"/>
    <n v="9"/>
    <x v="0"/>
    <x v="1"/>
    <x v="1"/>
    <x v="1"/>
  </r>
  <r>
    <n v="16"/>
    <x v="1"/>
    <n v="2.8"/>
    <x v="1"/>
    <n v="7.4"/>
    <n v="2"/>
    <n v="3.4"/>
    <n v="1.6"/>
    <x v="0"/>
    <n v="4"/>
    <n v="1"/>
    <n v="1"/>
    <x v="0"/>
    <x v="1"/>
    <x v="0"/>
    <x v="0"/>
  </r>
  <r>
    <n v="17"/>
    <x v="1"/>
    <n v="1.1000000000000001"/>
    <x v="1"/>
    <n v="8.1999999999999993"/>
    <n v="2.7"/>
    <n v="2.84"/>
    <n v="0.2"/>
    <x v="1"/>
    <n v="2"/>
    <n v="4"/>
    <n v="1"/>
    <x v="0"/>
    <x v="1"/>
    <x v="0"/>
    <x v="0"/>
  </r>
  <r>
    <n v="13"/>
    <x v="0"/>
    <n v="7"/>
    <x v="2"/>
    <n v="5.7"/>
    <n v="1.6"/>
    <n v="3.45"/>
    <n v="1.2"/>
    <x v="2"/>
    <n v="7"/>
    <n v="1"/>
    <n v="10"/>
    <x v="0"/>
    <x v="0"/>
    <x v="1"/>
    <x v="1"/>
  </r>
  <r>
    <n v="18"/>
    <x v="0"/>
    <n v="2.6"/>
    <x v="1"/>
    <n v="7.9"/>
    <n v="2.2999999999999998"/>
    <n v="2.4300000000000002"/>
    <n v="0.1"/>
    <x v="1"/>
    <n v="5"/>
    <n v="1"/>
    <n v="6"/>
    <x v="0"/>
    <x v="1"/>
    <x v="0"/>
    <x v="2"/>
  </r>
  <r>
    <n v="13"/>
    <x v="1"/>
    <n v="2.6"/>
    <x v="1"/>
    <n v="6.1"/>
    <n v="1.4"/>
    <n v="2.11"/>
    <n v="0.4"/>
    <x v="1"/>
    <n v="7"/>
    <n v="5"/>
    <n v="10"/>
    <x v="0"/>
    <x v="0"/>
    <x v="0"/>
    <x v="1"/>
  </r>
  <r>
    <n v="14"/>
    <x v="0"/>
    <n v="3.4"/>
    <x v="0"/>
    <n v="4.5999999999999996"/>
    <n v="2"/>
    <n v="2.27"/>
    <n v="1.9"/>
    <x v="1"/>
    <n v="7"/>
    <n v="10"/>
    <n v="6"/>
    <x v="0"/>
    <x v="0"/>
    <x v="1"/>
    <x v="2"/>
  </r>
  <r>
    <n v="14"/>
    <x v="0"/>
    <n v="7.9"/>
    <x v="0"/>
    <n v="5.7"/>
    <n v="1.6"/>
    <n v="3.67"/>
    <n v="0.6"/>
    <x v="2"/>
    <n v="4"/>
    <n v="3"/>
    <n v="4"/>
    <x v="0"/>
    <x v="0"/>
    <x v="1"/>
    <x v="2"/>
  </r>
  <r>
    <n v="13"/>
    <x v="0"/>
    <n v="5.0999999999999996"/>
    <x v="1"/>
    <n v="5.3"/>
    <n v="2.6"/>
    <n v="2.95"/>
    <n v="1.2"/>
    <x v="2"/>
    <n v="2"/>
    <n v="6"/>
    <n v="10"/>
    <x v="0"/>
    <x v="0"/>
    <x v="1"/>
    <x v="1"/>
  </r>
  <r>
    <n v="13"/>
    <x v="1"/>
    <n v="2.8"/>
    <x v="2"/>
    <n v="6.4"/>
    <n v="1.4"/>
    <n v="2.38"/>
    <n v="1.4"/>
    <x v="2"/>
    <n v="4"/>
    <n v="8"/>
    <n v="10"/>
    <x v="0"/>
    <x v="0"/>
    <x v="0"/>
    <x v="1"/>
  </r>
  <r>
    <n v="19"/>
    <x v="1"/>
    <n v="3.4"/>
    <x v="1"/>
    <n v="4.3"/>
    <n v="0.7"/>
    <n v="2.17"/>
    <n v="0.7"/>
    <x v="1"/>
    <n v="3"/>
    <n v="1"/>
    <n v="4"/>
    <x v="0"/>
    <x v="1"/>
    <x v="1"/>
    <x v="2"/>
  </r>
  <r>
    <n v="18"/>
    <x v="0"/>
    <n v="6.3"/>
    <x v="2"/>
    <n v="6.9"/>
    <n v="1"/>
    <n v="3.22"/>
    <n v="0.8"/>
    <x v="2"/>
    <n v="4"/>
    <n v="6"/>
    <n v="1"/>
    <x v="0"/>
    <x v="1"/>
    <x v="0"/>
    <x v="0"/>
  </r>
  <r>
    <n v="17"/>
    <x v="1"/>
    <n v="1.1000000000000001"/>
    <x v="1"/>
    <n v="4.5999999999999996"/>
    <n v="2.5"/>
    <n v="3.93"/>
    <n v="0.3"/>
    <x v="1"/>
    <n v="10"/>
    <n v="6"/>
    <n v="2"/>
    <x v="0"/>
    <x v="1"/>
    <x v="1"/>
    <x v="0"/>
  </r>
  <r>
    <n v="19"/>
    <x v="0"/>
    <n v="3.8"/>
    <x v="0"/>
    <n v="7.1"/>
    <n v="2.5"/>
    <n v="3.81"/>
    <n v="0.9"/>
    <x v="0"/>
    <n v="6"/>
    <n v="9"/>
    <n v="4"/>
    <x v="0"/>
    <x v="1"/>
    <x v="0"/>
    <x v="2"/>
  </r>
  <r>
    <n v="13"/>
    <x v="0"/>
    <n v="2.1"/>
    <x v="0"/>
    <n v="4.0999999999999996"/>
    <n v="1.6"/>
    <n v="2.12"/>
    <n v="1.8"/>
    <x v="1"/>
    <n v="10"/>
    <n v="9"/>
    <n v="6"/>
    <x v="0"/>
    <x v="0"/>
    <x v="1"/>
    <x v="2"/>
  </r>
  <r>
    <n v="17"/>
    <x v="1"/>
    <n v="6.2"/>
    <x v="2"/>
    <n v="6.1"/>
    <n v="2.4"/>
    <n v="3.05"/>
    <n v="1.8"/>
    <x v="1"/>
    <n v="3"/>
    <n v="6"/>
    <n v="8"/>
    <x v="0"/>
    <x v="1"/>
    <x v="0"/>
    <x v="1"/>
  </r>
  <r>
    <n v="19"/>
    <x v="0"/>
    <n v="6.8"/>
    <x v="0"/>
    <n v="8.4"/>
    <n v="2.1"/>
    <n v="3.15"/>
    <n v="2"/>
    <x v="2"/>
    <n v="4"/>
    <n v="10"/>
    <n v="1"/>
    <x v="0"/>
    <x v="1"/>
    <x v="0"/>
    <x v="0"/>
  </r>
  <r>
    <n v="14"/>
    <x v="0"/>
    <n v="5.2"/>
    <x v="0"/>
    <n v="5.5"/>
    <n v="1.6"/>
    <n v="3.08"/>
    <n v="0.5"/>
    <x v="2"/>
    <n v="3"/>
    <n v="8"/>
    <n v="1"/>
    <x v="0"/>
    <x v="0"/>
    <x v="1"/>
    <x v="0"/>
  </r>
  <r>
    <n v="15"/>
    <x v="0"/>
    <n v="3.7"/>
    <x v="2"/>
    <n v="4"/>
    <n v="0.9"/>
    <n v="3"/>
    <n v="1.4"/>
    <x v="2"/>
    <n v="1"/>
    <n v="8"/>
    <n v="10"/>
    <x v="0"/>
    <x v="0"/>
    <x v="1"/>
    <x v="1"/>
  </r>
  <r>
    <n v="19"/>
    <x v="0"/>
    <n v="2.4"/>
    <x v="2"/>
    <n v="7.5"/>
    <n v="1.8"/>
    <n v="2.35"/>
    <n v="1.4"/>
    <x v="0"/>
    <n v="3"/>
    <n v="8"/>
    <n v="6"/>
    <x v="0"/>
    <x v="1"/>
    <x v="0"/>
    <x v="2"/>
  </r>
  <r>
    <n v="13"/>
    <x v="0"/>
    <n v="2.1"/>
    <x v="1"/>
    <n v="5.8"/>
    <n v="2.7"/>
    <n v="3.83"/>
    <n v="1.9"/>
    <x v="0"/>
    <n v="4"/>
    <n v="6"/>
    <n v="6"/>
    <x v="0"/>
    <x v="0"/>
    <x v="1"/>
    <x v="2"/>
  </r>
  <r>
    <n v="17"/>
    <x v="1"/>
    <n v="2.6"/>
    <x v="1"/>
    <n v="4.2"/>
    <n v="0.7"/>
    <n v="3.02"/>
    <n v="1.6"/>
    <x v="0"/>
    <n v="7"/>
    <n v="4"/>
    <n v="7"/>
    <x v="0"/>
    <x v="1"/>
    <x v="1"/>
    <x v="1"/>
  </r>
  <r>
    <n v="19"/>
    <x v="0"/>
    <n v="6.5"/>
    <x v="0"/>
    <n v="6"/>
    <n v="1.5"/>
    <n v="2.12"/>
    <n v="1.7"/>
    <x v="2"/>
    <n v="8"/>
    <n v="5"/>
    <n v="7"/>
    <x v="0"/>
    <x v="1"/>
    <x v="1"/>
    <x v="1"/>
  </r>
  <r>
    <n v="16"/>
    <x v="1"/>
    <n v="3.4"/>
    <x v="0"/>
    <n v="5.3"/>
    <n v="1.8"/>
    <n v="3.33"/>
    <n v="0.3"/>
    <x v="0"/>
    <n v="9"/>
    <n v="2"/>
    <n v="4"/>
    <x v="0"/>
    <x v="1"/>
    <x v="1"/>
    <x v="2"/>
  </r>
  <r>
    <n v="16"/>
    <x v="0"/>
    <n v="1.7"/>
    <x v="2"/>
    <n v="4.3"/>
    <n v="1.4"/>
    <n v="3.27"/>
    <n v="1.2"/>
    <x v="2"/>
    <n v="10"/>
    <n v="4"/>
    <n v="10"/>
    <x v="0"/>
    <x v="1"/>
    <x v="1"/>
    <x v="1"/>
  </r>
  <r>
    <n v="13"/>
    <x v="0"/>
    <n v="5.6"/>
    <x v="2"/>
    <n v="4.4000000000000004"/>
    <n v="2.9"/>
    <n v="3.19"/>
    <n v="0.9"/>
    <x v="2"/>
    <n v="6"/>
    <n v="3"/>
    <n v="4"/>
    <x v="0"/>
    <x v="0"/>
    <x v="1"/>
    <x v="2"/>
  </r>
  <r>
    <n v="15"/>
    <x v="1"/>
    <n v="8"/>
    <x v="2"/>
    <n v="5.7"/>
    <n v="1.3"/>
    <n v="3.54"/>
    <n v="0.1"/>
    <x v="1"/>
    <n v="9"/>
    <n v="7"/>
    <n v="5"/>
    <x v="1"/>
    <x v="0"/>
    <x v="1"/>
    <x v="2"/>
  </r>
  <r>
    <n v="15"/>
    <x v="1"/>
    <n v="5.7"/>
    <x v="0"/>
    <n v="8.4"/>
    <n v="1.3"/>
    <n v="2.48"/>
    <n v="0.9"/>
    <x v="1"/>
    <n v="5"/>
    <n v="2"/>
    <n v="4"/>
    <x v="0"/>
    <x v="0"/>
    <x v="0"/>
    <x v="2"/>
  </r>
  <r>
    <n v="16"/>
    <x v="1"/>
    <n v="4"/>
    <x v="1"/>
    <n v="5.4"/>
    <n v="2.7"/>
    <n v="2.88"/>
    <n v="1.2"/>
    <x v="2"/>
    <n v="4"/>
    <n v="10"/>
    <n v="1"/>
    <x v="0"/>
    <x v="1"/>
    <x v="1"/>
    <x v="0"/>
  </r>
  <r>
    <n v="13"/>
    <x v="1"/>
    <n v="3.5"/>
    <x v="0"/>
    <n v="5.3"/>
    <n v="1.7"/>
    <n v="2.2000000000000002"/>
    <n v="0.8"/>
    <x v="1"/>
    <n v="6"/>
    <n v="10"/>
    <n v="8"/>
    <x v="0"/>
    <x v="0"/>
    <x v="1"/>
    <x v="1"/>
  </r>
  <r>
    <n v="15"/>
    <x v="1"/>
    <n v="4.2"/>
    <x v="1"/>
    <n v="5.5"/>
    <n v="1.3"/>
    <n v="3.49"/>
    <n v="0.5"/>
    <x v="0"/>
    <n v="2"/>
    <n v="5"/>
    <n v="2"/>
    <x v="0"/>
    <x v="0"/>
    <x v="1"/>
    <x v="0"/>
  </r>
  <r>
    <n v="19"/>
    <x v="1"/>
    <n v="3.9"/>
    <x v="1"/>
    <n v="7.4"/>
    <n v="2.5"/>
    <n v="3.74"/>
    <n v="0.3"/>
    <x v="2"/>
    <n v="5"/>
    <n v="8"/>
    <n v="3"/>
    <x v="0"/>
    <x v="1"/>
    <x v="0"/>
    <x v="0"/>
  </r>
  <r>
    <n v="17"/>
    <x v="1"/>
    <n v="6.7"/>
    <x v="0"/>
    <n v="4.3"/>
    <n v="0.6"/>
    <n v="3.76"/>
    <n v="0"/>
    <x v="0"/>
    <n v="2"/>
    <n v="1"/>
    <n v="7"/>
    <x v="0"/>
    <x v="1"/>
    <x v="1"/>
    <x v="1"/>
  </r>
  <r>
    <n v="15"/>
    <x v="0"/>
    <n v="6.7"/>
    <x v="2"/>
    <n v="4.3"/>
    <n v="1.8"/>
    <n v="3.69"/>
    <n v="0.7"/>
    <x v="1"/>
    <n v="2"/>
    <n v="8"/>
    <n v="7"/>
    <x v="0"/>
    <x v="0"/>
    <x v="1"/>
    <x v="1"/>
  </r>
  <r>
    <n v="14"/>
    <x v="1"/>
    <n v="3.4"/>
    <x v="0"/>
    <n v="5.6"/>
    <n v="1.7"/>
    <n v="3.38"/>
    <n v="0.3"/>
    <x v="1"/>
    <n v="9"/>
    <n v="3"/>
    <n v="1"/>
    <x v="0"/>
    <x v="0"/>
    <x v="1"/>
    <x v="0"/>
  </r>
  <r>
    <n v="16"/>
    <x v="0"/>
    <n v="5"/>
    <x v="1"/>
    <n v="4.3"/>
    <n v="0.7"/>
    <n v="3.68"/>
    <n v="1.2"/>
    <x v="0"/>
    <n v="6"/>
    <n v="2"/>
    <n v="4"/>
    <x v="0"/>
    <x v="1"/>
    <x v="1"/>
    <x v="2"/>
  </r>
  <r>
    <n v="18"/>
    <x v="1"/>
    <n v="3.8"/>
    <x v="0"/>
    <n v="5.9"/>
    <n v="1"/>
    <n v="2.2200000000000002"/>
    <n v="0.6"/>
    <x v="0"/>
    <n v="9"/>
    <n v="10"/>
    <n v="9"/>
    <x v="0"/>
    <x v="1"/>
    <x v="1"/>
    <x v="1"/>
  </r>
  <r>
    <n v="15"/>
    <x v="1"/>
    <n v="7.3"/>
    <x v="1"/>
    <n v="7.3"/>
    <n v="2.8"/>
    <n v="2.46"/>
    <n v="0.3"/>
    <x v="0"/>
    <n v="2"/>
    <n v="7"/>
    <n v="5"/>
    <x v="0"/>
    <x v="0"/>
    <x v="0"/>
    <x v="2"/>
  </r>
  <r>
    <n v="18"/>
    <x v="1"/>
    <n v="7.2"/>
    <x v="1"/>
    <n v="5"/>
    <n v="1.4"/>
    <n v="3.65"/>
    <n v="1.1000000000000001"/>
    <x v="0"/>
    <n v="8"/>
    <n v="8"/>
    <n v="4"/>
    <x v="1"/>
    <x v="1"/>
    <x v="1"/>
    <x v="2"/>
  </r>
  <r>
    <n v="15"/>
    <x v="1"/>
    <n v="3.1"/>
    <x v="2"/>
    <n v="4.2"/>
    <n v="2.1"/>
    <n v="3.21"/>
    <n v="1.1000000000000001"/>
    <x v="2"/>
    <n v="8"/>
    <n v="2"/>
    <n v="10"/>
    <x v="0"/>
    <x v="0"/>
    <x v="1"/>
    <x v="1"/>
  </r>
  <r>
    <n v="15"/>
    <x v="1"/>
    <n v="8"/>
    <x v="0"/>
    <n v="4.4000000000000004"/>
    <n v="0.7"/>
    <n v="2.62"/>
    <n v="1.6"/>
    <x v="1"/>
    <n v="6"/>
    <n v="7"/>
    <n v="2"/>
    <x v="0"/>
    <x v="0"/>
    <x v="1"/>
    <x v="0"/>
  </r>
  <r>
    <n v="15"/>
    <x v="0"/>
    <n v="4.3"/>
    <x v="0"/>
    <n v="7.5"/>
    <n v="1.1000000000000001"/>
    <n v="2.06"/>
    <n v="1.8"/>
    <x v="2"/>
    <n v="5"/>
    <n v="7"/>
    <n v="2"/>
    <x v="0"/>
    <x v="0"/>
    <x v="0"/>
    <x v="0"/>
  </r>
  <r>
    <n v="14"/>
    <x v="1"/>
    <n v="4"/>
    <x v="1"/>
    <n v="5.0999999999999996"/>
    <n v="1.1000000000000001"/>
    <n v="3.98"/>
    <n v="1.3"/>
    <x v="2"/>
    <n v="5"/>
    <n v="4"/>
    <n v="9"/>
    <x v="0"/>
    <x v="0"/>
    <x v="1"/>
    <x v="1"/>
  </r>
  <r>
    <n v="15"/>
    <x v="0"/>
    <n v="6.9"/>
    <x v="1"/>
    <n v="5.6"/>
    <n v="1.4"/>
    <n v="2.09"/>
    <n v="0.7"/>
    <x v="0"/>
    <n v="9"/>
    <n v="5"/>
    <n v="9"/>
    <x v="0"/>
    <x v="0"/>
    <x v="1"/>
    <x v="1"/>
  </r>
  <r>
    <n v="13"/>
    <x v="0"/>
    <n v="7"/>
    <x v="1"/>
    <n v="4.4000000000000004"/>
    <n v="0.9"/>
    <n v="3.67"/>
    <n v="0.4"/>
    <x v="0"/>
    <n v="5"/>
    <n v="3"/>
    <n v="6"/>
    <x v="0"/>
    <x v="0"/>
    <x v="1"/>
    <x v="2"/>
  </r>
  <r>
    <n v="13"/>
    <x v="0"/>
    <n v="6.2"/>
    <x v="0"/>
    <n v="8.6"/>
    <n v="1.8"/>
    <n v="2.19"/>
    <n v="0.7"/>
    <x v="1"/>
    <n v="8"/>
    <n v="4"/>
    <n v="7"/>
    <x v="0"/>
    <x v="0"/>
    <x v="0"/>
    <x v="1"/>
  </r>
  <r>
    <n v="15"/>
    <x v="0"/>
    <n v="7.7"/>
    <x v="0"/>
    <n v="8"/>
    <n v="1.3"/>
    <n v="3.78"/>
    <n v="1.1000000000000001"/>
    <x v="2"/>
    <n v="1"/>
    <n v="6"/>
    <n v="5"/>
    <x v="0"/>
    <x v="0"/>
    <x v="0"/>
    <x v="2"/>
  </r>
  <r>
    <n v="19"/>
    <x v="1"/>
    <n v="5.0999999999999996"/>
    <x v="2"/>
    <n v="6.3"/>
    <n v="2.2999999999999998"/>
    <n v="2.5499999999999998"/>
    <n v="2"/>
    <x v="2"/>
    <n v="6"/>
    <n v="9"/>
    <n v="7"/>
    <x v="0"/>
    <x v="1"/>
    <x v="0"/>
    <x v="1"/>
  </r>
  <r>
    <n v="15"/>
    <x v="0"/>
    <n v="1"/>
    <x v="1"/>
    <n v="8.5"/>
    <n v="2"/>
    <n v="3.77"/>
    <n v="1.9"/>
    <x v="1"/>
    <n v="4"/>
    <n v="1"/>
    <n v="7"/>
    <x v="0"/>
    <x v="0"/>
    <x v="0"/>
    <x v="1"/>
  </r>
  <r>
    <n v="15"/>
    <x v="1"/>
    <n v="1.1000000000000001"/>
    <x v="0"/>
    <n v="4.5999999999999996"/>
    <n v="1.8"/>
    <n v="2.35"/>
    <n v="1.1000000000000001"/>
    <x v="2"/>
    <n v="10"/>
    <n v="6"/>
    <n v="6"/>
    <x v="0"/>
    <x v="0"/>
    <x v="1"/>
    <x v="2"/>
  </r>
  <r>
    <n v="13"/>
    <x v="1"/>
    <n v="7"/>
    <x v="0"/>
    <n v="4.9000000000000004"/>
    <n v="1.2"/>
    <n v="3.61"/>
    <n v="0.2"/>
    <x v="2"/>
    <n v="2"/>
    <n v="3"/>
    <n v="5"/>
    <x v="0"/>
    <x v="0"/>
    <x v="1"/>
    <x v="2"/>
  </r>
  <r>
    <n v="15"/>
    <x v="1"/>
    <n v="2.7"/>
    <x v="2"/>
    <n v="7.8"/>
    <n v="1.8"/>
    <n v="3.9"/>
    <n v="1.4"/>
    <x v="0"/>
    <n v="5"/>
    <n v="8"/>
    <n v="9"/>
    <x v="0"/>
    <x v="0"/>
    <x v="0"/>
    <x v="1"/>
  </r>
  <r>
    <n v="18"/>
    <x v="0"/>
    <n v="2.5"/>
    <x v="0"/>
    <n v="4.2"/>
    <n v="1.4"/>
    <n v="3.9"/>
    <n v="0.7"/>
    <x v="1"/>
    <n v="5"/>
    <n v="2"/>
    <n v="3"/>
    <x v="0"/>
    <x v="1"/>
    <x v="1"/>
    <x v="0"/>
  </r>
  <r>
    <n v="18"/>
    <x v="1"/>
    <n v="2.2999999999999998"/>
    <x v="1"/>
    <n v="4.3"/>
    <n v="0.9"/>
    <n v="3.27"/>
    <n v="0.1"/>
    <x v="1"/>
    <n v="5"/>
    <n v="9"/>
    <n v="10"/>
    <x v="0"/>
    <x v="1"/>
    <x v="1"/>
    <x v="1"/>
  </r>
  <r>
    <n v="17"/>
    <x v="1"/>
    <n v="2.7"/>
    <x v="1"/>
    <n v="6.6"/>
    <n v="1.6"/>
    <n v="3.36"/>
    <n v="1.6"/>
    <x v="1"/>
    <n v="3"/>
    <n v="1"/>
    <n v="2"/>
    <x v="0"/>
    <x v="1"/>
    <x v="0"/>
    <x v="0"/>
  </r>
  <r>
    <n v="14"/>
    <x v="0"/>
    <n v="3.2"/>
    <x v="0"/>
    <n v="5.4"/>
    <n v="2.6"/>
    <n v="3.18"/>
    <n v="0.9"/>
    <x v="0"/>
    <n v="9"/>
    <n v="1"/>
    <n v="7"/>
    <x v="0"/>
    <x v="0"/>
    <x v="1"/>
    <x v="1"/>
  </r>
  <r>
    <n v="18"/>
    <x v="1"/>
    <n v="3.8"/>
    <x v="2"/>
    <n v="5.3"/>
    <n v="2.2999999999999998"/>
    <n v="3.42"/>
    <n v="0.4"/>
    <x v="0"/>
    <n v="4"/>
    <n v="8"/>
    <n v="2"/>
    <x v="0"/>
    <x v="1"/>
    <x v="1"/>
    <x v="0"/>
  </r>
  <r>
    <n v="14"/>
    <x v="1"/>
    <n v="4.0999999999999996"/>
    <x v="1"/>
    <n v="5.4"/>
    <n v="2.4"/>
    <n v="2.71"/>
    <n v="1.3"/>
    <x v="0"/>
    <n v="9"/>
    <n v="5"/>
    <n v="10"/>
    <x v="0"/>
    <x v="0"/>
    <x v="1"/>
    <x v="1"/>
  </r>
  <r>
    <n v="13"/>
    <x v="1"/>
    <n v="2.2999999999999998"/>
    <x v="1"/>
    <n v="6.6"/>
    <n v="1.4"/>
    <n v="3.74"/>
    <n v="1.5"/>
    <x v="2"/>
    <n v="6"/>
    <n v="10"/>
    <n v="1"/>
    <x v="0"/>
    <x v="0"/>
    <x v="0"/>
    <x v="0"/>
  </r>
  <r>
    <n v="15"/>
    <x v="0"/>
    <n v="8"/>
    <x v="0"/>
    <n v="4.7"/>
    <n v="0.6"/>
    <n v="3.01"/>
    <n v="1.8"/>
    <x v="2"/>
    <n v="2"/>
    <n v="9"/>
    <n v="10"/>
    <x v="0"/>
    <x v="0"/>
    <x v="1"/>
    <x v="1"/>
  </r>
  <r>
    <n v="15"/>
    <x v="1"/>
    <n v="2.9"/>
    <x v="1"/>
    <n v="6.4"/>
    <n v="0.7"/>
    <n v="3.41"/>
    <n v="1.6"/>
    <x v="0"/>
    <n v="3"/>
    <n v="10"/>
    <n v="7"/>
    <x v="0"/>
    <x v="0"/>
    <x v="0"/>
    <x v="1"/>
  </r>
  <r>
    <n v="19"/>
    <x v="1"/>
    <n v="4.4000000000000004"/>
    <x v="2"/>
    <n v="5"/>
    <n v="2.8"/>
    <n v="2.69"/>
    <n v="0.4"/>
    <x v="1"/>
    <n v="3"/>
    <n v="8"/>
    <n v="8"/>
    <x v="0"/>
    <x v="1"/>
    <x v="1"/>
    <x v="1"/>
  </r>
  <r>
    <n v="18"/>
    <x v="1"/>
    <n v="3.1"/>
    <x v="2"/>
    <n v="6.8"/>
    <n v="2"/>
    <n v="3.77"/>
    <n v="1.4"/>
    <x v="0"/>
    <n v="1"/>
    <n v="3"/>
    <n v="4"/>
    <x v="0"/>
    <x v="1"/>
    <x v="0"/>
    <x v="2"/>
  </r>
  <r>
    <n v="18"/>
    <x v="0"/>
    <n v="7.9"/>
    <x v="1"/>
    <n v="7.5"/>
    <n v="2"/>
    <n v="2.77"/>
    <n v="0.9"/>
    <x v="0"/>
    <n v="10"/>
    <n v="4"/>
    <n v="4"/>
    <x v="0"/>
    <x v="1"/>
    <x v="0"/>
    <x v="2"/>
  </r>
  <r>
    <n v="14"/>
    <x v="1"/>
    <n v="1.2"/>
    <x v="2"/>
    <n v="7"/>
    <n v="2.2000000000000002"/>
    <n v="3.83"/>
    <n v="0.8"/>
    <x v="0"/>
    <n v="6"/>
    <n v="10"/>
    <n v="5"/>
    <x v="0"/>
    <x v="0"/>
    <x v="0"/>
    <x v="2"/>
  </r>
  <r>
    <n v="19"/>
    <x v="1"/>
    <n v="4"/>
    <x v="2"/>
    <n v="7.4"/>
    <n v="2.7"/>
    <n v="3.41"/>
    <n v="1.4"/>
    <x v="2"/>
    <n v="9"/>
    <n v="4"/>
    <n v="7"/>
    <x v="0"/>
    <x v="1"/>
    <x v="0"/>
    <x v="1"/>
  </r>
  <r>
    <n v="18"/>
    <x v="0"/>
    <n v="1"/>
    <x v="0"/>
    <n v="7.1"/>
    <n v="0.8"/>
    <n v="2.4700000000000002"/>
    <n v="1.9"/>
    <x v="1"/>
    <n v="4"/>
    <n v="2"/>
    <n v="4"/>
    <x v="0"/>
    <x v="1"/>
    <x v="0"/>
    <x v="2"/>
  </r>
  <r>
    <n v="19"/>
    <x v="1"/>
    <n v="7.9"/>
    <x v="0"/>
    <n v="5.7"/>
    <n v="2.4"/>
    <n v="3.59"/>
    <n v="1.9"/>
    <x v="1"/>
    <n v="1"/>
    <n v="9"/>
    <n v="9"/>
    <x v="0"/>
    <x v="1"/>
    <x v="1"/>
    <x v="1"/>
  </r>
  <r>
    <n v="14"/>
    <x v="0"/>
    <n v="6.2"/>
    <x v="1"/>
    <n v="4.4000000000000004"/>
    <n v="0.7"/>
    <n v="3.45"/>
    <n v="0.5"/>
    <x v="2"/>
    <n v="9"/>
    <n v="10"/>
    <n v="3"/>
    <x v="1"/>
    <x v="0"/>
    <x v="1"/>
    <x v="0"/>
  </r>
  <r>
    <n v="16"/>
    <x v="1"/>
    <n v="2.5"/>
    <x v="0"/>
    <n v="5.4"/>
    <n v="2.2999999999999998"/>
    <n v="3.43"/>
    <n v="0.5"/>
    <x v="1"/>
    <n v="9"/>
    <n v="1"/>
    <n v="2"/>
    <x v="0"/>
    <x v="1"/>
    <x v="1"/>
    <x v="0"/>
  </r>
  <r>
    <n v="16"/>
    <x v="0"/>
    <n v="4.7"/>
    <x v="2"/>
    <n v="8.1999999999999993"/>
    <n v="2.6"/>
    <n v="3.05"/>
    <n v="1"/>
    <x v="2"/>
    <n v="4"/>
    <n v="7"/>
    <n v="2"/>
    <x v="0"/>
    <x v="1"/>
    <x v="0"/>
    <x v="0"/>
  </r>
  <r>
    <n v="16"/>
    <x v="0"/>
    <n v="6.3"/>
    <x v="0"/>
    <n v="6.5"/>
    <n v="1"/>
    <n v="2.52"/>
    <n v="0.4"/>
    <x v="0"/>
    <n v="1"/>
    <n v="10"/>
    <n v="6"/>
    <x v="0"/>
    <x v="1"/>
    <x v="0"/>
    <x v="2"/>
  </r>
  <r>
    <n v="17"/>
    <x v="1"/>
    <n v="7.5"/>
    <x v="1"/>
    <n v="5.4"/>
    <n v="2.2999999999999998"/>
    <n v="3.44"/>
    <n v="0.4"/>
    <x v="2"/>
    <n v="7"/>
    <n v="9"/>
    <n v="7"/>
    <x v="1"/>
    <x v="1"/>
    <x v="1"/>
    <x v="1"/>
  </r>
  <r>
    <n v="18"/>
    <x v="0"/>
    <n v="2"/>
    <x v="1"/>
    <n v="8.4"/>
    <n v="1.5"/>
    <n v="2.83"/>
    <n v="1.2"/>
    <x v="0"/>
    <n v="9"/>
    <n v="4"/>
    <n v="5"/>
    <x v="0"/>
    <x v="1"/>
    <x v="0"/>
    <x v="2"/>
  </r>
  <r>
    <n v="13"/>
    <x v="1"/>
    <n v="6.3"/>
    <x v="0"/>
    <n v="8.4"/>
    <n v="1.6"/>
    <n v="2.0299999999999998"/>
    <n v="1.5"/>
    <x v="2"/>
    <n v="5"/>
    <n v="3"/>
    <n v="9"/>
    <x v="0"/>
    <x v="0"/>
    <x v="0"/>
    <x v="1"/>
  </r>
  <r>
    <n v="16"/>
    <x v="0"/>
    <n v="6.6"/>
    <x v="2"/>
    <n v="8.9"/>
    <n v="2"/>
    <n v="3.44"/>
    <n v="1.7"/>
    <x v="0"/>
    <n v="10"/>
    <n v="9"/>
    <n v="3"/>
    <x v="0"/>
    <x v="1"/>
    <x v="0"/>
    <x v="0"/>
  </r>
  <r>
    <n v="19"/>
    <x v="1"/>
    <n v="3.6"/>
    <x v="2"/>
    <n v="5.6"/>
    <n v="1.7"/>
    <n v="3.57"/>
    <n v="1.5"/>
    <x v="0"/>
    <n v="10"/>
    <n v="4"/>
    <n v="3"/>
    <x v="0"/>
    <x v="1"/>
    <x v="1"/>
    <x v="0"/>
  </r>
  <r>
    <n v="16"/>
    <x v="1"/>
    <n v="3.2"/>
    <x v="2"/>
    <n v="4.5999999999999996"/>
    <n v="2.5"/>
    <n v="2.62"/>
    <n v="1.8"/>
    <x v="0"/>
    <n v="9"/>
    <n v="5"/>
    <n v="1"/>
    <x v="0"/>
    <x v="1"/>
    <x v="1"/>
    <x v="0"/>
  </r>
  <r>
    <n v="13"/>
    <x v="1"/>
    <n v="3.1"/>
    <x v="0"/>
    <n v="6.4"/>
    <n v="1.6"/>
    <n v="3.69"/>
    <n v="0.9"/>
    <x v="2"/>
    <n v="1"/>
    <n v="2"/>
    <n v="1"/>
    <x v="0"/>
    <x v="0"/>
    <x v="0"/>
    <x v="0"/>
  </r>
  <r>
    <n v="18"/>
    <x v="0"/>
    <n v="6.7"/>
    <x v="0"/>
    <n v="8.8000000000000007"/>
    <n v="1.9"/>
    <n v="2.5499999999999998"/>
    <n v="1"/>
    <x v="0"/>
    <n v="5"/>
    <n v="8"/>
    <n v="3"/>
    <x v="0"/>
    <x v="1"/>
    <x v="0"/>
    <x v="0"/>
  </r>
  <r>
    <n v="17"/>
    <x v="0"/>
    <n v="6.6"/>
    <x v="1"/>
    <n v="8.1999999999999993"/>
    <n v="0.7"/>
    <n v="2.88"/>
    <n v="0.8"/>
    <x v="0"/>
    <n v="1"/>
    <n v="7"/>
    <n v="7"/>
    <x v="0"/>
    <x v="1"/>
    <x v="0"/>
    <x v="1"/>
  </r>
  <r>
    <n v="14"/>
    <x v="1"/>
    <n v="7"/>
    <x v="0"/>
    <n v="4.5"/>
    <n v="1.6"/>
    <n v="2.83"/>
    <n v="0.4"/>
    <x v="2"/>
    <n v="8"/>
    <n v="1"/>
    <n v="7"/>
    <x v="0"/>
    <x v="0"/>
    <x v="1"/>
    <x v="1"/>
  </r>
  <r>
    <n v="16"/>
    <x v="1"/>
    <n v="4.8"/>
    <x v="2"/>
    <n v="5.0999999999999996"/>
    <n v="2.1"/>
    <n v="2.4900000000000002"/>
    <n v="1.6"/>
    <x v="0"/>
    <n v="4"/>
    <n v="9"/>
    <n v="1"/>
    <x v="0"/>
    <x v="1"/>
    <x v="1"/>
    <x v="0"/>
  </r>
  <r>
    <n v="13"/>
    <x v="1"/>
    <n v="5.8"/>
    <x v="0"/>
    <n v="6.3"/>
    <n v="1.1000000000000001"/>
    <n v="3.09"/>
    <n v="0.9"/>
    <x v="2"/>
    <n v="8"/>
    <n v="4"/>
    <n v="9"/>
    <x v="0"/>
    <x v="0"/>
    <x v="0"/>
    <x v="1"/>
  </r>
  <r>
    <n v="19"/>
    <x v="1"/>
    <n v="6"/>
    <x v="2"/>
    <n v="6.3"/>
    <n v="2.8"/>
    <n v="3.98"/>
    <n v="2"/>
    <x v="2"/>
    <n v="2"/>
    <n v="6"/>
    <n v="2"/>
    <x v="0"/>
    <x v="1"/>
    <x v="0"/>
    <x v="0"/>
  </r>
  <r>
    <n v="15"/>
    <x v="0"/>
    <n v="4"/>
    <x v="2"/>
    <n v="5.2"/>
    <n v="1.8"/>
    <n v="3.3"/>
    <n v="0.7"/>
    <x v="2"/>
    <n v="10"/>
    <n v="5"/>
    <n v="1"/>
    <x v="0"/>
    <x v="0"/>
    <x v="1"/>
    <x v="0"/>
  </r>
  <r>
    <n v="14"/>
    <x v="1"/>
    <n v="5.8"/>
    <x v="2"/>
    <n v="4.8"/>
    <n v="2.6"/>
    <n v="2.08"/>
    <n v="0.8"/>
    <x v="2"/>
    <n v="6"/>
    <n v="4"/>
    <n v="9"/>
    <x v="0"/>
    <x v="0"/>
    <x v="1"/>
    <x v="1"/>
  </r>
  <r>
    <n v="19"/>
    <x v="0"/>
    <n v="5.2"/>
    <x v="0"/>
    <n v="7.6"/>
    <n v="1.3"/>
    <n v="3.89"/>
    <n v="1.5"/>
    <x v="1"/>
    <n v="4"/>
    <n v="5"/>
    <n v="8"/>
    <x v="0"/>
    <x v="1"/>
    <x v="0"/>
    <x v="1"/>
  </r>
  <r>
    <n v="17"/>
    <x v="0"/>
    <n v="2.9"/>
    <x v="2"/>
    <n v="6.7"/>
    <n v="1.5"/>
    <n v="3.62"/>
    <n v="0.8"/>
    <x v="2"/>
    <n v="10"/>
    <n v="6"/>
    <n v="4"/>
    <x v="0"/>
    <x v="1"/>
    <x v="0"/>
    <x v="2"/>
  </r>
  <r>
    <n v="18"/>
    <x v="1"/>
    <n v="7.5"/>
    <x v="1"/>
    <n v="7.5"/>
    <n v="1.4"/>
    <n v="3.14"/>
    <n v="2"/>
    <x v="0"/>
    <n v="2"/>
    <n v="9"/>
    <n v="2"/>
    <x v="0"/>
    <x v="1"/>
    <x v="0"/>
    <x v="0"/>
  </r>
  <r>
    <n v="13"/>
    <x v="1"/>
    <n v="5.8"/>
    <x v="0"/>
    <n v="6.1"/>
    <n v="1.2"/>
    <n v="3.81"/>
    <n v="1.8"/>
    <x v="2"/>
    <n v="6"/>
    <n v="10"/>
    <n v="6"/>
    <x v="0"/>
    <x v="0"/>
    <x v="0"/>
    <x v="2"/>
  </r>
  <r>
    <n v="14"/>
    <x v="0"/>
    <n v="7.6"/>
    <x v="0"/>
    <n v="5.8"/>
    <n v="1.9"/>
    <n v="3.49"/>
    <n v="1.7"/>
    <x v="1"/>
    <n v="10"/>
    <n v="1"/>
    <n v="3"/>
    <x v="0"/>
    <x v="0"/>
    <x v="1"/>
    <x v="0"/>
  </r>
  <r>
    <n v="15"/>
    <x v="1"/>
    <n v="1.3"/>
    <x v="1"/>
    <n v="7.6"/>
    <n v="0.6"/>
    <n v="3.46"/>
    <n v="1.9"/>
    <x v="0"/>
    <n v="1"/>
    <n v="1"/>
    <n v="4"/>
    <x v="0"/>
    <x v="0"/>
    <x v="0"/>
    <x v="2"/>
  </r>
  <r>
    <n v="15"/>
    <x v="0"/>
    <n v="3.7"/>
    <x v="2"/>
    <n v="5.7"/>
    <n v="1.3"/>
    <n v="3.24"/>
    <n v="0.2"/>
    <x v="0"/>
    <n v="4"/>
    <n v="9"/>
    <n v="10"/>
    <x v="0"/>
    <x v="0"/>
    <x v="1"/>
    <x v="1"/>
  </r>
  <r>
    <n v="18"/>
    <x v="0"/>
    <n v="3.6"/>
    <x v="0"/>
    <n v="4.7"/>
    <n v="2.5"/>
    <n v="2.73"/>
    <n v="1.2"/>
    <x v="2"/>
    <n v="9"/>
    <n v="7"/>
    <n v="6"/>
    <x v="0"/>
    <x v="1"/>
    <x v="1"/>
    <x v="2"/>
  </r>
  <r>
    <n v="15"/>
    <x v="0"/>
    <n v="6.4"/>
    <x v="1"/>
    <n v="6.9"/>
    <n v="2.9"/>
    <n v="2.48"/>
    <n v="0.9"/>
    <x v="0"/>
    <n v="8"/>
    <n v="4"/>
    <n v="8"/>
    <x v="0"/>
    <x v="0"/>
    <x v="0"/>
    <x v="1"/>
  </r>
  <r>
    <n v="13"/>
    <x v="0"/>
    <n v="6"/>
    <x v="1"/>
    <n v="4.8"/>
    <n v="2.6"/>
    <n v="2.74"/>
    <n v="1.6"/>
    <x v="1"/>
    <n v="6"/>
    <n v="10"/>
    <n v="8"/>
    <x v="0"/>
    <x v="0"/>
    <x v="1"/>
    <x v="1"/>
  </r>
  <r>
    <n v="14"/>
    <x v="1"/>
    <n v="1.3"/>
    <x v="1"/>
    <n v="7.7"/>
    <n v="1.9"/>
    <n v="2.27"/>
    <n v="1.5"/>
    <x v="0"/>
    <n v="7"/>
    <n v="2"/>
    <n v="2"/>
    <x v="0"/>
    <x v="0"/>
    <x v="0"/>
    <x v="0"/>
  </r>
  <r>
    <n v="18"/>
    <x v="0"/>
    <n v="3.7"/>
    <x v="0"/>
    <n v="7"/>
    <n v="1.4"/>
    <n v="2.0499999999999998"/>
    <n v="0.4"/>
    <x v="2"/>
    <n v="10"/>
    <n v="9"/>
    <n v="5"/>
    <x v="0"/>
    <x v="1"/>
    <x v="0"/>
    <x v="2"/>
  </r>
  <r>
    <n v="18"/>
    <x v="1"/>
    <n v="8"/>
    <x v="1"/>
    <n v="4.3"/>
    <n v="0.8"/>
    <n v="3.44"/>
    <n v="0.8"/>
    <x v="2"/>
    <n v="3"/>
    <n v="4"/>
    <n v="4"/>
    <x v="0"/>
    <x v="1"/>
    <x v="1"/>
    <x v="2"/>
  </r>
  <r>
    <n v="19"/>
    <x v="1"/>
    <n v="4.0999999999999996"/>
    <x v="2"/>
    <n v="7.5"/>
    <n v="2.7"/>
    <n v="2.66"/>
    <n v="1.6"/>
    <x v="1"/>
    <n v="5"/>
    <n v="10"/>
    <n v="5"/>
    <x v="0"/>
    <x v="1"/>
    <x v="0"/>
    <x v="2"/>
  </r>
  <r>
    <n v="13"/>
    <x v="0"/>
    <n v="3.9"/>
    <x v="2"/>
    <n v="8.6999999999999993"/>
    <n v="1.5"/>
    <n v="2.71"/>
    <n v="0.7"/>
    <x v="0"/>
    <n v="7"/>
    <n v="1"/>
    <n v="4"/>
    <x v="0"/>
    <x v="0"/>
    <x v="0"/>
    <x v="2"/>
  </r>
  <r>
    <n v="15"/>
    <x v="1"/>
    <n v="6.4"/>
    <x v="0"/>
    <n v="5.9"/>
    <n v="1.6"/>
    <n v="3.97"/>
    <n v="1"/>
    <x v="1"/>
    <n v="10"/>
    <n v="2"/>
    <n v="6"/>
    <x v="0"/>
    <x v="0"/>
    <x v="1"/>
    <x v="2"/>
  </r>
  <r>
    <n v="19"/>
    <x v="1"/>
    <n v="1.3"/>
    <x v="1"/>
    <n v="6.5"/>
    <n v="2.1"/>
    <n v="3.68"/>
    <n v="1.1000000000000001"/>
    <x v="1"/>
    <n v="7"/>
    <n v="1"/>
    <n v="9"/>
    <x v="0"/>
    <x v="1"/>
    <x v="0"/>
    <x v="1"/>
  </r>
  <r>
    <n v="18"/>
    <x v="1"/>
    <n v="5"/>
    <x v="0"/>
    <n v="6.6"/>
    <n v="1.8"/>
    <n v="3.87"/>
    <n v="1.2"/>
    <x v="1"/>
    <n v="3"/>
    <n v="4"/>
    <n v="2"/>
    <x v="0"/>
    <x v="1"/>
    <x v="0"/>
    <x v="0"/>
  </r>
  <r>
    <n v="18"/>
    <x v="0"/>
    <n v="5.5"/>
    <x v="2"/>
    <n v="5.2"/>
    <n v="1.4"/>
    <n v="3.24"/>
    <n v="0.9"/>
    <x v="2"/>
    <n v="10"/>
    <n v="5"/>
    <n v="7"/>
    <x v="0"/>
    <x v="1"/>
    <x v="1"/>
    <x v="1"/>
  </r>
  <r>
    <n v="13"/>
    <x v="1"/>
    <n v="7.6"/>
    <x v="0"/>
    <n v="7.9"/>
    <n v="3"/>
    <n v="2.54"/>
    <n v="1.2"/>
    <x v="1"/>
    <n v="8"/>
    <n v="8"/>
    <n v="1"/>
    <x v="0"/>
    <x v="0"/>
    <x v="0"/>
    <x v="0"/>
  </r>
  <r>
    <n v="19"/>
    <x v="1"/>
    <n v="6.3"/>
    <x v="2"/>
    <n v="5.7"/>
    <n v="2.2999999999999998"/>
    <n v="2.16"/>
    <n v="1.9"/>
    <x v="1"/>
    <n v="6"/>
    <n v="3"/>
    <n v="6"/>
    <x v="0"/>
    <x v="1"/>
    <x v="1"/>
    <x v="2"/>
  </r>
  <r>
    <n v="18"/>
    <x v="1"/>
    <n v="2"/>
    <x v="0"/>
    <n v="5.9"/>
    <n v="2.9"/>
    <n v="3.52"/>
    <n v="1.1000000000000001"/>
    <x v="1"/>
    <n v="8"/>
    <n v="6"/>
    <n v="10"/>
    <x v="0"/>
    <x v="1"/>
    <x v="1"/>
    <x v="1"/>
  </r>
  <r>
    <n v="15"/>
    <x v="0"/>
    <n v="4"/>
    <x v="1"/>
    <n v="4.5"/>
    <n v="1.9"/>
    <n v="3.22"/>
    <n v="0.2"/>
    <x v="2"/>
    <n v="4"/>
    <n v="5"/>
    <n v="3"/>
    <x v="0"/>
    <x v="0"/>
    <x v="1"/>
    <x v="0"/>
  </r>
  <r>
    <n v="14"/>
    <x v="0"/>
    <n v="4.9000000000000004"/>
    <x v="0"/>
    <n v="5.5"/>
    <n v="1.6"/>
    <n v="2.85"/>
    <n v="0.4"/>
    <x v="0"/>
    <n v="8"/>
    <n v="1"/>
    <n v="8"/>
    <x v="0"/>
    <x v="0"/>
    <x v="1"/>
    <x v="1"/>
  </r>
  <r>
    <n v="14"/>
    <x v="1"/>
    <n v="6.9"/>
    <x v="1"/>
    <n v="8"/>
    <n v="1.6"/>
    <n v="2.64"/>
    <n v="0.1"/>
    <x v="2"/>
    <n v="3"/>
    <n v="3"/>
    <n v="3"/>
    <x v="0"/>
    <x v="0"/>
    <x v="0"/>
    <x v="0"/>
  </r>
  <r>
    <n v="15"/>
    <x v="0"/>
    <n v="5.4"/>
    <x v="1"/>
    <n v="4.2"/>
    <n v="1.8"/>
    <n v="2.15"/>
    <n v="0.3"/>
    <x v="2"/>
    <n v="1"/>
    <n v="10"/>
    <n v="5"/>
    <x v="0"/>
    <x v="0"/>
    <x v="1"/>
    <x v="2"/>
  </r>
  <r>
    <n v="13"/>
    <x v="1"/>
    <n v="3.8"/>
    <x v="2"/>
    <n v="8.9"/>
    <n v="2.5"/>
    <n v="2.29"/>
    <n v="0.6"/>
    <x v="1"/>
    <n v="9"/>
    <n v="9"/>
    <n v="7"/>
    <x v="0"/>
    <x v="0"/>
    <x v="0"/>
    <x v="1"/>
  </r>
  <r>
    <n v="15"/>
    <x v="0"/>
    <n v="7.8"/>
    <x v="2"/>
    <n v="6.8"/>
    <n v="0.6"/>
    <n v="3.2"/>
    <n v="1.7"/>
    <x v="2"/>
    <n v="1"/>
    <n v="7"/>
    <n v="5"/>
    <x v="0"/>
    <x v="0"/>
    <x v="0"/>
    <x v="2"/>
  </r>
  <r>
    <n v="15"/>
    <x v="0"/>
    <n v="3.5"/>
    <x v="2"/>
    <n v="8.8000000000000007"/>
    <n v="1.8"/>
    <n v="3.5"/>
    <n v="0.8"/>
    <x v="0"/>
    <n v="3"/>
    <n v="6"/>
    <n v="3"/>
    <x v="0"/>
    <x v="0"/>
    <x v="0"/>
    <x v="0"/>
  </r>
  <r>
    <n v="19"/>
    <x v="1"/>
    <n v="5.4"/>
    <x v="0"/>
    <n v="7.3"/>
    <n v="2"/>
    <n v="3.98"/>
    <n v="0.9"/>
    <x v="2"/>
    <n v="6"/>
    <n v="6"/>
    <n v="1"/>
    <x v="0"/>
    <x v="1"/>
    <x v="0"/>
    <x v="0"/>
  </r>
  <r>
    <n v="17"/>
    <x v="0"/>
    <n v="3.8"/>
    <x v="2"/>
    <n v="5.7"/>
    <n v="2"/>
    <n v="3.01"/>
    <n v="1"/>
    <x v="0"/>
    <n v="1"/>
    <n v="3"/>
    <n v="1"/>
    <x v="0"/>
    <x v="1"/>
    <x v="1"/>
    <x v="0"/>
  </r>
  <r>
    <n v="17"/>
    <x v="0"/>
    <n v="8"/>
    <x v="0"/>
    <n v="6.9"/>
    <n v="2.2000000000000002"/>
    <n v="2.36"/>
    <n v="1.6"/>
    <x v="0"/>
    <n v="4"/>
    <n v="2"/>
    <n v="8"/>
    <x v="0"/>
    <x v="1"/>
    <x v="0"/>
    <x v="1"/>
  </r>
  <r>
    <n v="14"/>
    <x v="1"/>
    <n v="3.7"/>
    <x v="1"/>
    <n v="5.7"/>
    <n v="1.7"/>
    <n v="2.88"/>
    <n v="0.2"/>
    <x v="0"/>
    <n v="9"/>
    <n v="10"/>
    <n v="3"/>
    <x v="0"/>
    <x v="0"/>
    <x v="1"/>
    <x v="0"/>
  </r>
  <r>
    <n v="19"/>
    <x v="1"/>
    <n v="5"/>
    <x v="0"/>
    <n v="6.3"/>
    <n v="2.9"/>
    <n v="2.04"/>
    <n v="0.5"/>
    <x v="2"/>
    <n v="5"/>
    <n v="2"/>
    <n v="2"/>
    <x v="0"/>
    <x v="1"/>
    <x v="0"/>
    <x v="0"/>
  </r>
  <r>
    <n v="19"/>
    <x v="1"/>
    <n v="4.2"/>
    <x v="0"/>
    <n v="7.1"/>
    <n v="2.5"/>
    <n v="3.91"/>
    <n v="1.5"/>
    <x v="1"/>
    <n v="6"/>
    <n v="8"/>
    <n v="9"/>
    <x v="0"/>
    <x v="1"/>
    <x v="0"/>
    <x v="1"/>
  </r>
  <r>
    <n v="16"/>
    <x v="0"/>
    <n v="4.5999999999999996"/>
    <x v="0"/>
    <n v="8.1999999999999993"/>
    <n v="1.5"/>
    <n v="2.13"/>
    <n v="1"/>
    <x v="0"/>
    <n v="3"/>
    <n v="2"/>
    <n v="2"/>
    <x v="0"/>
    <x v="1"/>
    <x v="0"/>
    <x v="0"/>
  </r>
  <r>
    <n v="18"/>
    <x v="0"/>
    <n v="5.5"/>
    <x v="0"/>
    <n v="5"/>
    <n v="0.9"/>
    <n v="2.93"/>
    <n v="1.1000000000000001"/>
    <x v="0"/>
    <n v="4"/>
    <n v="10"/>
    <n v="10"/>
    <x v="0"/>
    <x v="1"/>
    <x v="1"/>
    <x v="1"/>
  </r>
  <r>
    <n v="19"/>
    <x v="1"/>
    <n v="1.8"/>
    <x v="0"/>
    <n v="4.5"/>
    <n v="2.8"/>
    <n v="3.22"/>
    <n v="1.6"/>
    <x v="2"/>
    <n v="5"/>
    <n v="3"/>
    <n v="10"/>
    <x v="0"/>
    <x v="1"/>
    <x v="1"/>
    <x v="1"/>
  </r>
  <r>
    <n v="14"/>
    <x v="1"/>
    <n v="6.6"/>
    <x v="1"/>
    <n v="6.2"/>
    <n v="1.8"/>
    <n v="2.36"/>
    <n v="1.7"/>
    <x v="1"/>
    <n v="4"/>
    <n v="1"/>
    <n v="8"/>
    <x v="0"/>
    <x v="0"/>
    <x v="0"/>
    <x v="1"/>
  </r>
  <r>
    <n v="15"/>
    <x v="1"/>
    <n v="4.4000000000000004"/>
    <x v="1"/>
    <n v="5.3"/>
    <n v="0.9"/>
    <n v="3.75"/>
    <n v="0.5"/>
    <x v="1"/>
    <n v="10"/>
    <n v="5"/>
    <n v="5"/>
    <x v="0"/>
    <x v="0"/>
    <x v="1"/>
    <x v="2"/>
  </r>
  <r>
    <n v="14"/>
    <x v="1"/>
    <n v="4.7"/>
    <x v="1"/>
    <n v="4.4000000000000004"/>
    <n v="2.1"/>
    <n v="3.92"/>
    <n v="0.9"/>
    <x v="0"/>
    <n v="10"/>
    <n v="1"/>
    <n v="4"/>
    <x v="0"/>
    <x v="0"/>
    <x v="1"/>
    <x v="2"/>
  </r>
  <r>
    <n v="18"/>
    <x v="1"/>
    <n v="7.1"/>
    <x v="0"/>
    <n v="5.7"/>
    <n v="0.6"/>
    <n v="2.9"/>
    <n v="1.7"/>
    <x v="2"/>
    <n v="3"/>
    <n v="1"/>
    <n v="6"/>
    <x v="0"/>
    <x v="1"/>
    <x v="1"/>
    <x v="2"/>
  </r>
  <r>
    <n v="17"/>
    <x v="0"/>
    <n v="4"/>
    <x v="2"/>
    <n v="8.5"/>
    <n v="1"/>
    <n v="2.16"/>
    <n v="0.1"/>
    <x v="0"/>
    <n v="1"/>
    <n v="7"/>
    <n v="5"/>
    <x v="0"/>
    <x v="1"/>
    <x v="0"/>
    <x v="2"/>
  </r>
  <r>
    <n v="18"/>
    <x v="1"/>
    <n v="5.5"/>
    <x v="0"/>
    <n v="5.3"/>
    <n v="2.6"/>
    <n v="3.09"/>
    <n v="2"/>
    <x v="0"/>
    <n v="8"/>
    <n v="6"/>
    <n v="3"/>
    <x v="0"/>
    <x v="1"/>
    <x v="1"/>
    <x v="0"/>
  </r>
  <r>
    <n v="19"/>
    <x v="0"/>
    <n v="5.6"/>
    <x v="1"/>
    <n v="6.5"/>
    <n v="1.4"/>
    <n v="3.19"/>
    <n v="0"/>
    <x v="1"/>
    <n v="9"/>
    <n v="9"/>
    <n v="7"/>
    <x v="0"/>
    <x v="1"/>
    <x v="0"/>
    <x v="1"/>
  </r>
  <r>
    <n v="14"/>
    <x v="1"/>
    <n v="3.7"/>
    <x v="2"/>
    <n v="7.1"/>
    <n v="1.7"/>
    <n v="2.5"/>
    <n v="1.8"/>
    <x v="2"/>
    <n v="10"/>
    <n v="4"/>
    <n v="5"/>
    <x v="0"/>
    <x v="0"/>
    <x v="0"/>
    <x v="2"/>
  </r>
  <r>
    <n v="16"/>
    <x v="0"/>
    <n v="1.8"/>
    <x v="1"/>
    <n v="7.4"/>
    <n v="2.2999999999999998"/>
    <n v="3.76"/>
    <n v="0.8"/>
    <x v="0"/>
    <n v="9"/>
    <n v="5"/>
    <n v="8"/>
    <x v="0"/>
    <x v="1"/>
    <x v="0"/>
    <x v="1"/>
  </r>
  <r>
    <n v="16"/>
    <x v="1"/>
    <n v="7.6"/>
    <x v="1"/>
    <n v="4.2"/>
    <n v="2.8"/>
    <n v="3.87"/>
    <n v="0.7"/>
    <x v="1"/>
    <n v="10"/>
    <n v="2"/>
    <n v="9"/>
    <x v="0"/>
    <x v="1"/>
    <x v="1"/>
    <x v="1"/>
  </r>
  <r>
    <n v="18"/>
    <x v="0"/>
    <n v="5.7"/>
    <x v="1"/>
    <n v="8"/>
    <n v="2.5"/>
    <n v="3.4"/>
    <n v="0.1"/>
    <x v="0"/>
    <n v="5"/>
    <n v="2"/>
    <n v="1"/>
    <x v="0"/>
    <x v="1"/>
    <x v="0"/>
    <x v="0"/>
  </r>
  <r>
    <n v="14"/>
    <x v="1"/>
    <n v="6.1"/>
    <x v="0"/>
    <n v="7"/>
    <n v="2.7"/>
    <n v="3.97"/>
    <n v="1"/>
    <x v="2"/>
    <n v="1"/>
    <n v="8"/>
    <n v="8"/>
    <x v="0"/>
    <x v="0"/>
    <x v="0"/>
    <x v="1"/>
  </r>
  <r>
    <n v="13"/>
    <x v="1"/>
    <n v="6"/>
    <x v="0"/>
    <n v="7.2"/>
    <n v="0.6"/>
    <n v="2.11"/>
    <n v="1.1000000000000001"/>
    <x v="0"/>
    <n v="1"/>
    <n v="3"/>
    <n v="6"/>
    <x v="0"/>
    <x v="0"/>
    <x v="0"/>
    <x v="2"/>
  </r>
  <r>
    <n v="15"/>
    <x v="1"/>
    <n v="3.1"/>
    <x v="1"/>
    <n v="4.2"/>
    <n v="2.4"/>
    <n v="3.41"/>
    <n v="0.2"/>
    <x v="0"/>
    <n v="3"/>
    <n v="7"/>
    <n v="5"/>
    <x v="0"/>
    <x v="0"/>
    <x v="1"/>
    <x v="2"/>
  </r>
  <r>
    <n v="17"/>
    <x v="0"/>
    <n v="7.6"/>
    <x v="0"/>
    <n v="6"/>
    <n v="2"/>
    <n v="3.82"/>
    <n v="1.5"/>
    <x v="0"/>
    <n v="8"/>
    <n v="9"/>
    <n v="7"/>
    <x v="0"/>
    <x v="1"/>
    <x v="1"/>
    <x v="1"/>
  </r>
  <r>
    <n v="17"/>
    <x v="0"/>
    <n v="6"/>
    <x v="2"/>
    <n v="5.3"/>
    <n v="2.7"/>
    <n v="3.2"/>
    <n v="1.4"/>
    <x v="2"/>
    <n v="8"/>
    <n v="2"/>
    <n v="4"/>
    <x v="0"/>
    <x v="1"/>
    <x v="1"/>
    <x v="2"/>
  </r>
  <r>
    <n v="13"/>
    <x v="1"/>
    <n v="3.5"/>
    <x v="0"/>
    <n v="5.3"/>
    <n v="2.7"/>
    <n v="3.7"/>
    <n v="0.5"/>
    <x v="0"/>
    <n v="3"/>
    <n v="7"/>
    <n v="2"/>
    <x v="0"/>
    <x v="0"/>
    <x v="1"/>
    <x v="0"/>
  </r>
  <r>
    <n v="14"/>
    <x v="1"/>
    <n v="1.3"/>
    <x v="1"/>
    <n v="7.5"/>
    <n v="1.4"/>
    <n v="3.85"/>
    <n v="1.6"/>
    <x v="2"/>
    <n v="10"/>
    <n v="8"/>
    <n v="7"/>
    <x v="0"/>
    <x v="0"/>
    <x v="0"/>
    <x v="1"/>
  </r>
  <r>
    <n v="18"/>
    <x v="1"/>
    <n v="2.8"/>
    <x v="1"/>
    <n v="7"/>
    <n v="2.9"/>
    <n v="3.91"/>
    <n v="1.1000000000000001"/>
    <x v="2"/>
    <n v="9"/>
    <n v="9"/>
    <n v="1"/>
    <x v="0"/>
    <x v="1"/>
    <x v="0"/>
    <x v="0"/>
  </r>
  <r>
    <n v="14"/>
    <x v="0"/>
    <n v="3.9"/>
    <x v="2"/>
    <n v="4.8"/>
    <n v="0.8"/>
    <n v="3.32"/>
    <n v="0.3"/>
    <x v="1"/>
    <n v="5"/>
    <n v="2"/>
    <n v="5"/>
    <x v="0"/>
    <x v="0"/>
    <x v="1"/>
    <x v="2"/>
  </r>
  <r>
    <n v="19"/>
    <x v="0"/>
    <n v="3.9"/>
    <x v="2"/>
    <n v="4.8"/>
    <n v="2.8"/>
    <n v="3.98"/>
    <n v="1.9"/>
    <x v="2"/>
    <n v="7"/>
    <n v="5"/>
    <n v="3"/>
    <x v="0"/>
    <x v="1"/>
    <x v="1"/>
    <x v="0"/>
  </r>
  <r>
    <n v="14"/>
    <x v="0"/>
    <n v="7.4"/>
    <x v="0"/>
    <n v="8.9"/>
    <n v="2.4"/>
    <n v="2.29"/>
    <n v="1.1000000000000001"/>
    <x v="0"/>
    <n v="10"/>
    <n v="4"/>
    <n v="8"/>
    <x v="0"/>
    <x v="0"/>
    <x v="0"/>
    <x v="1"/>
  </r>
  <r>
    <n v="19"/>
    <x v="1"/>
    <n v="5.4"/>
    <x v="1"/>
    <n v="7.4"/>
    <n v="1.7"/>
    <n v="2.88"/>
    <n v="0.6"/>
    <x v="0"/>
    <n v="6"/>
    <n v="10"/>
    <n v="9"/>
    <x v="0"/>
    <x v="1"/>
    <x v="0"/>
    <x v="1"/>
  </r>
  <r>
    <n v="19"/>
    <x v="1"/>
    <n v="6.6"/>
    <x v="2"/>
    <n v="6.8"/>
    <n v="0.8"/>
    <n v="2.64"/>
    <n v="1.5"/>
    <x v="0"/>
    <n v="5"/>
    <n v="4"/>
    <n v="6"/>
    <x v="0"/>
    <x v="1"/>
    <x v="0"/>
    <x v="2"/>
  </r>
  <r>
    <n v="17"/>
    <x v="0"/>
    <n v="5.9"/>
    <x v="0"/>
    <n v="7.4"/>
    <n v="1.7"/>
    <n v="2.5"/>
    <n v="0.7"/>
    <x v="1"/>
    <n v="6"/>
    <n v="7"/>
    <n v="1"/>
    <x v="0"/>
    <x v="1"/>
    <x v="0"/>
    <x v="0"/>
  </r>
  <r>
    <n v="17"/>
    <x v="0"/>
    <n v="3.3"/>
    <x v="2"/>
    <n v="5.2"/>
    <n v="1.8"/>
    <n v="2.1"/>
    <n v="1.2"/>
    <x v="0"/>
    <n v="2"/>
    <n v="3"/>
    <n v="9"/>
    <x v="0"/>
    <x v="1"/>
    <x v="1"/>
    <x v="1"/>
  </r>
  <r>
    <n v="15"/>
    <x v="1"/>
    <n v="2.8"/>
    <x v="0"/>
    <n v="7.7"/>
    <n v="1"/>
    <n v="3.73"/>
    <n v="0.5"/>
    <x v="2"/>
    <n v="6"/>
    <n v="10"/>
    <n v="1"/>
    <x v="0"/>
    <x v="0"/>
    <x v="0"/>
    <x v="0"/>
  </r>
  <r>
    <n v="14"/>
    <x v="1"/>
    <n v="7.3"/>
    <x v="1"/>
    <n v="8.8000000000000007"/>
    <n v="2.5"/>
    <n v="2.12"/>
    <n v="0.5"/>
    <x v="1"/>
    <n v="10"/>
    <n v="10"/>
    <n v="1"/>
    <x v="0"/>
    <x v="0"/>
    <x v="0"/>
    <x v="0"/>
  </r>
  <r>
    <n v="18"/>
    <x v="0"/>
    <n v="2.8"/>
    <x v="0"/>
    <n v="6.9"/>
    <n v="2.2999999999999998"/>
    <n v="3.11"/>
    <n v="0.1"/>
    <x v="2"/>
    <n v="7"/>
    <n v="1"/>
    <n v="9"/>
    <x v="0"/>
    <x v="1"/>
    <x v="0"/>
    <x v="1"/>
  </r>
  <r>
    <n v="18"/>
    <x v="1"/>
    <n v="7.2"/>
    <x v="1"/>
    <n v="7.7"/>
    <n v="1.2"/>
    <n v="3.7"/>
    <n v="0.1"/>
    <x v="0"/>
    <n v="6"/>
    <n v="3"/>
    <n v="9"/>
    <x v="0"/>
    <x v="1"/>
    <x v="0"/>
    <x v="1"/>
  </r>
  <r>
    <n v="19"/>
    <x v="1"/>
    <n v="7.1"/>
    <x v="1"/>
    <n v="6.3"/>
    <n v="0.8"/>
    <n v="3.66"/>
    <n v="0.5"/>
    <x v="1"/>
    <n v="3"/>
    <n v="7"/>
    <n v="7"/>
    <x v="0"/>
    <x v="1"/>
    <x v="0"/>
    <x v="1"/>
  </r>
  <r>
    <n v="13"/>
    <x v="1"/>
    <n v="4.3"/>
    <x v="1"/>
    <n v="4.4000000000000004"/>
    <n v="0.9"/>
    <n v="2.35"/>
    <n v="1.5"/>
    <x v="1"/>
    <n v="3"/>
    <n v="1"/>
    <n v="7"/>
    <x v="0"/>
    <x v="0"/>
    <x v="1"/>
    <x v="1"/>
  </r>
  <r>
    <n v="19"/>
    <x v="0"/>
    <n v="1.6"/>
    <x v="2"/>
    <n v="4.4000000000000004"/>
    <n v="1.4"/>
    <n v="2.0299999999999998"/>
    <n v="1.1000000000000001"/>
    <x v="1"/>
    <n v="2"/>
    <n v="9"/>
    <n v="5"/>
    <x v="0"/>
    <x v="1"/>
    <x v="1"/>
    <x v="2"/>
  </r>
  <r>
    <n v="19"/>
    <x v="1"/>
    <n v="1.4"/>
    <x v="2"/>
    <n v="8"/>
    <n v="2.5"/>
    <n v="3.54"/>
    <n v="1.8"/>
    <x v="0"/>
    <n v="4"/>
    <n v="8"/>
    <n v="3"/>
    <x v="0"/>
    <x v="1"/>
    <x v="0"/>
    <x v="0"/>
  </r>
  <r>
    <n v="18"/>
    <x v="1"/>
    <n v="3.2"/>
    <x v="0"/>
    <n v="6.8"/>
    <n v="2.2999999999999998"/>
    <n v="3.16"/>
    <n v="1.8"/>
    <x v="0"/>
    <n v="4"/>
    <n v="8"/>
    <n v="5"/>
    <x v="0"/>
    <x v="1"/>
    <x v="0"/>
    <x v="2"/>
  </r>
  <r>
    <n v="17"/>
    <x v="0"/>
    <n v="1.5"/>
    <x v="2"/>
    <n v="8"/>
    <n v="0.5"/>
    <n v="3.01"/>
    <n v="0.4"/>
    <x v="2"/>
    <n v="10"/>
    <n v="2"/>
    <n v="3"/>
    <x v="0"/>
    <x v="1"/>
    <x v="0"/>
    <x v="0"/>
  </r>
  <r>
    <n v="18"/>
    <x v="0"/>
    <n v="7.5"/>
    <x v="1"/>
    <n v="5.0999999999999996"/>
    <n v="2.6"/>
    <n v="3.82"/>
    <n v="0.7"/>
    <x v="0"/>
    <n v="7"/>
    <n v="3"/>
    <n v="8"/>
    <x v="0"/>
    <x v="1"/>
    <x v="1"/>
    <x v="1"/>
  </r>
  <r>
    <n v="14"/>
    <x v="1"/>
    <n v="3.5"/>
    <x v="0"/>
    <n v="4.5999999999999996"/>
    <n v="0.7"/>
    <n v="2.74"/>
    <n v="1"/>
    <x v="0"/>
    <n v="2"/>
    <n v="7"/>
    <n v="8"/>
    <x v="0"/>
    <x v="0"/>
    <x v="1"/>
    <x v="1"/>
  </r>
  <r>
    <n v="17"/>
    <x v="0"/>
    <n v="4.4000000000000004"/>
    <x v="2"/>
    <n v="8.1999999999999993"/>
    <n v="2.7"/>
    <n v="3.13"/>
    <n v="0.3"/>
    <x v="2"/>
    <n v="3"/>
    <n v="1"/>
    <n v="2"/>
    <x v="0"/>
    <x v="1"/>
    <x v="0"/>
    <x v="0"/>
  </r>
  <r>
    <n v="17"/>
    <x v="0"/>
    <n v="4.5999999999999996"/>
    <x v="1"/>
    <n v="5.0999999999999996"/>
    <n v="2.5"/>
    <n v="2.13"/>
    <n v="1"/>
    <x v="2"/>
    <n v="2"/>
    <n v="5"/>
    <n v="6"/>
    <x v="0"/>
    <x v="1"/>
    <x v="1"/>
    <x v="2"/>
  </r>
  <r>
    <n v="13"/>
    <x v="0"/>
    <n v="5.9"/>
    <x v="1"/>
    <n v="6.6"/>
    <n v="2.6"/>
    <n v="3.58"/>
    <n v="1.6"/>
    <x v="2"/>
    <n v="7"/>
    <n v="7"/>
    <n v="10"/>
    <x v="0"/>
    <x v="0"/>
    <x v="0"/>
    <x v="1"/>
  </r>
  <r>
    <n v="16"/>
    <x v="1"/>
    <n v="7.8"/>
    <x v="1"/>
    <n v="4.7"/>
    <n v="1.1000000000000001"/>
    <n v="3.53"/>
    <n v="2"/>
    <x v="2"/>
    <n v="9"/>
    <n v="3"/>
    <n v="8"/>
    <x v="0"/>
    <x v="1"/>
    <x v="1"/>
    <x v="1"/>
  </r>
  <r>
    <n v="15"/>
    <x v="1"/>
    <n v="4.8"/>
    <x v="1"/>
    <n v="7.3"/>
    <n v="1.9"/>
    <n v="2.76"/>
    <n v="0.9"/>
    <x v="1"/>
    <n v="2"/>
    <n v="10"/>
    <n v="1"/>
    <x v="0"/>
    <x v="0"/>
    <x v="0"/>
    <x v="0"/>
  </r>
  <r>
    <n v="16"/>
    <x v="1"/>
    <n v="7.4"/>
    <x v="1"/>
    <n v="4.5999999999999996"/>
    <n v="1"/>
    <n v="2.23"/>
    <n v="1.1000000000000001"/>
    <x v="0"/>
    <n v="2"/>
    <n v="4"/>
    <n v="5"/>
    <x v="0"/>
    <x v="1"/>
    <x v="1"/>
    <x v="2"/>
  </r>
  <r>
    <n v="18"/>
    <x v="0"/>
    <n v="2.7"/>
    <x v="0"/>
    <n v="7.9"/>
    <n v="1.2"/>
    <n v="2.75"/>
    <n v="1.9"/>
    <x v="2"/>
    <n v="5"/>
    <n v="8"/>
    <n v="3"/>
    <x v="0"/>
    <x v="1"/>
    <x v="0"/>
    <x v="0"/>
  </r>
  <r>
    <n v="13"/>
    <x v="1"/>
    <n v="5.3"/>
    <x v="1"/>
    <n v="6.4"/>
    <n v="1.1000000000000001"/>
    <n v="3.32"/>
    <n v="1.9"/>
    <x v="2"/>
    <n v="8"/>
    <n v="5"/>
    <n v="10"/>
    <x v="0"/>
    <x v="0"/>
    <x v="0"/>
    <x v="1"/>
  </r>
  <r>
    <n v="16"/>
    <x v="1"/>
    <n v="3.6"/>
    <x v="2"/>
    <n v="4.4000000000000004"/>
    <n v="2.4"/>
    <n v="2.5299999999999998"/>
    <n v="0.7"/>
    <x v="2"/>
    <n v="1"/>
    <n v="7"/>
    <n v="5"/>
    <x v="0"/>
    <x v="1"/>
    <x v="1"/>
    <x v="2"/>
  </r>
  <r>
    <n v="18"/>
    <x v="0"/>
    <n v="2.5"/>
    <x v="2"/>
    <n v="5.7"/>
    <n v="2.1"/>
    <n v="3.33"/>
    <n v="0.6"/>
    <x v="0"/>
    <n v="8"/>
    <n v="4"/>
    <n v="6"/>
    <x v="0"/>
    <x v="1"/>
    <x v="1"/>
    <x v="2"/>
  </r>
  <r>
    <n v="15"/>
    <x v="0"/>
    <n v="4.5"/>
    <x v="2"/>
    <n v="7"/>
    <n v="1.5"/>
    <n v="3.16"/>
    <n v="1.7"/>
    <x v="2"/>
    <n v="4"/>
    <n v="7"/>
    <n v="10"/>
    <x v="0"/>
    <x v="0"/>
    <x v="0"/>
    <x v="1"/>
  </r>
  <r>
    <n v="18"/>
    <x v="1"/>
    <n v="1.9"/>
    <x v="2"/>
    <n v="5.0999999999999996"/>
    <n v="2.9"/>
    <n v="2.62"/>
    <n v="1"/>
    <x v="0"/>
    <n v="4"/>
    <n v="3"/>
    <n v="2"/>
    <x v="0"/>
    <x v="1"/>
    <x v="1"/>
    <x v="0"/>
  </r>
  <r>
    <n v="17"/>
    <x v="0"/>
    <n v="3.8"/>
    <x v="0"/>
    <n v="7.7"/>
    <n v="0.7"/>
    <n v="3.45"/>
    <n v="1"/>
    <x v="0"/>
    <n v="2"/>
    <n v="8"/>
    <n v="9"/>
    <x v="0"/>
    <x v="1"/>
    <x v="0"/>
    <x v="1"/>
  </r>
  <r>
    <n v="18"/>
    <x v="1"/>
    <n v="3.9"/>
    <x v="2"/>
    <n v="4"/>
    <n v="1.8"/>
    <n v="2.19"/>
    <n v="1.4"/>
    <x v="1"/>
    <n v="1"/>
    <n v="2"/>
    <n v="5"/>
    <x v="0"/>
    <x v="1"/>
    <x v="1"/>
    <x v="2"/>
  </r>
  <r>
    <n v="17"/>
    <x v="1"/>
    <n v="1.1000000000000001"/>
    <x v="2"/>
    <n v="8.6999999999999993"/>
    <n v="2.1"/>
    <n v="3.01"/>
    <n v="0.7"/>
    <x v="2"/>
    <n v="1"/>
    <n v="1"/>
    <n v="3"/>
    <x v="0"/>
    <x v="1"/>
    <x v="0"/>
    <x v="0"/>
  </r>
  <r>
    <n v="15"/>
    <x v="1"/>
    <n v="3.9"/>
    <x v="2"/>
    <n v="8.6999999999999993"/>
    <n v="1.1000000000000001"/>
    <n v="2.82"/>
    <n v="0.3"/>
    <x v="1"/>
    <n v="5"/>
    <n v="10"/>
    <n v="6"/>
    <x v="0"/>
    <x v="0"/>
    <x v="0"/>
    <x v="2"/>
  </r>
  <r>
    <n v="16"/>
    <x v="0"/>
    <n v="8"/>
    <x v="0"/>
    <n v="8.1"/>
    <n v="2.5"/>
    <n v="2.7"/>
    <n v="1.7"/>
    <x v="2"/>
    <n v="4"/>
    <n v="5"/>
    <n v="7"/>
    <x v="0"/>
    <x v="1"/>
    <x v="0"/>
    <x v="1"/>
  </r>
  <r>
    <n v="14"/>
    <x v="1"/>
    <n v="1.2"/>
    <x v="1"/>
    <n v="8.5"/>
    <n v="2.2999999999999998"/>
    <n v="3.91"/>
    <n v="1.8"/>
    <x v="1"/>
    <n v="1"/>
    <n v="8"/>
    <n v="1"/>
    <x v="0"/>
    <x v="0"/>
    <x v="0"/>
    <x v="0"/>
  </r>
  <r>
    <n v="15"/>
    <x v="0"/>
    <n v="2.2000000000000002"/>
    <x v="0"/>
    <n v="6.1"/>
    <n v="0.9"/>
    <n v="3.81"/>
    <n v="0.1"/>
    <x v="1"/>
    <n v="2"/>
    <n v="7"/>
    <n v="3"/>
    <x v="0"/>
    <x v="0"/>
    <x v="0"/>
    <x v="0"/>
  </r>
  <r>
    <n v="15"/>
    <x v="1"/>
    <n v="4.2"/>
    <x v="1"/>
    <n v="6.8"/>
    <n v="1.4"/>
    <n v="2.0099999999999998"/>
    <n v="1"/>
    <x v="0"/>
    <n v="6"/>
    <n v="6"/>
    <n v="4"/>
    <x v="0"/>
    <x v="0"/>
    <x v="0"/>
    <x v="2"/>
  </r>
  <r>
    <n v="19"/>
    <x v="0"/>
    <n v="6"/>
    <x v="2"/>
    <n v="5.6"/>
    <n v="1.1000000000000001"/>
    <n v="2.4300000000000002"/>
    <n v="1.7"/>
    <x v="2"/>
    <n v="1"/>
    <n v="3"/>
    <n v="3"/>
    <x v="0"/>
    <x v="1"/>
    <x v="1"/>
    <x v="0"/>
  </r>
  <r>
    <n v="19"/>
    <x v="0"/>
    <n v="5.4"/>
    <x v="0"/>
    <n v="4.9000000000000004"/>
    <n v="0.6"/>
    <n v="3.17"/>
    <n v="0"/>
    <x v="0"/>
    <n v="5"/>
    <n v="6"/>
    <n v="10"/>
    <x v="0"/>
    <x v="1"/>
    <x v="1"/>
    <x v="1"/>
  </r>
  <r>
    <n v="15"/>
    <x v="1"/>
    <n v="2.7"/>
    <x v="1"/>
    <n v="7.6"/>
    <n v="2.5"/>
    <n v="2.37"/>
    <n v="1.9"/>
    <x v="1"/>
    <n v="1"/>
    <n v="8"/>
    <n v="7"/>
    <x v="0"/>
    <x v="0"/>
    <x v="0"/>
    <x v="1"/>
  </r>
  <r>
    <n v="19"/>
    <x v="1"/>
    <n v="1.9"/>
    <x v="2"/>
    <n v="6.2"/>
    <n v="0.9"/>
    <n v="2.4700000000000002"/>
    <n v="1.4"/>
    <x v="0"/>
    <n v="5"/>
    <n v="6"/>
    <n v="7"/>
    <x v="0"/>
    <x v="1"/>
    <x v="0"/>
    <x v="1"/>
  </r>
  <r>
    <n v="14"/>
    <x v="0"/>
    <n v="1.5"/>
    <x v="2"/>
    <n v="6.8"/>
    <n v="0.8"/>
    <n v="3.14"/>
    <n v="0"/>
    <x v="2"/>
    <n v="4"/>
    <n v="5"/>
    <n v="8"/>
    <x v="0"/>
    <x v="0"/>
    <x v="0"/>
    <x v="1"/>
  </r>
  <r>
    <n v="17"/>
    <x v="1"/>
    <n v="2.6"/>
    <x v="1"/>
    <n v="4.8"/>
    <n v="0.7"/>
    <n v="2.52"/>
    <n v="1.8"/>
    <x v="2"/>
    <n v="9"/>
    <n v="6"/>
    <n v="6"/>
    <x v="0"/>
    <x v="1"/>
    <x v="1"/>
    <x v="2"/>
  </r>
  <r>
    <n v="16"/>
    <x v="0"/>
    <n v="1.2"/>
    <x v="0"/>
    <n v="7.3"/>
    <n v="1"/>
    <n v="2.36"/>
    <n v="1.1000000000000001"/>
    <x v="2"/>
    <n v="5"/>
    <n v="3"/>
    <n v="6"/>
    <x v="0"/>
    <x v="1"/>
    <x v="0"/>
    <x v="2"/>
  </r>
  <r>
    <n v="18"/>
    <x v="1"/>
    <n v="1.8"/>
    <x v="2"/>
    <n v="7.8"/>
    <n v="2"/>
    <n v="2.67"/>
    <n v="0.8"/>
    <x v="0"/>
    <n v="4"/>
    <n v="6"/>
    <n v="3"/>
    <x v="0"/>
    <x v="1"/>
    <x v="0"/>
    <x v="0"/>
  </r>
  <r>
    <n v="19"/>
    <x v="0"/>
    <n v="4.8"/>
    <x v="2"/>
    <n v="7.5"/>
    <n v="1"/>
    <n v="2.68"/>
    <n v="1.5"/>
    <x v="0"/>
    <n v="9"/>
    <n v="4"/>
    <n v="6"/>
    <x v="0"/>
    <x v="1"/>
    <x v="0"/>
    <x v="2"/>
  </r>
  <r>
    <n v="19"/>
    <x v="0"/>
    <n v="2.1"/>
    <x v="2"/>
    <n v="5.6"/>
    <n v="2.4"/>
    <n v="3.56"/>
    <n v="1"/>
    <x v="1"/>
    <n v="9"/>
    <n v="3"/>
    <n v="4"/>
    <x v="0"/>
    <x v="1"/>
    <x v="1"/>
    <x v="2"/>
  </r>
  <r>
    <n v="15"/>
    <x v="0"/>
    <n v="4.4000000000000004"/>
    <x v="0"/>
    <n v="6"/>
    <n v="0.5"/>
    <n v="3.33"/>
    <n v="0.7"/>
    <x v="2"/>
    <n v="1"/>
    <n v="6"/>
    <n v="10"/>
    <x v="0"/>
    <x v="0"/>
    <x v="1"/>
    <x v="1"/>
  </r>
  <r>
    <n v="14"/>
    <x v="0"/>
    <n v="2.8"/>
    <x v="2"/>
    <n v="4.3"/>
    <n v="3"/>
    <n v="2.14"/>
    <n v="1.9"/>
    <x v="2"/>
    <n v="9"/>
    <n v="3"/>
    <n v="7"/>
    <x v="0"/>
    <x v="0"/>
    <x v="1"/>
    <x v="1"/>
  </r>
  <r>
    <n v="15"/>
    <x v="0"/>
    <n v="3.5"/>
    <x v="1"/>
    <n v="4.5"/>
    <n v="2.7"/>
    <n v="2.4700000000000002"/>
    <n v="1.4"/>
    <x v="0"/>
    <n v="1"/>
    <n v="5"/>
    <n v="10"/>
    <x v="0"/>
    <x v="0"/>
    <x v="1"/>
    <x v="1"/>
  </r>
  <r>
    <n v="15"/>
    <x v="0"/>
    <n v="6.8"/>
    <x v="2"/>
    <n v="6.6"/>
    <n v="2.1"/>
    <n v="3.43"/>
    <n v="1.7"/>
    <x v="0"/>
    <n v="10"/>
    <n v="10"/>
    <n v="8"/>
    <x v="0"/>
    <x v="0"/>
    <x v="0"/>
    <x v="1"/>
  </r>
  <r>
    <n v="14"/>
    <x v="0"/>
    <n v="7"/>
    <x v="0"/>
    <n v="5.2"/>
    <n v="1.4"/>
    <n v="3.27"/>
    <n v="1.7"/>
    <x v="2"/>
    <n v="5"/>
    <n v="7"/>
    <n v="8"/>
    <x v="0"/>
    <x v="0"/>
    <x v="1"/>
    <x v="1"/>
  </r>
  <r>
    <n v="17"/>
    <x v="1"/>
    <n v="7.5"/>
    <x v="2"/>
    <n v="8.1"/>
    <n v="2.8"/>
    <n v="2.58"/>
    <n v="0.5"/>
    <x v="2"/>
    <n v="2"/>
    <n v="2"/>
    <n v="3"/>
    <x v="0"/>
    <x v="1"/>
    <x v="0"/>
    <x v="0"/>
  </r>
  <r>
    <n v="17"/>
    <x v="1"/>
    <n v="2.5"/>
    <x v="0"/>
    <n v="4.4000000000000004"/>
    <n v="2"/>
    <n v="3.29"/>
    <n v="0.7"/>
    <x v="0"/>
    <n v="4"/>
    <n v="6"/>
    <n v="5"/>
    <x v="0"/>
    <x v="1"/>
    <x v="1"/>
    <x v="2"/>
  </r>
  <r>
    <n v="15"/>
    <x v="0"/>
    <n v="6.5"/>
    <x v="1"/>
    <n v="5.4"/>
    <n v="2.1"/>
    <n v="3.44"/>
    <n v="1.8"/>
    <x v="0"/>
    <n v="7"/>
    <n v="3"/>
    <n v="6"/>
    <x v="0"/>
    <x v="0"/>
    <x v="1"/>
    <x v="2"/>
  </r>
  <r>
    <n v="13"/>
    <x v="0"/>
    <n v="7.7"/>
    <x v="0"/>
    <n v="4.4000000000000004"/>
    <n v="2"/>
    <n v="3.09"/>
    <n v="1"/>
    <x v="1"/>
    <n v="8"/>
    <n v="7"/>
    <n v="8"/>
    <x v="1"/>
    <x v="0"/>
    <x v="1"/>
    <x v="1"/>
  </r>
  <r>
    <n v="18"/>
    <x v="1"/>
    <n v="3.2"/>
    <x v="2"/>
    <n v="7.8"/>
    <n v="0.7"/>
    <n v="3.46"/>
    <n v="1.3"/>
    <x v="0"/>
    <n v="5"/>
    <n v="10"/>
    <n v="6"/>
    <x v="0"/>
    <x v="1"/>
    <x v="0"/>
    <x v="2"/>
  </r>
  <r>
    <n v="16"/>
    <x v="1"/>
    <n v="5.3"/>
    <x v="1"/>
    <n v="4.3"/>
    <n v="1.5"/>
    <n v="2.54"/>
    <n v="0.3"/>
    <x v="1"/>
    <n v="7"/>
    <n v="7"/>
    <n v="10"/>
    <x v="1"/>
    <x v="1"/>
    <x v="1"/>
    <x v="1"/>
  </r>
  <r>
    <n v="14"/>
    <x v="0"/>
    <n v="5"/>
    <x v="1"/>
    <n v="5.2"/>
    <n v="0.5"/>
    <n v="3.55"/>
    <n v="0.4"/>
    <x v="0"/>
    <n v="10"/>
    <n v="6"/>
    <n v="8"/>
    <x v="0"/>
    <x v="0"/>
    <x v="1"/>
    <x v="1"/>
  </r>
  <r>
    <n v="19"/>
    <x v="0"/>
    <n v="6.1"/>
    <x v="0"/>
    <n v="7.1"/>
    <n v="2.2999999999999998"/>
    <n v="3.22"/>
    <n v="0.5"/>
    <x v="0"/>
    <n v="4"/>
    <n v="3"/>
    <n v="7"/>
    <x v="0"/>
    <x v="1"/>
    <x v="0"/>
    <x v="1"/>
  </r>
  <r>
    <n v="17"/>
    <x v="0"/>
    <n v="4.2"/>
    <x v="1"/>
    <n v="7.3"/>
    <n v="2.6"/>
    <n v="3.2"/>
    <n v="0.2"/>
    <x v="1"/>
    <n v="7"/>
    <n v="1"/>
    <n v="3"/>
    <x v="0"/>
    <x v="1"/>
    <x v="0"/>
    <x v="0"/>
  </r>
  <r>
    <n v="15"/>
    <x v="0"/>
    <n v="4.7"/>
    <x v="0"/>
    <n v="8.1999999999999993"/>
    <n v="2.2999999999999998"/>
    <n v="3.35"/>
    <n v="0.6"/>
    <x v="0"/>
    <n v="6"/>
    <n v="2"/>
    <n v="5"/>
    <x v="0"/>
    <x v="0"/>
    <x v="0"/>
    <x v="2"/>
  </r>
  <r>
    <n v="18"/>
    <x v="0"/>
    <n v="1.6"/>
    <x v="1"/>
    <n v="5.8"/>
    <n v="0.6"/>
    <n v="3.63"/>
    <n v="1.1000000000000001"/>
    <x v="1"/>
    <n v="6"/>
    <n v="9"/>
    <n v="7"/>
    <x v="0"/>
    <x v="1"/>
    <x v="1"/>
    <x v="1"/>
  </r>
  <r>
    <n v="14"/>
    <x v="1"/>
    <n v="1.7"/>
    <x v="1"/>
    <n v="6.5"/>
    <n v="2.7"/>
    <n v="2.06"/>
    <n v="0.1"/>
    <x v="2"/>
    <n v="9"/>
    <n v="5"/>
    <n v="9"/>
    <x v="0"/>
    <x v="0"/>
    <x v="0"/>
    <x v="1"/>
  </r>
  <r>
    <n v="18"/>
    <x v="0"/>
    <n v="4.5999999999999996"/>
    <x v="0"/>
    <n v="4.0999999999999996"/>
    <n v="1.4"/>
    <n v="2.2799999999999998"/>
    <n v="0.4"/>
    <x v="2"/>
    <n v="4"/>
    <n v="10"/>
    <n v="10"/>
    <x v="0"/>
    <x v="1"/>
    <x v="1"/>
    <x v="1"/>
  </r>
  <r>
    <n v="13"/>
    <x v="1"/>
    <n v="2.5"/>
    <x v="1"/>
    <n v="6.8"/>
    <n v="2.8"/>
    <n v="2.77"/>
    <n v="0.5"/>
    <x v="0"/>
    <n v="2"/>
    <n v="6"/>
    <n v="10"/>
    <x v="0"/>
    <x v="0"/>
    <x v="0"/>
    <x v="1"/>
  </r>
  <r>
    <n v="16"/>
    <x v="1"/>
    <n v="4.2"/>
    <x v="1"/>
    <n v="6.3"/>
    <n v="1.2"/>
    <n v="3.72"/>
    <n v="1.9"/>
    <x v="0"/>
    <n v="5"/>
    <n v="3"/>
    <n v="7"/>
    <x v="0"/>
    <x v="1"/>
    <x v="0"/>
    <x v="1"/>
  </r>
  <r>
    <n v="19"/>
    <x v="1"/>
    <n v="1.2"/>
    <x v="1"/>
    <n v="4.8"/>
    <n v="1.7"/>
    <n v="2.16"/>
    <n v="0.6"/>
    <x v="2"/>
    <n v="10"/>
    <n v="10"/>
    <n v="10"/>
    <x v="0"/>
    <x v="1"/>
    <x v="1"/>
    <x v="1"/>
  </r>
  <r>
    <n v="15"/>
    <x v="0"/>
    <n v="2.7"/>
    <x v="0"/>
    <n v="7.2"/>
    <n v="2.9"/>
    <n v="3.27"/>
    <n v="0.8"/>
    <x v="2"/>
    <n v="5"/>
    <n v="2"/>
    <n v="9"/>
    <x v="0"/>
    <x v="0"/>
    <x v="0"/>
    <x v="1"/>
  </r>
  <r>
    <n v="13"/>
    <x v="0"/>
    <n v="1.5"/>
    <x v="2"/>
    <n v="5.2"/>
    <n v="0.8"/>
    <n v="2.16"/>
    <n v="0.9"/>
    <x v="2"/>
    <n v="10"/>
    <n v="6"/>
    <n v="8"/>
    <x v="0"/>
    <x v="0"/>
    <x v="1"/>
    <x v="1"/>
  </r>
  <r>
    <n v="15"/>
    <x v="0"/>
    <n v="3.2"/>
    <x v="0"/>
    <n v="5.6"/>
    <n v="0.7"/>
    <n v="3.1"/>
    <n v="1.5"/>
    <x v="1"/>
    <n v="6"/>
    <n v="3"/>
    <n v="1"/>
    <x v="0"/>
    <x v="0"/>
    <x v="1"/>
    <x v="0"/>
  </r>
  <r>
    <n v="19"/>
    <x v="1"/>
    <n v="7.3"/>
    <x v="2"/>
    <n v="7.4"/>
    <n v="1.5"/>
    <n v="2.84"/>
    <n v="1"/>
    <x v="2"/>
    <n v="9"/>
    <n v="8"/>
    <n v="5"/>
    <x v="0"/>
    <x v="1"/>
    <x v="0"/>
    <x v="2"/>
  </r>
  <r>
    <n v="16"/>
    <x v="0"/>
    <n v="2"/>
    <x v="0"/>
    <n v="8.1999999999999993"/>
    <n v="1"/>
    <n v="3.15"/>
    <n v="0.9"/>
    <x v="2"/>
    <n v="9"/>
    <n v="7"/>
    <n v="10"/>
    <x v="0"/>
    <x v="1"/>
    <x v="0"/>
    <x v="1"/>
  </r>
  <r>
    <n v="19"/>
    <x v="0"/>
    <n v="2.5"/>
    <x v="1"/>
    <n v="7.1"/>
    <n v="1.9"/>
    <n v="2.35"/>
    <n v="1.1000000000000001"/>
    <x v="0"/>
    <n v="4"/>
    <n v="4"/>
    <n v="8"/>
    <x v="0"/>
    <x v="1"/>
    <x v="0"/>
    <x v="1"/>
  </r>
  <r>
    <n v="16"/>
    <x v="1"/>
    <n v="7.7"/>
    <x v="0"/>
    <n v="4.7"/>
    <n v="2.9"/>
    <n v="2.17"/>
    <n v="1.2"/>
    <x v="2"/>
    <n v="5"/>
    <n v="7"/>
    <n v="6"/>
    <x v="0"/>
    <x v="1"/>
    <x v="1"/>
    <x v="2"/>
  </r>
  <r>
    <n v="19"/>
    <x v="1"/>
    <n v="3.9"/>
    <x v="2"/>
    <n v="7.9"/>
    <n v="2.1"/>
    <n v="3.52"/>
    <n v="0.6"/>
    <x v="1"/>
    <n v="3"/>
    <n v="2"/>
    <n v="4"/>
    <x v="0"/>
    <x v="1"/>
    <x v="0"/>
    <x v="2"/>
  </r>
  <r>
    <n v="16"/>
    <x v="1"/>
    <n v="3.5"/>
    <x v="1"/>
    <n v="6.1"/>
    <n v="2.7"/>
    <n v="3.83"/>
    <n v="0.1"/>
    <x v="2"/>
    <n v="4"/>
    <n v="5"/>
    <n v="10"/>
    <x v="0"/>
    <x v="1"/>
    <x v="0"/>
    <x v="1"/>
  </r>
  <r>
    <n v="17"/>
    <x v="0"/>
    <n v="4.9000000000000004"/>
    <x v="0"/>
    <n v="6.4"/>
    <n v="2.5"/>
    <n v="2.64"/>
    <n v="1.9"/>
    <x v="2"/>
    <n v="6"/>
    <n v="2"/>
    <n v="10"/>
    <x v="0"/>
    <x v="1"/>
    <x v="0"/>
    <x v="1"/>
  </r>
  <r>
    <n v="14"/>
    <x v="0"/>
    <n v="3.4"/>
    <x v="2"/>
    <n v="5.8"/>
    <n v="3"/>
    <n v="3.32"/>
    <n v="0.6"/>
    <x v="2"/>
    <n v="1"/>
    <n v="4"/>
    <n v="4"/>
    <x v="0"/>
    <x v="0"/>
    <x v="1"/>
    <x v="2"/>
  </r>
  <r>
    <n v="18"/>
    <x v="0"/>
    <n v="2.5"/>
    <x v="1"/>
    <n v="4.5999999999999996"/>
    <n v="2.2000000000000002"/>
    <n v="2.0499999999999998"/>
    <n v="0.7"/>
    <x v="2"/>
    <n v="9"/>
    <n v="5"/>
    <n v="10"/>
    <x v="0"/>
    <x v="1"/>
    <x v="1"/>
    <x v="1"/>
  </r>
  <r>
    <n v="16"/>
    <x v="0"/>
    <n v="4.8"/>
    <x v="2"/>
    <n v="5.4"/>
    <n v="0.9"/>
    <n v="2.06"/>
    <n v="1.9"/>
    <x v="0"/>
    <n v="8"/>
    <n v="3"/>
    <n v="2"/>
    <x v="0"/>
    <x v="1"/>
    <x v="1"/>
    <x v="0"/>
  </r>
  <r>
    <n v="19"/>
    <x v="0"/>
    <n v="7.4"/>
    <x v="1"/>
    <n v="6.1"/>
    <n v="1.1000000000000001"/>
    <n v="2.15"/>
    <n v="1.6"/>
    <x v="1"/>
    <n v="4"/>
    <n v="4"/>
    <n v="1"/>
    <x v="0"/>
    <x v="1"/>
    <x v="0"/>
    <x v="0"/>
  </r>
  <r>
    <n v="16"/>
    <x v="1"/>
    <n v="2.1"/>
    <x v="0"/>
    <n v="4.8"/>
    <n v="1.3"/>
    <n v="2.29"/>
    <n v="1.8"/>
    <x v="1"/>
    <n v="6"/>
    <n v="9"/>
    <n v="2"/>
    <x v="0"/>
    <x v="1"/>
    <x v="1"/>
    <x v="0"/>
  </r>
  <r>
    <n v="19"/>
    <x v="0"/>
    <n v="2.1"/>
    <x v="1"/>
    <n v="6.8"/>
    <n v="2.2000000000000002"/>
    <n v="2.33"/>
    <n v="1"/>
    <x v="2"/>
    <n v="7"/>
    <n v="6"/>
    <n v="7"/>
    <x v="0"/>
    <x v="1"/>
    <x v="0"/>
    <x v="1"/>
  </r>
  <r>
    <n v="16"/>
    <x v="0"/>
    <n v="1.8"/>
    <x v="0"/>
    <n v="4.9000000000000004"/>
    <n v="2.2999999999999998"/>
    <n v="2.67"/>
    <n v="1.4"/>
    <x v="2"/>
    <n v="3"/>
    <n v="8"/>
    <n v="6"/>
    <x v="0"/>
    <x v="1"/>
    <x v="1"/>
    <x v="2"/>
  </r>
  <r>
    <n v="18"/>
    <x v="0"/>
    <n v="6.8"/>
    <x v="2"/>
    <n v="5.4"/>
    <n v="0.9"/>
    <n v="2.64"/>
    <n v="0.3"/>
    <x v="1"/>
    <n v="9"/>
    <n v="1"/>
    <n v="8"/>
    <x v="0"/>
    <x v="1"/>
    <x v="1"/>
    <x v="1"/>
  </r>
  <r>
    <n v="18"/>
    <x v="0"/>
    <n v="7.9"/>
    <x v="0"/>
    <n v="4.0999999999999996"/>
    <n v="2.8"/>
    <n v="3.25"/>
    <n v="1.4"/>
    <x v="1"/>
    <n v="4"/>
    <n v="2"/>
    <n v="4"/>
    <x v="0"/>
    <x v="1"/>
    <x v="1"/>
    <x v="2"/>
  </r>
  <r>
    <n v="15"/>
    <x v="0"/>
    <n v="7.6"/>
    <x v="2"/>
    <n v="6"/>
    <n v="2.9"/>
    <n v="2.72"/>
    <n v="1.8"/>
    <x v="1"/>
    <n v="1"/>
    <n v="9"/>
    <n v="6"/>
    <x v="0"/>
    <x v="0"/>
    <x v="1"/>
    <x v="2"/>
  </r>
  <r>
    <n v="18"/>
    <x v="0"/>
    <n v="6.1"/>
    <x v="1"/>
    <n v="5.8"/>
    <n v="1.8"/>
    <n v="3.59"/>
    <n v="0.2"/>
    <x v="0"/>
    <n v="2"/>
    <n v="5"/>
    <n v="4"/>
    <x v="0"/>
    <x v="1"/>
    <x v="1"/>
    <x v="2"/>
  </r>
  <r>
    <n v="16"/>
    <x v="1"/>
    <n v="1.4"/>
    <x v="2"/>
    <n v="5.7"/>
    <n v="1.8"/>
    <n v="2"/>
    <n v="1.4"/>
    <x v="0"/>
    <n v="4"/>
    <n v="8"/>
    <n v="7"/>
    <x v="0"/>
    <x v="1"/>
    <x v="1"/>
    <x v="1"/>
  </r>
  <r>
    <n v="19"/>
    <x v="0"/>
    <n v="6.3"/>
    <x v="1"/>
    <n v="5.7"/>
    <n v="1.4"/>
    <n v="2.0299999999999998"/>
    <n v="1.1000000000000001"/>
    <x v="0"/>
    <n v="4"/>
    <n v="6"/>
    <n v="1"/>
    <x v="0"/>
    <x v="1"/>
    <x v="1"/>
    <x v="0"/>
  </r>
  <r>
    <n v="13"/>
    <x v="0"/>
    <n v="1.3"/>
    <x v="0"/>
    <n v="5.7"/>
    <n v="1.1000000000000001"/>
    <n v="3.74"/>
    <n v="1.3"/>
    <x v="0"/>
    <n v="9"/>
    <n v="5"/>
    <n v="10"/>
    <x v="0"/>
    <x v="0"/>
    <x v="1"/>
    <x v="1"/>
  </r>
  <r>
    <n v="17"/>
    <x v="0"/>
    <n v="5.0999999999999996"/>
    <x v="1"/>
    <n v="5.0999999999999996"/>
    <n v="2.9"/>
    <n v="3.99"/>
    <n v="0.6"/>
    <x v="2"/>
    <n v="4"/>
    <n v="2"/>
    <n v="9"/>
    <x v="0"/>
    <x v="1"/>
    <x v="1"/>
    <x v="1"/>
  </r>
  <r>
    <n v="19"/>
    <x v="1"/>
    <n v="4"/>
    <x v="0"/>
    <n v="8.1999999999999993"/>
    <n v="1.4"/>
    <n v="3.63"/>
    <n v="1.3"/>
    <x v="0"/>
    <n v="5"/>
    <n v="3"/>
    <n v="10"/>
    <x v="0"/>
    <x v="1"/>
    <x v="0"/>
    <x v="1"/>
  </r>
  <r>
    <n v="17"/>
    <x v="1"/>
    <n v="7.6"/>
    <x v="0"/>
    <n v="7.3"/>
    <n v="1.9"/>
    <n v="3.05"/>
    <n v="1.1000000000000001"/>
    <x v="2"/>
    <n v="10"/>
    <n v="8"/>
    <n v="1"/>
    <x v="0"/>
    <x v="1"/>
    <x v="0"/>
    <x v="0"/>
  </r>
  <r>
    <n v="19"/>
    <x v="0"/>
    <n v="3.8"/>
    <x v="1"/>
    <n v="7.4"/>
    <n v="2.6"/>
    <n v="2.25"/>
    <n v="0.5"/>
    <x v="0"/>
    <n v="7"/>
    <n v="4"/>
    <n v="8"/>
    <x v="0"/>
    <x v="1"/>
    <x v="0"/>
    <x v="1"/>
  </r>
  <r>
    <n v="17"/>
    <x v="0"/>
    <n v="5.2"/>
    <x v="0"/>
    <n v="4.7"/>
    <n v="2.4"/>
    <n v="2.77"/>
    <n v="1.3"/>
    <x v="1"/>
    <n v="9"/>
    <n v="6"/>
    <n v="9"/>
    <x v="0"/>
    <x v="1"/>
    <x v="1"/>
    <x v="1"/>
  </r>
  <r>
    <n v="13"/>
    <x v="0"/>
    <n v="5"/>
    <x v="2"/>
    <n v="8.6"/>
    <n v="0.7"/>
    <n v="2.99"/>
    <n v="1.5"/>
    <x v="0"/>
    <n v="3"/>
    <n v="8"/>
    <n v="3"/>
    <x v="0"/>
    <x v="0"/>
    <x v="0"/>
    <x v="0"/>
  </r>
  <r>
    <n v="19"/>
    <x v="1"/>
    <n v="7.4"/>
    <x v="2"/>
    <n v="8.3000000000000007"/>
    <n v="1.4"/>
    <n v="3.64"/>
    <n v="0.4"/>
    <x v="0"/>
    <n v="6"/>
    <n v="9"/>
    <n v="6"/>
    <x v="0"/>
    <x v="1"/>
    <x v="0"/>
    <x v="2"/>
  </r>
  <r>
    <n v="16"/>
    <x v="0"/>
    <n v="6.1"/>
    <x v="1"/>
    <n v="6.8"/>
    <n v="0.8"/>
    <n v="2.61"/>
    <n v="0.9"/>
    <x v="0"/>
    <n v="10"/>
    <n v="10"/>
    <n v="4"/>
    <x v="0"/>
    <x v="1"/>
    <x v="0"/>
    <x v="2"/>
  </r>
  <r>
    <n v="13"/>
    <x v="1"/>
    <n v="7.4"/>
    <x v="2"/>
    <n v="6.7"/>
    <n v="2"/>
    <n v="2.42"/>
    <n v="1.5"/>
    <x v="0"/>
    <n v="10"/>
    <n v="1"/>
    <n v="1"/>
    <x v="0"/>
    <x v="0"/>
    <x v="0"/>
    <x v="0"/>
  </r>
  <r>
    <n v="16"/>
    <x v="0"/>
    <n v="3.5"/>
    <x v="2"/>
    <n v="4.4000000000000004"/>
    <n v="1.5"/>
    <n v="2.7"/>
    <n v="0.8"/>
    <x v="1"/>
    <n v="2"/>
    <n v="10"/>
    <n v="8"/>
    <x v="0"/>
    <x v="1"/>
    <x v="1"/>
    <x v="1"/>
  </r>
  <r>
    <n v="14"/>
    <x v="0"/>
    <n v="5.0999999999999996"/>
    <x v="0"/>
    <n v="6.3"/>
    <n v="1.6"/>
    <n v="2.7"/>
    <n v="0.1"/>
    <x v="2"/>
    <n v="7"/>
    <n v="2"/>
    <n v="7"/>
    <x v="0"/>
    <x v="0"/>
    <x v="0"/>
    <x v="1"/>
  </r>
  <r>
    <n v="17"/>
    <x v="0"/>
    <n v="4.8"/>
    <x v="1"/>
    <n v="6"/>
    <n v="2.1"/>
    <n v="2.39"/>
    <n v="1.8"/>
    <x v="1"/>
    <n v="5"/>
    <n v="8"/>
    <n v="7"/>
    <x v="0"/>
    <x v="1"/>
    <x v="1"/>
    <x v="1"/>
  </r>
  <r>
    <n v="14"/>
    <x v="0"/>
    <n v="7.5"/>
    <x v="2"/>
    <n v="7.6"/>
    <n v="2.8"/>
    <n v="3.1"/>
    <n v="0.7"/>
    <x v="2"/>
    <n v="3"/>
    <n v="1"/>
    <n v="2"/>
    <x v="0"/>
    <x v="0"/>
    <x v="0"/>
    <x v="0"/>
  </r>
  <r>
    <n v="19"/>
    <x v="0"/>
    <n v="4.7"/>
    <x v="2"/>
    <n v="8.6999999999999993"/>
    <n v="2"/>
    <n v="3.23"/>
    <n v="1.7"/>
    <x v="0"/>
    <n v="4"/>
    <n v="10"/>
    <n v="3"/>
    <x v="0"/>
    <x v="1"/>
    <x v="0"/>
    <x v="0"/>
  </r>
  <r>
    <n v="19"/>
    <x v="0"/>
    <n v="3.3"/>
    <x v="1"/>
    <n v="8.5"/>
    <n v="1.2"/>
    <n v="3.29"/>
    <n v="0.5"/>
    <x v="2"/>
    <n v="6"/>
    <n v="2"/>
    <n v="9"/>
    <x v="0"/>
    <x v="1"/>
    <x v="0"/>
    <x v="1"/>
  </r>
  <r>
    <n v="16"/>
    <x v="1"/>
    <n v="6.9"/>
    <x v="0"/>
    <n v="5.8"/>
    <n v="0.6"/>
    <n v="3.65"/>
    <n v="0.5"/>
    <x v="1"/>
    <n v="10"/>
    <n v="8"/>
    <n v="10"/>
    <x v="1"/>
    <x v="1"/>
    <x v="1"/>
    <x v="1"/>
  </r>
  <r>
    <n v="15"/>
    <x v="0"/>
    <n v="5.4"/>
    <x v="0"/>
    <n v="4.2"/>
    <n v="1.5"/>
    <n v="2.72"/>
    <n v="0.4"/>
    <x v="1"/>
    <n v="1"/>
    <n v="6"/>
    <n v="5"/>
    <x v="0"/>
    <x v="0"/>
    <x v="1"/>
    <x v="2"/>
  </r>
  <r>
    <n v="13"/>
    <x v="1"/>
    <n v="5.2"/>
    <x v="2"/>
    <n v="7.7"/>
    <n v="2.7"/>
    <n v="2.84"/>
    <n v="0.8"/>
    <x v="1"/>
    <n v="2"/>
    <n v="5"/>
    <n v="5"/>
    <x v="0"/>
    <x v="0"/>
    <x v="0"/>
    <x v="2"/>
  </r>
  <r>
    <n v="15"/>
    <x v="1"/>
    <n v="3.3"/>
    <x v="0"/>
    <n v="6.5"/>
    <n v="1.3"/>
    <n v="2.44"/>
    <n v="0.3"/>
    <x v="2"/>
    <n v="7"/>
    <n v="6"/>
    <n v="7"/>
    <x v="0"/>
    <x v="0"/>
    <x v="0"/>
    <x v="1"/>
  </r>
  <r>
    <n v="15"/>
    <x v="1"/>
    <n v="7.3"/>
    <x v="2"/>
    <n v="7.6"/>
    <n v="1.9"/>
    <n v="2.31"/>
    <n v="0.8"/>
    <x v="2"/>
    <n v="8"/>
    <n v="7"/>
    <n v="5"/>
    <x v="0"/>
    <x v="0"/>
    <x v="0"/>
    <x v="2"/>
  </r>
  <r>
    <n v="17"/>
    <x v="0"/>
    <n v="7.6"/>
    <x v="2"/>
    <n v="4.9000000000000004"/>
    <n v="0.6"/>
    <n v="2.56"/>
    <n v="0.8"/>
    <x v="0"/>
    <n v="4"/>
    <n v="1"/>
    <n v="9"/>
    <x v="0"/>
    <x v="1"/>
    <x v="1"/>
    <x v="1"/>
  </r>
  <r>
    <n v="17"/>
    <x v="0"/>
    <n v="1.7"/>
    <x v="2"/>
    <n v="7"/>
    <n v="0.8"/>
    <n v="3.39"/>
    <n v="0.9"/>
    <x v="1"/>
    <n v="7"/>
    <n v="7"/>
    <n v="10"/>
    <x v="0"/>
    <x v="1"/>
    <x v="0"/>
    <x v="1"/>
  </r>
  <r>
    <n v="18"/>
    <x v="0"/>
    <n v="1.5"/>
    <x v="2"/>
    <n v="5.6"/>
    <n v="2.9"/>
    <n v="2.57"/>
    <n v="0.6"/>
    <x v="1"/>
    <n v="5"/>
    <n v="8"/>
    <n v="4"/>
    <x v="0"/>
    <x v="1"/>
    <x v="1"/>
    <x v="2"/>
  </r>
  <r>
    <n v="17"/>
    <x v="0"/>
    <n v="7.3"/>
    <x v="2"/>
    <n v="8.5"/>
    <n v="1.5"/>
    <n v="3.54"/>
    <n v="1.2"/>
    <x v="0"/>
    <n v="3"/>
    <n v="3"/>
    <n v="7"/>
    <x v="0"/>
    <x v="1"/>
    <x v="0"/>
    <x v="1"/>
  </r>
  <r>
    <n v="14"/>
    <x v="0"/>
    <n v="2.8"/>
    <x v="2"/>
    <n v="6.2"/>
    <n v="1.2"/>
    <n v="3.21"/>
    <n v="1"/>
    <x v="0"/>
    <n v="3"/>
    <n v="10"/>
    <n v="6"/>
    <x v="0"/>
    <x v="0"/>
    <x v="0"/>
    <x v="2"/>
  </r>
  <r>
    <n v="15"/>
    <x v="0"/>
    <n v="1.2"/>
    <x v="2"/>
    <n v="7.4"/>
    <n v="2.7"/>
    <n v="2.92"/>
    <n v="1.4"/>
    <x v="0"/>
    <n v="3"/>
    <n v="7"/>
    <n v="4"/>
    <x v="0"/>
    <x v="0"/>
    <x v="0"/>
    <x v="2"/>
  </r>
  <r>
    <n v="16"/>
    <x v="1"/>
    <n v="2.5"/>
    <x v="1"/>
    <n v="8.9"/>
    <n v="1.2"/>
    <n v="3.33"/>
    <n v="1.5"/>
    <x v="1"/>
    <n v="4"/>
    <n v="4"/>
    <n v="10"/>
    <x v="0"/>
    <x v="1"/>
    <x v="0"/>
    <x v="1"/>
  </r>
  <r>
    <n v="17"/>
    <x v="0"/>
    <n v="4.8"/>
    <x v="1"/>
    <n v="5.6"/>
    <n v="1.6"/>
    <n v="2"/>
    <n v="1.3"/>
    <x v="0"/>
    <n v="3"/>
    <n v="8"/>
    <n v="4"/>
    <x v="0"/>
    <x v="1"/>
    <x v="1"/>
    <x v="2"/>
  </r>
  <r>
    <n v="18"/>
    <x v="1"/>
    <n v="6.4"/>
    <x v="2"/>
    <n v="4.2"/>
    <n v="1.1000000000000001"/>
    <n v="2.68"/>
    <n v="0.3"/>
    <x v="1"/>
    <n v="10"/>
    <n v="9"/>
    <n v="4"/>
    <x v="1"/>
    <x v="1"/>
    <x v="1"/>
    <x v="2"/>
  </r>
  <r>
    <n v="16"/>
    <x v="1"/>
    <n v="6.6"/>
    <x v="0"/>
    <n v="6.1"/>
    <n v="1.7"/>
    <n v="2.67"/>
    <n v="1.8"/>
    <x v="0"/>
    <n v="10"/>
    <n v="8"/>
    <n v="2"/>
    <x v="0"/>
    <x v="1"/>
    <x v="0"/>
    <x v="0"/>
  </r>
  <r>
    <n v="14"/>
    <x v="1"/>
    <n v="3.5"/>
    <x v="2"/>
    <n v="5.7"/>
    <n v="2.4"/>
    <n v="3.46"/>
    <n v="0.9"/>
    <x v="0"/>
    <n v="8"/>
    <n v="4"/>
    <n v="10"/>
    <x v="0"/>
    <x v="0"/>
    <x v="1"/>
    <x v="1"/>
  </r>
  <r>
    <n v="14"/>
    <x v="1"/>
    <n v="2.4"/>
    <x v="1"/>
    <n v="6.3"/>
    <n v="2.8"/>
    <n v="2.41"/>
    <n v="0.7"/>
    <x v="0"/>
    <n v="9"/>
    <n v="5"/>
    <n v="2"/>
    <x v="0"/>
    <x v="0"/>
    <x v="0"/>
    <x v="0"/>
  </r>
  <r>
    <n v="13"/>
    <x v="0"/>
    <n v="5.9"/>
    <x v="0"/>
    <n v="4.3"/>
    <n v="0.8"/>
    <n v="3.41"/>
    <n v="1.1000000000000001"/>
    <x v="2"/>
    <n v="4"/>
    <n v="3"/>
    <n v="2"/>
    <x v="0"/>
    <x v="0"/>
    <x v="1"/>
    <x v="0"/>
  </r>
  <r>
    <n v="19"/>
    <x v="1"/>
    <n v="7.4"/>
    <x v="0"/>
    <n v="5"/>
    <n v="2"/>
    <n v="2.68"/>
    <n v="1.2"/>
    <x v="0"/>
    <n v="1"/>
    <n v="6"/>
    <n v="8"/>
    <x v="0"/>
    <x v="1"/>
    <x v="1"/>
    <x v="1"/>
  </r>
  <r>
    <n v="15"/>
    <x v="1"/>
    <n v="4.5999999999999996"/>
    <x v="1"/>
    <n v="5.3"/>
    <n v="3"/>
    <n v="3.25"/>
    <n v="0.2"/>
    <x v="0"/>
    <n v="1"/>
    <n v="8"/>
    <n v="7"/>
    <x v="0"/>
    <x v="0"/>
    <x v="1"/>
    <x v="1"/>
  </r>
  <r>
    <n v="17"/>
    <x v="0"/>
    <n v="7.3"/>
    <x v="0"/>
    <n v="5.8"/>
    <n v="2.9"/>
    <n v="3.93"/>
    <n v="0.9"/>
    <x v="2"/>
    <n v="6"/>
    <n v="2"/>
    <n v="9"/>
    <x v="0"/>
    <x v="1"/>
    <x v="1"/>
    <x v="1"/>
  </r>
  <r>
    <n v="17"/>
    <x v="1"/>
    <n v="2.9"/>
    <x v="1"/>
    <n v="4.5"/>
    <n v="0.9"/>
    <n v="3.71"/>
    <n v="0.1"/>
    <x v="0"/>
    <n v="1"/>
    <n v="6"/>
    <n v="4"/>
    <x v="0"/>
    <x v="1"/>
    <x v="1"/>
    <x v="2"/>
  </r>
  <r>
    <n v="19"/>
    <x v="0"/>
    <n v="5.3"/>
    <x v="1"/>
    <n v="8.4"/>
    <n v="0.6"/>
    <n v="3.08"/>
    <n v="0.4"/>
    <x v="2"/>
    <n v="9"/>
    <n v="4"/>
    <n v="6"/>
    <x v="0"/>
    <x v="1"/>
    <x v="0"/>
    <x v="2"/>
  </r>
  <r>
    <n v="17"/>
    <x v="1"/>
    <n v="7.2"/>
    <x v="1"/>
    <n v="8.1999999999999993"/>
    <n v="2.9"/>
    <n v="3.69"/>
    <n v="1"/>
    <x v="1"/>
    <n v="6"/>
    <n v="2"/>
    <n v="5"/>
    <x v="0"/>
    <x v="1"/>
    <x v="0"/>
    <x v="2"/>
  </r>
  <r>
    <n v="15"/>
    <x v="1"/>
    <n v="2.6"/>
    <x v="2"/>
    <n v="7.9"/>
    <n v="1.8"/>
    <n v="3.91"/>
    <n v="0.5"/>
    <x v="2"/>
    <n v="4"/>
    <n v="5"/>
    <n v="6"/>
    <x v="0"/>
    <x v="0"/>
    <x v="0"/>
    <x v="2"/>
  </r>
  <r>
    <n v="15"/>
    <x v="0"/>
    <n v="3.6"/>
    <x v="0"/>
    <n v="4.8"/>
    <n v="1"/>
    <n v="3.71"/>
    <n v="1.1000000000000001"/>
    <x v="2"/>
    <n v="5"/>
    <n v="7"/>
    <n v="4"/>
    <x v="0"/>
    <x v="0"/>
    <x v="1"/>
    <x v="2"/>
  </r>
  <r>
    <n v="19"/>
    <x v="0"/>
    <n v="3.6"/>
    <x v="0"/>
    <n v="6.5"/>
    <n v="1.1000000000000001"/>
    <n v="3.65"/>
    <n v="1.1000000000000001"/>
    <x v="0"/>
    <n v="5"/>
    <n v="9"/>
    <n v="10"/>
    <x v="0"/>
    <x v="1"/>
    <x v="0"/>
    <x v="1"/>
  </r>
  <r>
    <n v="15"/>
    <x v="1"/>
    <n v="1.8"/>
    <x v="0"/>
    <n v="5.5"/>
    <n v="1.6"/>
    <n v="3.29"/>
    <n v="1.3"/>
    <x v="2"/>
    <n v="6"/>
    <n v="5"/>
    <n v="9"/>
    <x v="0"/>
    <x v="0"/>
    <x v="1"/>
    <x v="1"/>
  </r>
  <r>
    <n v="14"/>
    <x v="1"/>
    <n v="1.8"/>
    <x v="0"/>
    <n v="7.6"/>
    <n v="1.2"/>
    <n v="2.84"/>
    <n v="1.1000000000000001"/>
    <x v="1"/>
    <n v="10"/>
    <n v="1"/>
    <n v="3"/>
    <x v="0"/>
    <x v="0"/>
    <x v="0"/>
    <x v="0"/>
  </r>
  <r>
    <n v="15"/>
    <x v="1"/>
    <n v="7.4"/>
    <x v="2"/>
    <n v="8.4"/>
    <n v="1.9"/>
    <n v="3.73"/>
    <n v="0.8"/>
    <x v="1"/>
    <n v="9"/>
    <n v="9"/>
    <n v="4"/>
    <x v="0"/>
    <x v="0"/>
    <x v="0"/>
    <x v="2"/>
  </r>
  <r>
    <n v="15"/>
    <x v="0"/>
    <n v="4.8"/>
    <x v="2"/>
    <n v="4.3"/>
    <n v="2.2000000000000002"/>
    <n v="2.5"/>
    <n v="0"/>
    <x v="2"/>
    <n v="4"/>
    <n v="1"/>
    <n v="4"/>
    <x v="0"/>
    <x v="0"/>
    <x v="1"/>
    <x v="2"/>
  </r>
  <r>
    <n v="18"/>
    <x v="0"/>
    <n v="2.4"/>
    <x v="2"/>
    <n v="6.8"/>
    <n v="1"/>
    <n v="2.86"/>
    <n v="1.5"/>
    <x v="1"/>
    <n v="9"/>
    <n v="10"/>
    <n v="8"/>
    <x v="0"/>
    <x v="1"/>
    <x v="0"/>
    <x v="1"/>
  </r>
  <r>
    <n v="15"/>
    <x v="0"/>
    <n v="5.4"/>
    <x v="1"/>
    <n v="5.2"/>
    <n v="0.6"/>
    <n v="3.65"/>
    <n v="1.5"/>
    <x v="0"/>
    <n v="7"/>
    <n v="9"/>
    <n v="10"/>
    <x v="1"/>
    <x v="0"/>
    <x v="1"/>
    <x v="1"/>
  </r>
  <r>
    <n v="17"/>
    <x v="1"/>
    <n v="3.5"/>
    <x v="2"/>
    <n v="8.5"/>
    <n v="2.2000000000000002"/>
    <n v="2.11"/>
    <n v="1.3"/>
    <x v="2"/>
    <n v="8"/>
    <n v="8"/>
    <n v="2"/>
    <x v="0"/>
    <x v="1"/>
    <x v="0"/>
    <x v="0"/>
  </r>
  <r>
    <n v="18"/>
    <x v="1"/>
    <n v="3"/>
    <x v="0"/>
    <n v="5"/>
    <n v="2"/>
    <n v="2.4500000000000002"/>
    <n v="1.2"/>
    <x v="2"/>
    <n v="1"/>
    <n v="10"/>
    <n v="7"/>
    <x v="0"/>
    <x v="1"/>
    <x v="1"/>
    <x v="1"/>
  </r>
  <r>
    <n v="13"/>
    <x v="1"/>
    <n v="3.3"/>
    <x v="2"/>
    <n v="7.4"/>
    <n v="0.9"/>
    <n v="2.5299999999999998"/>
    <n v="0.2"/>
    <x v="2"/>
    <n v="4"/>
    <n v="10"/>
    <n v="6"/>
    <x v="0"/>
    <x v="0"/>
    <x v="0"/>
    <x v="2"/>
  </r>
  <r>
    <n v="19"/>
    <x v="0"/>
    <n v="5.5"/>
    <x v="1"/>
    <n v="5.0999999999999996"/>
    <n v="2.7"/>
    <n v="2.56"/>
    <n v="1.4"/>
    <x v="0"/>
    <n v="2"/>
    <n v="3"/>
    <n v="7"/>
    <x v="0"/>
    <x v="1"/>
    <x v="1"/>
    <x v="1"/>
  </r>
  <r>
    <n v="15"/>
    <x v="0"/>
    <n v="3.8"/>
    <x v="2"/>
    <n v="8.3000000000000007"/>
    <n v="2.6"/>
    <n v="3.19"/>
    <n v="2"/>
    <x v="2"/>
    <n v="1"/>
    <n v="2"/>
    <n v="2"/>
    <x v="0"/>
    <x v="0"/>
    <x v="0"/>
    <x v="0"/>
  </r>
  <r>
    <n v="17"/>
    <x v="0"/>
    <n v="5.7"/>
    <x v="1"/>
    <n v="8.6999999999999993"/>
    <n v="2"/>
    <n v="3.14"/>
    <n v="1.7"/>
    <x v="0"/>
    <n v="1"/>
    <n v="9"/>
    <n v="8"/>
    <x v="0"/>
    <x v="1"/>
    <x v="0"/>
    <x v="1"/>
  </r>
  <r>
    <n v="13"/>
    <x v="1"/>
    <n v="4.7"/>
    <x v="1"/>
    <n v="8"/>
    <n v="1.1000000000000001"/>
    <n v="2.37"/>
    <n v="0.2"/>
    <x v="0"/>
    <n v="5"/>
    <n v="10"/>
    <n v="6"/>
    <x v="0"/>
    <x v="0"/>
    <x v="0"/>
    <x v="2"/>
  </r>
  <r>
    <n v="17"/>
    <x v="1"/>
    <n v="4"/>
    <x v="0"/>
    <n v="6.7"/>
    <n v="0.6"/>
    <n v="2.5099999999999998"/>
    <n v="1.5"/>
    <x v="1"/>
    <n v="9"/>
    <n v="8"/>
    <n v="5"/>
    <x v="0"/>
    <x v="1"/>
    <x v="0"/>
    <x v="2"/>
  </r>
  <r>
    <n v="16"/>
    <x v="0"/>
    <n v="5.3"/>
    <x v="1"/>
    <n v="6.8"/>
    <n v="0.7"/>
    <n v="3.9"/>
    <n v="1.5"/>
    <x v="0"/>
    <n v="5"/>
    <n v="8"/>
    <n v="3"/>
    <x v="0"/>
    <x v="1"/>
    <x v="0"/>
    <x v="0"/>
  </r>
  <r>
    <n v="17"/>
    <x v="0"/>
    <n v="3.8"/>
    <x v="0"/>
    <n v="4.7"/>
    <n v="1.2"/>
    <n v="3.7"/>
    <n v="1.4"/>
    <x v="1"/>
    <n v="2"/>
    <n v="2"/>
    <n v="5"/>
    <x v="0"/>
    <x v="1"/>
    <x v="1"/>
    <x v="2"/>
  </r>
  <r>
    <n v="16"/>
    <x v="1"/>
    <n v="6"/>
    <x v="2"/>
    <n v="4.0999999999999996"/>
    <n v="2.4"/>
    <n v="2.61"/>
    <n v="1.1000000000000001"/>
    <x v="1"/>
    <n v="1"/>
    <n v="6"/>
    <n v="3"/>
    <x v="0"/>
    <x v="1"/>
    <x v="1"/>
    <x v="0"/>
  </r>
  <r>
    <n v="15"/>
    <x v="0"/>
    <n v="2.2000000000000002"/>
    <x v="2"/>
    <n v="4.5"/>
    <n v="1.3"/>
    <n v="2.63"/>
    <n v="1.7"/>
    <x v="0"/>
    <n v="10"/>
    <n v="2"/>
    <n v="6"/>
    <x v="0"/>
    <x v="0"/>
    <x v="1"/>
    <x v="2"/>
  </r>
  <r>
    <n v="18"/>
    <x v="0"/>
    <n v="4.3"/>
    <x v="1"/>
    <n v="8.4"/>
    <n v="2.1"/>
    <n v="2.69"/>
    <n v="0.2"/>
    <x v="0"/>
    <n v="1"/>
    <n v="10"/>
    <n v="8"/>
    <x v="0"/>
    <x v="1"/>
    <x v="0"/>
    <x v="1"/>
  </r>
  <r>
    <n v="19"/>
    <x v="1"/>
    <n v="7.5"/>
    <x v="1"/>
    <n v="4.5"/>
    <n v="2.7"/>
    <n v="2.41"/>
    <n v="1"/>
    <x v="1"/>
    <n v="3"/>
    <n v="2"/>
    <n v="6"/>
    <x v="0"/>
    <x v="1"/>
    <x v="1"/>
    <x v="2"/>
  </r>
  <r>
    <n v="14"/>
    <x v="0"/>
    <n v="5.3"/>
    <x v="0"/>
    <n v="6.8"/>
    <n v="2.9"/>
    <n v="2.1800000000000002"/>
    <n v="0.8"/>
    <x v="2"/>
    <n v="10"/>
    <n v="1"/>
    <n v="6"/>
    <x v="0"/>
    <x v="0"/>
    <x v="0"/>
    <x v="2"/>
  </r>
  <r>
    <n v="14"/>
    <x v="1"/>
    <n v="7"/>
    <x v="0"/>
    <n v="6.9"/>
    <n v="2.1"/>
    <n v="3.42"/>
    <n v="1.1000000000000001"/>
    <x v="1"/>
    <n v="10"/>
    <n v="3"/>
    <n v="6"/>
    <x v="0"/>
    <x v="0"/>
    <x v="0"/>
    <x v="2"/>
  </r>
  <r>
    <n v="16"/>
    <x v="1"/>
    <n v="2.1"/>
    <x v="2"/>
    <n v="4.5999999999999996"/>
    <n v="2"/>
    <n v="2.5499999999999998"/>
    <n v="1.8"/>
    <x v="1"/>
    <n v="5"/>
    <n v="4"/>
    <n v="4"/>
    <x v="0"/>
    <x v="1"/>
    <x v="1"/>
    <x v="2"/>
  </r>
  <r>
    <n v="18"/>
    <x v="1"/>
    <n v="7.3"/>
    <x v="2"/>
    <n v="7.3"/>
    <n v="2.8"/>
    <n v="3.3"/>
    <n v="0.4"/>
    <x v="0"/>
    <n v="1"/>
    <n v="8"/>
    <n v="1"/>
    <x v="0"/>
    <x v="1"/>
    <x v="0"/>
    <x v="0"/>
  </r>
  <r>
    <n v="17"/>
    <x v="1"/>
    <n v="2.6"/>
    <x v="0"/>
    <n v="6.5"/>
    <n v="1.5"/>
    <n v="3.8"/>
    <n v="0.2"/>
    <x v="1"/>
    <n v="8"/>
    <n v="6"/>
    <n v="1"/>
    <x v="0"/>
    <x v="1"/>
    <x v="0"/>
    <x v="0"/>
  </r>
  <r>
    <n v="17"/>
    <x v="0"/>
    <n v="5.4"/>
    <x v="2"/>
    <n v="4.9000000000000004"/>
    <n v="1.5"/>
    <n v="3.4"/>
    <n v="0"/>
    <x v="2"/>
    <n v="2"/>
    <n v="2"/>
    <n v="1"/>
    <x v="0"/>
    <x v="1"/>
    <x v="1"/>
    <x v="0"/>
  </r>
  <r>
    <n v="15"/>
    <x v="0"/>
    <n v="6.9"/>
    <x v="0"/>
    <n v="6.2"/>
    <n v="0.6"/>
    <n v="2.37"/>
    <n v="0.2"/>
    <x v="0"/>
    <n v="3"/>
    <n v="1"/>
    <n v="4"/>
    <x v="0"/>
    <x v="0"/>
    <x v="0"/>
    <x v="2"/>
  </r>
  <r>
    <n v="19"/>
    <x v="1"/>
    <n v="3"/>
    <x v="0"/>
    <n v="5.5"/>
    <n v="2.1"/>
    <n v="3.08"/>
    <n v="0.7"/>
    <x v="0"/>
    <n v="9"/>
    <n v="3"/>
    <n v="5"/>
    <x v="0"/>
    <x v="1"/>
    <x v="1"/>
    <x v="2"/>
  </r>
  <r>
    <n v="18"/>
    <x v="0"/>
    <n v="1.3"/>
    <x v="0"/>
    <n v="4.5"/>
    <n v="2.2999999999999998"/>
    <n v="2.2799999999999998"/>
    <n v="1"/>
    <x v="0"/>
    <n v="2"/>
    <n v="7"/>
    <n v="8"/>
    <x v="0"/>
    <x v="1"/>
    <x v="1"/>
    <x v="1"/>
  </r>
  <r>
    <n v="15"/>
    <x v="0"/>
    <n v="6.2"/>
    <x v="2"/>
    <n v="6.4"/>
    <n v="1.4"/>
    <n v="3.34"/>
    <n v="0.9"/>
    <x v="1"/>
    <n v="8"/>
    <n v="9"/>
    <n v="9"/>
    <x v="0"/>
    <x v="0"/>
    <x v="0"/>
    <x v="1"/>
  </r>
  <r>
    <n v="15"/>
    <x v="0"/>
    <n v="3.6"/>
    <x v="0"/>
    <n v="5.5"/>
    <n v="1.2"/>
    <n v="2.4900000000000002"/>
    <n v="1.9"/>
    <x v="0"/>
    <n v="1"/>
    <n v="4"/>
    <n v="9"/>
    <x v="0"/>
    <x v="0"/>
    <x v="1"/>
    <x v="1"/>
  </r>
  <r>
    <n v="18"/>
    <x v="1"/>
    <n v="6.5"/>
    <x v="2"/>
    <n v="6.7"/>
    <n v="2.5"/>
    <n v="2.98"/>
    <n v="0.1"/>
    <x v="1"/>
    <n v="9"/>
    <n v="7"/>
    <n v="7"/>
    <x v="0"/>
    <x v="1"/>
    <x v="0"/>
    <x v="1"/>
  </r>
  <r>
    <n v="17"/>
    <x v="1"/>
    <n v="5.3"/>
    <x v="0"/>
    <n v="6.6"/>
    <n v="0.6"/>
    <n v="3.04"/>
    <n v="0.1"/>
    <x v="1"/>
    <n v="3"/>
    <n v="7"/>
    <n v="1"/>
    <x v="0"/>
    <x v="1"/>
    <x v="0"/>
    <x v="0"/>
  </r>
  <r>
    <n v="16"/>
    <x v="0"/>
    <n v="4.5999999999999996"/>
    <x v="2"/>
    <n v="5.3"/>
    <n v="1.3"/>
    <n v="3.76"/>
    <n v="0.5"/>
    <x v="2"/>
    <n v="3"/>
    <n v="8"/>
    <n v="8"/>
    <x v="0"/>
    <x v="1"/>
    <x v="1"/>
    <x v="1"/>
  </r>
  <r>
    <n v="18"/>
    <x v="0"/>
    <n v="7.7"/>
    <x v="2"/>
    <n v="6.6"/>
    <n v="1.6"/>
    <n v="4"/>
    <n v="1.9"/>
    <x v="1"/>
    <n v="3"/>
    <n v="3"/>
    <n v="9"/>
    <x v="0"/>
    <x v="1"/>
    <x v="0"/>
    <x v="1"/>
  </r>
  <r>
    <n v="19"/>
    <x v="0"/>
    <n v="7.1"/>
    <x v="1"/>
    <n v="8.4"/>
    <n v="1.8"/>
    <n v="2.93"/>
    <n v="1.3"/>
    <x v="2"/>
    <n v="1"/>
    <n v="6"/>
    <n v="8"/>
    <x v="0"/>
    <x v="1"/>
    <x v="0"/>
    <x v="1"/>
  </r>
  <r>
    <n v="16"/>
    <x v="0"/>
    <n v="3.9"/>
    <x v="1"/>
    <n v="7.5"/>
    <n v="2.1"/>
    <n v="3.24"/>
    <n v="0.9"/>
    <x v="0"/>
    <n v="4"/>
    <n v="3"/>
    <n v="2"/>
    <x v="0"/>
    <x v="1"/>
    <x v="0"/>
    <x v="0"/>
  </r>
  <r>
    <n v="19"/>
    <x v="1"/>
    <n v="7.5"/>
    <x v="1"/>
    <n v="8.6"/>
    <n v="0.9"/>
    <n v="2.25"/>
    <n v="1.6"/>
    <x v="1"/>
    <n v="9"/>
    <n v="8"/>
    <n v="4"/>
    <x v="0"/>
    <x v="1"/>
    <x v="0"/>
    <x v="2"/>
  </r>
  <r>
    <n v="18"/>
    <x v="0"/>
    <n v="5.8"/>
    <x v="1"/>
    <n v="7.5"/>
    <n v="2.2000000000000002"/>
    <n v="3.65"/>
    <n v="1.4"/>
    <x v="2"/>
    <n v="4"/>
    <n v="4"/>
    <n v="8"/>
    <x v="0"/>
    <x v="1"/>
    <x v="0"/>
    <x v="1"/>
  </r>
  <r>
    <n v="17"/>
    <x v="1"/>
    <n v="7.6"/>
    <x v="0"/>
    <n v="7.3"/>
    <n v="2.9"/>
    <n v="2.99"/>
    <n v="1.2"/>
    <x v="1"/>
    <n v="4"/>
    <n v="8"/>
    <n v="10"/>
    <x v="0"/>
    <x v="1"/>
    <x v="0"/>
    <x v="1"/>
  </r>
  <r>
    <n v="19"/>
    <x v="1"/>
    <n v="4.4000000000000004"/>
    <x v="0"/>
    <n v="7.4"/>
    <n v="2.8"/>
    <n v="3.28"/>
    <n v="1.5"/>
    <x v="2"/>
    <n v="7"/>
    <n v="5"/>
    <n v="4"/>
    <x v="0"/>
    <x v="1"/>
    <x v="0"/>
    <x v="2"/>
  </r>
  <r>
    <n v="19"/>
    <x v="0"/>
    <n v="4.5999999999999996"/>
    <x v="2"/>
    <n v="4.5999999999999996"/>
    <n v="2.5"/>
    <n v="2.4"/>
    <n v="1"/>
    <x v="1"/>
    <n v="10"/>
    <n v="10"/>
    <n v="8"/>
    <x v="0"/>
    <x v="1"/>
    <x v="1"/>
    <x v="1"/>
  </r>
  <r>
    <n v="18"/>
    <x v="1"/>
    <n v="7"/>
    <x v="2"/>
    <n v="8.9"/>
    <n v="0.7"/>
    <n v="2.79"/>
    <n v="0.4"/>
    <x v="2"/>
    <n v="2"/>
    <n v="10"/>
    <n v="8"/>
    <x v="0"/>
    <x v="1"/>
    <x v="0"/>
    <x v="1"/>
  </r>
  <r>
    <n v="16"/>
    <x v="1"/>
    <n v="3.6"/>
    <x v="1"/>
    <n v="8.8000000000000007"/>
    <n v="1.2"/>
    <n v="2.3199999999999998"/>
    <n v="0.5"/>
    <x v="0"/>
    <n v="2"/>
    <n v="4"/>
    <n v="5"/>
    <x v="0"/>
    <x v="1"/>
    <x v="0"/>
    <x v="2"/>
  </r>
  <r>
    <n v="15"/>
    <x v="1"/>
    <n v="3"/>
    <x v="1"/>
    <n v="6.6"/>
    <n v="0.9"/>
    <n v="2.69"/>
    <n v="1.8"/>
    <x v="2"/>
    <n v="1"/>
    <n v="2"/>
    <n v="2"/>
    <x v="0"/>
    <x v="0"/>
    <x v="0"/>
    <x v="0"/>
  </r>
  <r>
    <n v="19"/>
    <x v="1"/>
    <n v="7.2"/>
    <x v="0"/>
    <n v="6.4"/>
    <n v="2.9"/>
    <n v="3.82"/>
    <n v="1"/>
    <x v="2"/>
    <n v="5"/>
    <n v="4"/>
    <n v="5"/>
    <x v="0"/>
    <x v="1"/>
    <x v="0"/>
    <x v="2"/>
  </r>
  <r>
    <n v="15"/>
    <x v="1"/>
    <n v="5.6"/>
    <x v="2"/>
    <n v="5.9"/>
    <n v="2"/>
    <n v="2.97"/>
    <n v="0.6"/>
    <x v="0"/>
    <n v="9"/>
    <n v="3"/>
    <n v="3"/>
    <x v="0"/>
    <x v="0"/>
    <x v="1"/>
    <x v="0"/>
  </r>
  <r>
    <n v="14"/>
    <x v="1"/>
    <n v="2"/>
    <x v="0"/>
    <n v="4.7"/>
    <n v="1.1000000000000001"/>
    <n v="2.5099999999999998"/>
    <n v="0"/>
    <x v="1"/>
    <n v="2"/>
    <n v="9"/>
    <n v="4"/>
    <x v="0"/>
    <x v="0"/>
    <x v="1"/>
    <x v="2"/>
  </r>
  <r>
    <n v="14"/>
    <x v="1"/>
    <n v="4.4000000000000004"/>
    <x v="1"/>
    <n v="5.0999999999999996"/>
    <n v="2.8"/>
    <n v="2.2200000000000002"/>
    <n v="0.5"/>
    <x v="1"/>
    <n v="5"/>
    <n v="4"/>
    <n v="1"/>
    <x v="0"/>
    <x v="0"/>
    <x v="1"/>
    <x v="0"/>
  </r>
  <r>
    <n v="13"/>
    <x v="0"/>
    <n v="3.5"/>
    <x v="1"/>
    <n v="5.8"/>
    <n v="1.2"/>
    <n v="2.44"/>
    <n v="1.5"/>
    <x v="2"/>
    <n v="4"/>
    <n v="1"/>
    <n v="8"/>
    <x v="0"/>
    <x v="0"/>
    <x v="1"/>
    <x v="1"/>
  </r>
  <r>
    <n v="13"/>
    <x v="0"/>
    <n v="6.5"/>
    <x v="0"/>
    <n v="6.5"/>
    <n v="1.5"/>
    <n v="2.0499999999999998"/>
    <n v="0.5"/>
    <x v="0"/>
    <n v="3"/>
    <n v="9"/>
    <n v="4"/>
    <x v="0"/>
    <x v="0"/>
    <x v="0"/>
    <x v="2"/>
  </r>
  <r>
    <n v="14"/>
    <x v="0"/>
    <n v="4.4000000000000004"/>
    <x v="0"/>
    <n v="8.8000000000000007"/>
    <n v="2.2999999999999998"/>
    <n v="2.73"/>
    <n v="0.3"/>
    <x v="2"/>
    <n v="9"/>
    <n v="2"/>
    <n v="2"/>
    <x v="0"/>
    <x v="0"/>
    <x v="0"/>
    <x v="0"/>
  </r>
  <r>
    <n v="17"/>
    <x v="1"/>
    <n v="3.1"/>
    <x v="1"/>
    <n v="4.2"/>
    <n v="0.8"/>
    <n v="2.2799999999999998"/>
    <n v="1.6"/>
    <x v="2"/>
    <n v="4"/>
    <n v="9"/>
    <n v="6"/>
    <x v="0"/>
    <x v="1"/>
    <x v="1"/>
    <x v="2"/>
  </r>
  <r>
    <n v="15"/>
    <x v="0"/>
    <n v="7.8"/>
    <x v="2"/>
    <n v="4.2"/>
    <n v="2.1"/>
    <n v="3.42"/>
    <n v="0"/>
    <x v="0"/>
    <n v="10"/>
    <n v="7"/>
    <n v="9"/>
    <x v="1"/>
    <x v="0"/>
    <x v="1"/>
    <x v="1"/>
  </r>
  <r>
    <n v="19"/>
    <x v="1"/>
    <n v="2.1"/>
    <x v="2"/>
    <n v="4.4000000000000004"/>
    <n v="2.2000000000000002"/>
    <n v="2.4700000000000002"/>
    <n v="0.7"/>
    <x v="1"/>
    <n v="9"/>
    <n v="5"/>
    <n v="6"/>
    <x v="0"/>
    <x v="1"/>
    <x v="1"/>
    <x v="2"/>
  </r>
  <r>
    <n v="14"/>
    <x v="1"/>
    <n v="5.5"/>
    <x v="2"/>
    <n v="5.7"/>
    <n v="2.2999999999999998"/>
    <n v="3.05"/>
    <n v="1.3"/>
    <x v="2"/>
    <n v="7"/>
    <n v="8"/>
    <n v="5"/>
    <x v="1"/>
    <x v="0"/>
    <x v="1"/>
    <x v="2"/>
  </r>
  <r>
    <n v="15"/>
    <x v="1"/>
    <n v="5.7"/>
    <x v="0"/>
    <n v="7.2"/>
    <n v="2.4"/>
    <n v="2.1800000000000002"/>
    <n v="1.6"/>
    <x v="2"/>
    <n v="5"/>
    <n v="1"/>
    <n v="7"/>
    <x v="0"/>
    <x v="0"/>
    <x v="0"/>
    <x v="1"/>
  </r>
  <r>
    <n v="15"/>
    <x v="1"/>
    <n v="5"/>
    <x v="1"/>
    <n v="6.3"/>
    <n v="1.5"/>
    <n v="2.67"/>
    <n v="1.1000000000000001"/>
    <x v="1"/>
    <n v="6"/>
    <n v="2"/>
    <n v="5"/>
    <x v="0"/>
    <x v="0"/>
    <x v="0"/>
    <x v="2"/>
  </r>
  <r>
    <n v="16"/>
    <x v="1"/>
    <n v="7.5"/>
    <x v="2"/>
    <n v="4"/>
    <n v="0.5"/>
    <n v="3.72"/>
    <n v="1.1000000000000001"/>
    <x v="2"/>
    <n v="4"/>
    <n v="5"/>
    <n v="7"/>
    <x v="0"/>
    <x v="1"/>
    <x v="1"/>
    <x v="1"/>
  </r>
  <r>
    <n v="17"/>
    <x v="0"/>
    <n v="2.2000000000000002"/>
    <x v="1"/>
    <n v="7.1"/>
    <n v="1.1000000000000001"/>
    <n v="2.5"/>
    <n v="1.5"/>
    <x v="0"/>
    <n v="2"/>
    <n v="1"/>
    <n v="2"/>
    <x v="0"/>
    <x v="1"/>
    <x v="0"/>
    <x v="0"/>
  </r>
  <r>
    <n v="15"/>
    <x v="1"/>
    <n v="7.3"/>
    <x v="0"/>
    <n v="4.0999999999999996"/>
    <n v="2.1"/>
    <n v="2.87"/>
    <n v="0.4"/>
    <x v="0"/>
    <n v="10"/>
    <n v="10"/>
    <n v="1"/>
    <x v="1"/>
    <x v="0"/>
    <x v="1"/>
    <x v="0"/>
  </r>
  <r>
    <n v="17"/>
    <x v="0"/>
    <n v="2.7"/>
    <x v="0"/>
    <n v="7.5"/>
    <n v="1.5"/>
    <n v="3.23"/>
    <n v="1.4"/>
    <x v="0"/>
    <n v="5"/>
    <n v="7"/>
    <n v="3"/>
    <x v="0"/>
    <x v="1"/>
    <x v="0"/>
    <x v="0"/>
  </r>
  <r>
    <n v="18"/>
    <x v="0"/>
    <n v="1.6"/>
    <x v="0"/>
    <n v="8.6"/>
    <n v="2.6"/>
    <n v="3.53"/>
    <n v="0.1"/>
    <x v="2"/>
    <n v="8"/>
    <n v="8"/>
    <n v="10"/>
    <x v="0"/>
    <x v="1"/>
    <x v="0"/>
    <x v="1"/>
  </r>
  <r>
    <n v="14"/>
    <x v="0"/>
    <n v="4"/>
    <x v="1"/>
    <n v="4.9000000000000004"/>
    <n v="2.7"/>
    <n v="2.2999999999999998"/>
    <n v="0.5"/>
    <x v="1"/>
    <n v="7"/>
    <n v="8"/>
    <n v="6"/>
    <x v="0"/>
    <x v="0"/>
    <x v="1"/>
    <x v="2"/>
  </r>
  <r>
    <n v="18"/>
    <x v="1"/>
    <n v="6.3"/>
    <x v="2"/>
    <n v="4.7"/>
    <n v="2.4"/>
    <n v="2.2999999999999998"/>
    <n v="0.9"/>
    <x v="2"/>
    <n v="6"/>
    <n v="1"/>
    <n v="6"/>
    <x v="0"/>
    <x v="1"/>
    <x v="1"/>
    <x v="2"/>
  </r>
  <r>
    <n v="16"/>
    <x v="1"/>
    <n v="6.8"/>
    <x v="1"/>
    <n v="7.1"/>
    <n v="2.9"/>
    <n v="3.26"/>
    <n v="0.6"/>
    <x v="0"/>
    <n v="6"/>
    <n v="10"/>
    <n v="4"/>
    <x v="0"/>
    <x v="1"/>
    <x v="0"/>
    <x v="2"/>
  </r>
  <r>
    <n v="18"/>
    <x v="1"/>
    <n v="6.6"/>
    <x v="2"/>
    <n v="8.1"/>
    <n v="2"/>
    <n v="3.59"/>
    <n v="1.6"/>
    <x v="0"/>
    <n v="9"/>
    <n v="4"/>
    <n v="3"/>
    <x v="0"/>
    <x v="1"/>
    <x v="0"/>
    <x v="0"/>
  </r>
  <r>
    <n v="13"/>
    <x v="0"/>
    <n v="4"/>
    <x v="0"/>
    <n v="4.2"/>
    <n v="0.9"/>
    <n v="2.75"/>
    <n v="1"/>
    <x v="1"/>
    <n v="5"/>
    <n v="4"/>
    <n v="8"/>
    <x v="0"/>
    <x v="0"/>
    <x v="1"/>
    <x v="1"/>
  </r>
  <r>
    <n v="13"/>
    <x v="0"/>
    <n v="1.6"/>
    <x v="1"/>
    <n v="5"/>
    <n v="2.7"/>
    <n v="2.31"/>
    <n v="1.9"/>
    <x v="0"/>
    <n v="8"/>
    <n v="9"/>
    <n v="5"/>
    <x v="0"/>
    <x v="0"/>
    <x v="1"/>
    <x v="2"/>
  </r>
  <r>
    <n v="18"/>
    <x v="0"/>
    <n v="5.3"/>
    <x v="2"/>
    <n v="8.1999999999999993"/>
    <n v="1.9"/>
    <n v="3.87"/>
    <n v="1.9"/>
    <x v="0"/>
    <n v="2"/>
    <n v="9"/>
    <n v="8"/>
    <x v="0"/>
    <x v="1"/>
    <x v="0"/>
    <x v="1"/>
  </r>
  <r>
    <n v="19"/>
    <x v="1"/>
    <n v="7.4"/>
    <x v="2"/>
    <n v="4.4000000000000004"/>
    <n v="1.4"/>
    <n v="3.78"/>
    <n v="1.1000000000000001"/>
    <x v="0"/>
    <n v="9"/>
    <n v="7"/>
    <n v="5"/>
    <x v="1"/>
    <x v="1"/>
    <x v="1"/>
    <x v="2"/>
  </r>
  <r>
    <n v="18"/>
    <x v="1"/>
    <n v="2.2999999999999998"/>
    <x v="0"/>
    <n v="8.6999999999999993"/>
    <n v="0.6"/>
    <n v="2.76"/>
    <n v="1.9"/>
    <x v="1"/>
    <n v="4"/>
    <n v="8"/>
    <n v="7"/>
    <x v="0"/>
    <x v="1"/>
    <x v="0"/>
    <x v="1"/>
  </r>
  <r>
    <n v="16"/>
    <x v="0"/>
    <n v="7.6"/>
    <x v="2"/>
    <n v="6.1"/>
    <n v="0.8"/>
    <n v="3.09"/>
    <n v="1.3"/>
    <x v="0"/>
    <n v="8"/>
    <n v="4"/>
    <n v="4"/>
    <x v="0"/>
    <x v="1"/>
    <x v="0"/>
    <x v="2"/>
  </r>
  <r>
    <n v="16"/>
    <x v="1"/>
    <n v="7.6"/>
    <x v="1"/>
    <n v="7.6"/>
    <n v="2.4"/>
    <n v="2.2400000000000002"/>
    <n v="1.1000000000000001"/>
    <x v="2"/>
    <n v="1"/>
    <n v="5"/>
    <n v="5"/>
    <x v="0"/>
    <x v="1"/>
    <x v="0"/>
    <x v="2"/>
  </r>
  <r>
    <n v="17"/>
    <x v="1"/>
    <n v="3.4"/>
    <x v="2"/>
    <n v="4.7"/>
    <n v="0.5"/>
    <n v="2.91"/>
    <n v="2"/>
    <x v="1"/>
    <n v="2"/>
    <n v="8"/>
    <n v="1"/>
    <x v="0"/>
    <x v="1"/>
    <x v="1"/>
    <x v="0"/>
  </r>
  <r>
    <n v="18"/>
    <x v="1"/>
    <n v="2.2999999999999998"/>
    <x v="0"/>
    <n v="4.2"/>
    <n v="0.9"/>
    <n v="3.84"/>
    <n v="1.3"/>
    <x v="1"/>
    <n v="6"/>
    <n v="6"/>
    <n v="10"/>
    <x v="0"/>
    <x v="1"/>
    <x v="1"/>
    <x v="1"/>
  </r>
  <r>
    <n v="18"/>
    <x v="0"/>
    <n v="5"/>
    <x v="0"/>
    <n v="4.3"/>
    <n v="1.1000000000000001"/>
    <n v="2.2200000000000002"/>
    <n v="0.1"/>
    <x v="1"/>
    <n v="7"/>
    <n v="2"/>
    <n v="2"/>
    <x v="0"/>
    <x v="1"/>
    <x v="1"/>
    <x v="0"/>
  </r>
  <r>
    <n v="15"/>
    <x v="0"/>
    <n v="3.8"/>
    <x v="1"/>
    <n v="7.1"/>
    <n v="0.5"/>
    <n v="3.08"/>
    <n v="0.2"/>
    <x v="2"/>
    <n v="2"/>
    <n v="9"/>
    <n v="7"/>
    <x v="0"/>
    <x v="0"/>
    <x v="0"/>
    <x v="1"/>
  </r>
  <r>
    <n v="16"/>
    <x v="0"/>
    <n v="3.7"/>
    <x v="0"/>
    <n v="7.6"/>
    <n v="1.2"/>
    <n v="3.2"/>
    <n v="1"/>
    <x v="2"/>
    <n v="4"/>
    <n v="8"/>
    <n v="6"/>
    <x v="0"/>
    <x v="1"/>
    <x v="0"/>
    <x v="2"/>
  </r>
  <r>
    <n v="13"/>
    <x v="0"/>
    <n v="1.4"/>
    <x v="2"/>
    <n v="8.6"/>
    <n v="2.4"/>
    <n v="3.31"/>
    <n v="0.7"/>
    <x v="0"/>
    <n v="2"/>
    <n v="6"/>
    <n v="2"/>
    <x v="0"/>
    <x v="0"/>
    <x v="0"/>
    <x v="0"/>
  </r>
  <r>
    <n v="18"/>
    <x v="0"/>
    <n v="1.8"/>
    <x v="2"/>
    <n v="4.9000000000000004"/>
    <n v="2.7"/>
    <n v="2.12"/>
    <n v="0.2"/>
    <x v="0"/>
    <n v="1"/>
    <n v="3"/>
    <n v="8"/>
    <x v="0"/>
    <x v="1"/>
    <x v="1"/>
    <x v="1"/>
  </r>
  <r>
    <n v="19"/>
    <x v="0"/>
    <n v="1.5"/>
    <x v="1"/>
    <n v="5.8"/>
    <n v="1.1000000000000001"/>
    <n v="3.29"/>
    <n v="1.7"/>
    <x v="1"/>
    <n v="6"/>
    <n v="4"/>
    <n v="2"/>
    <x v="0"/>
    <x v="1"/>
    <x v="1"/>
    <x v="0"/>
  </r>
  <r>
    <n v="18"/>
    <x v="1"/>
    <n v="5.5"/>
    <x v="2"/>
    <n v="5.5"/>
    <n v="1.8"/>
    <n v="2.2400000000000002"/>
    <n v="0"/>
    <x v="1"/>
    <n v="3"/>
    <n v="4"/>
    <n v="10"/>
    <x v="0"/>
    <x v="1"/>
    <x v="1"/>
    <x v="1"/>
  </r>
  <r>
    <n v="15"/>
    <x v="0"/>
    <n v="4.9000000000000004"/>
    <x v="2"/>
    <n v="5.2"/>
    <n v="0.7"/>
    <n v="2.5499999999999998"/>
    <n v="0.1"/>
    <x v="0"/>
    <n v="10"/>
    <n v="6"/>
    <n v="4"/>
    <x v="0"/>
    <x v="0"/>
    <x v="1"/>
    <x v="2"/>
  </r>
  <r>
    <n v="14"/>
    <x v="1"/>
    <n v="7.2"/>
    <x v="2"/>
    <n v="7"/>
    <n v="2.2999999999999998"/>
    <n v="3.74"/>
    <n v="0.7"/>
    <x v="0"/>
    <n v="8"/>
    <n v="4"/>
    <n v="7"/>
    <x v="0"/>
    <x v="0"/>
    <x v="0"/>
    <x v="1"/>
  </r>
  <r>
    <n v="16"/>
    <x v="1"/>
    <n v="6.8"/>
    <x v="0"/>
    <n v="7.2"/>
    <n v="1.1000000000000001"/>
    <n v="2.29"/>
    <n v="1.9"/>
    <x v="0"/>
    <n v="8"/>
    <n v="5"/>
    <n v="9"/>
    <x v="0"/>
    <x v="1"/>
    <x v="0"/>
    <x v="1"/>
  </r>
  <r>
    <n v="13"/>
    <x v="1"/>
    <n v="2.2000000000000002"/>
    <x v="2"/>
    <n v="7.7"/>
    <n v="2.1"/>
    <n v="2.33"/>
    <n v="1.7"/>
    <x v="0"/>
    <n v="2"/>
    <n v="8"/>
    <n v="7"/>
    <x v="0"/>
    <x v="0"/>
    <x v="0"/>
    <x v="1"/>
  </r>
  <r>
    <n v="16"/>
    <x v="1"/>
    <n v="5.9"/>
    <x v="1"/>
    <n v="7"/>
    <n v="0.8"/>
    <n v="2.29"/>
    <n v="1.6"/>
    <x v="0"/>
    <n v="6"/>
    <n v="8"/>
    <n v="1"/>
    <x v="0"/>
    <x v="1"/>
    <x v="0"/>
    <x v="0"/>
  </r>
  <r>
    <n v="15"/>
    <x v="1"/>
    <n v="2.2000000000000002"/>
    <x v="0"/>
    <n v="7.5"/>
    <n v="1.4"/>
    <n v="3.19"/>
    <n v="1.8"/>
    <x v="0"/>
    <n v="6"/>
    <n v="1"/>
    <n v="7"/>
    <x v="0"/>
    <x v="0"/>
    <x v="0"/>
    <x v="1"/>
  </r>
  <r>
    <n v="19"/>
    <x v="1"/>
    <n v="2.4"/>
    <x v="0"/>
    <n v="4.2"/>
    <n v="1.2"/>
    <n v="3.87"/>
    <n v="1.3"/>
    <x v="0"/>
    <n v="1"/>
    <n v="9"/>
    <n v="5"/>
    <x v="0"/>
    <x v="1"/>
    <x v="1"/>
    <x v="2"/>
  </r>
  <r>
    <n v="15"/>
    <x v="0"/>
    <n v="4.0999999999999996"/>
    <x v="0"/>
    <n v="7.6"/>
    <n v="1"/>
    <n v="2.17"/>
    <n v="1.1000000000000001"/>
    <x v="0"/>
    <n v="4"/>
    <n v="5"/>
    <n v="1"/>
    <x v="0"/>
    <x v="0"/>
    <x v="0"/>
    <x v="0"/>
  </r>
  <r>
    <n v="18"/>
    <x v="1"/>
    <n v="4.5"/>
    <x v="0"/>
    <n v="7"/>
    <n v="2.7"/>
    <n v="2.89"/>
    <n v="1.8"/>
    <x v="1"/>
    <n v="1"/>
    <n v="1"/>
    <n v="2"/>
    <x v="0"/>
    <x v="1"/>
    <x v="0"/>
    <x v="0"/>
  </r>
  <r>
    <n v="14"/>
    <x v="1"/>
    <n v="4.5999999999999996"/>
    <x v="0"/>
    <n v="5.9"/>
    <n v="1.4"/>
    <n v="2.15"/>
    <n v="0.3"/>
    <x v="1"/>
    <n v="3"/>
    <n v="10"/>
    <n v="2"/>
    <x v="0"/>
    <x v="0"/>
    <x v="1"/>
    <x v="0"/>
  </r>
  <r>
    <n v="17"/>
    <x v="1"/>
    <n v="4.5"/>
    <x v="2"/>
    <n v="6.1"/>
    <n v="2.8"/>
    <n v="3.38"/>
    <n v="1.2"/>
    <x v="0"/>
    <n v="10"/>
    <n v="4"/>
    <n v="2"/>
    <x v="0"/>
    <x v="1"/>
    <x v="0"/>
    <x v="0"/>
  </r>
  <r>
    <n v="13"/>
    <x v="0"/>
    <n v="5"/>
    <x v="0"/>
    <n v="5.2"/>
    <n v="2.6"/>
    <n v="2.04"/>
    <n v="1.7"/>
    <x v="2"/>
    <n v="4"/>
    <n v="4"/>
    <n v="5"/>
    <x v="0"/>
    <x v="0"/>
    <x v="1"/>
    <x v="2"/>
  </r>
  <r>
    <n v="19"/>
    <x v="1"/>
    <n v="4.0999999999999996"/>
    <x v="2"/>
    <n v="6.4"/>
    <n v="1.4"/>
    <n v="2.2599999999999998"/>
    <n v="1.6"/>
    <x v="1"/>
    <n v="2"/>
    <n v="3"/>
    <n v="6"/>
    <x v="0"/>
    <x v="1"/>
    <x v="0"/>
    <x v="2"/>
  </r>
  <r>
    <n v="18"/>
    <x v="0"/>
    <n v="7.5"/>
    <x v="1"/>
    <n v="7.6"/>
    <n v="1.8"/>
    <n v="3.19"/>
    <n v="1.7"/>
    <x v="1"/>
    <n v="2"/>
    <n v="6"/>
    <n v="6"/>
    <x v="0"/>
    <x v="1"/>
    <x v="0"/>
    <x v="2"/>
  </r>
  <r>
    <n v="18"/>
    <x v="0"/>
    <n v="4.2"/>
    <x v="0"/>
    <n v="5.5"/>
    <n v="1.8"/>
    <n v="3.83"/>
    <n v="1.9"/>
    <x v="0"/>
    <n v="3"/>
    <n v="8"/>
    <n v="8"/>
    <x v="0"/>
    <x v="1"/>
    <x v="1"/>
    <x v="1"/>
  </r>
  <r>
    <n v="14"/>
    <x v="1"/>
    <n v="7.2"/>
    <x v="2"/>
    <n v="5"/>
    <n v="2.9"/>
    <n v="3.76"/>
    <n v="0.4"/>
    <x v="2"/>
    <n v="7"/>
    <n v="4"/>
    <n v="2"/>
    <x v="0"/>
    <x v="0"/>
    <x v="1"/>
    <x v="0"/>
  </r>
  <r>
    <n v="13"/>
    <x v="0"/>
    <n v="4.8"/>
    <x v="0"/>
    <n v="6"/>
    <n v="0.6"/>
    <n v="2.41"/>
    <n v="0"/>
    <x v="1"/>
    <n v="3"/>
    <n v="6"/>
    <n v="9"/>
    <x v="0"/>
    <x v="0"/>
    <x v="1"/>
    <x v="1"/>
  </r>
  <r>
    <n v="17"/>
    <x v="1"/>
    <n v="7.3"/>
    <x v="0"/>
    <n v="6.7"/>
    <n v="1"/>
    <n v="3.41"/>
    <n v="1.7"/>
    <x v="2"/>
    <n v="6"/>
    <n v="5"/>
    <n v="2"/>
    <x v="0"/>
    <x v="1"/>
    <x v="0"/>
    <x v="0"/>
  </r>
  <r>
    <n v="13"/>
    <x v="0"/>
    <n v="3.9"/>
    <x v="2"/>
    <n v="4.5"/>
    <n v="1.6"/>
    <n v="2.02"/>
    <n v="0.6"/>
    <x v="1"/>
    <n v="6"/>
    <n v="6"/>
    <n v="5"/>
    <x v="0"/>
    <x v="0"/>
    <x v="1"/>
    <x v="2"/>
  </r>
  <r>
    <n v="15"/>
    <x v="1"/>
    <n v="5.5"/>
    <x v="2"/>
    <n v="4"/>
    <n v="2.4"/>
    <n v="3.01"/>
    <n v="0.9"/>
    <x v="0"/>
    <n v="10"/>
    <n v="3"/>
    <n v="2"/>
    <x v="0"/>
    <x v="0"/>
    <x v="1"/>
    <x v="0"/>
  </r>
  <r>
    <n v="15"/>
    <x v="0"/>
    <n v="7.5"/>
    <x v="2"/>
    <n v="6.3"/>
    <n v="2.8"/>
    <n v="3.04"/>
    <n v="1.8"/>
    <x v="0"/>
    <n v="1"/>
    <n v="5"/>
    <n v="8"/>
    <x v="0"/>
    <x v="0"/>
    <x v="0"/>
    <x v="1"/>
  </r>
  <r>
    <n v="17"/>
    <x v="0"/>
    <n v="1.8"/>
    <x v="0"/>
    <n v="6.9"/>
    <n v="2.7"/>
    <n v="2.5299999999999998"/>
    <n v="1.7"/>
    <x v="1"/>
    <n v="2"/>
    <n v="2"/>
    <n v="7"/>
    <x v="0"/>
    <x v="1"/>
    <x v="0"/>
    <x v="1"/>
  </r>
  <r>
    <n v="16"/>
    <x v="0"/>
    <n v="2.6"/>
    <x v="0"/>
    <n v="5.0999999999999996"/>
    <n v="0.9"/>
    <n v="2.57"/>
    <n v="1.4"/>
    <x v="2"/>
    <n v="8"/>
    <n v="5"/>
    <n v="8"/>
    <x v="0"/>
    <x v="1"/>
    <x v="1"/>
    <x v="1"/>
  </r>
  <r>
    <n v="17"/>
    <x v="1"/>
    <n v="5.5"/>
    <x v="2"/>
    <n v="6"/>
    <n v="2.8"/>
    <n v="3.4"/>
    <n v="0"/>
    <x v="2"/>
    <n v="2"/>
    <n v="3"/>
    <n v="8"/>
    <x v="0"/>
    <x v="1"/>
    <x v="1"/>
    <x v="1"/>
  </r>
  <r>
    <n v="15"/>
    <x v="1"/>
    <n v="3.6"/>
    <x v="1"/>
    <n v="7.1"/>
    <n v="0.9"/>
    <n v="2.84"/>
    <n v="0.3"/>
    <x v="0"/>
    <n v="1"/>
    <n v="9"/>
    <n v="4"/>
    <x v="0"/>
    <x v="0"/>
    <x v="0"/>
    <x v="2"/>
  </r>
  <r>
    <n v="19"/>
    <x v="1"/>
    <n v="7.6"/>
    <x v="2"/>
    <n v="5.4"/>
    <n v="1.9"/>
    <n v="2.56"/>
    <n v="1.4"/>
    <x v="0"/>
    <n v="2"/>
    <n v="7"/>
    <n v="9"/>
    <x v="0"/>
    <x v="1"/>
    <x v="1"/>
    <x v="1"/>
  </r>
  <r>
    <n v="13"/>
    <x v="0"/>
    <n v="7.9"/>
    <x v="0"/>
    <n v="7.1"/>
    <n v="0.7"/>
    <n v="2.8"/>
    <n v="0.3"/>
    <x v="2"/>
    <n v="6"/>
    <n v="8"/>
    <n v="8"/>
    <x v="0"/>
    <x v="0"/>
    <x v="0"/>
    <x v="1"/>
  </r>
  <r>
    <n v="15"/>
    <x v="0"/>
    <n v="2.6"/>
    <x v="2"/>
    <n v="6.8"/>
    <n v="1.7"/>
    <n v="2.06"/>
    <n v="0.4"/>
    <x v="2"/>
    <n v="8"/>
    <n v="6"/>
    <n v="6"/>
    <x v="0"/>
    <x v="0"/>
    <x v="0"/>
    <x v="2"/>
  </r>
  <r>
    <n v="19"/>
    <x v="0"/>
    <n v="5.7"/>
    <x v="1"/>
    <n v="6.4"/>
    <n v="0.9"/>
    <n v="3.57"/>
    <n v="1.5"/>
    <x v="1"/>
    <n v="3"/>
    <n v="7"/>
    <n v="2"/>
    <x v="0"/>
    <x v="1"/>
    <x v="0"/>
    <x v="0"/>
  </r>
  <r>
    <n v="13"/>
    <x v="1"/>
    <n v="7.1"/>
    <x v="0"/>
    <n v="5.7"/>
    <n v="1.2"/>
    <n v="3.83"/>
    <n v="2"/>
    <x v="2"/>
    <n v="2"/>
    <n v="8"/>
    <n v="7"/>
    <x v="0"/>
    <x v="0"/>
    <x v="1"/>
    <x v="1"/>
  </r>
  <r>
    <n v="13"/>
    <x v="1"/>
    <n v="1.3"/>
    <x v="1"/>
    <n v="8.6999999999999993"/>
    <n v="0.9"/>
    <n v="4"/>
    <n v="0.1"/>
    <x v="0"/>
    <n v="10"/>
    <n v="9"/>
    <n v="9"/>
    <x v="0"/>
    <x v="0"/>
    <x v="0"/>
    <x v="1"/>
  </r>
  <r>
    <n v="13"/>
    <x v="1"/>
    <n v="1.1000000000000001"/>
    <x v="2"/>
    <n v="6.7"/>
    <n v="2"/>
    <n v="3.63"/>
    <n v="0.2"/>
    <x v="2"/>
    <n v="3"/>
    <n v="10"/>
    <n v="5"/>
    <x v="0"/>
    <x v="0"/>
    <x v="0"/>
    <x v="2"/>
  </r>
  <r>
    <n v="13"/>
    <x v="1"/>
    <n v="3.3"/>
    <x v="1"/>
    <n v="9"/>
    <n v="0.7"/>
    <n v="2.4900000000000002"/>
    <n v="0.6"/>
    <x v="2"/>
    <n v="3"/>
    <n v="6"/>
    <n v="4"/>
    <x v="0"/>
    <x v="0"/>
    <x v="0"/>
    <x v="2"/>
  </r>
  <r>
    <n v="16"/>
    <x v="0"/>
    <n v="7.4"/>
    <x v="2"/>
    <n v="7.2"/>
    <n v="1.8"/>
    <n v="2.11"/>
    <n v="1.4"/>
    <x v="2"/>
    <n v="3"/>
    <n v="7"/>
    <n v="3"/>
    <x v="0"/>
    <x v="1"/>
    <x v="0"/>
    <x v="0"/>
  </r>
  <r>
    <n v="13"/>
    <x v="0"/>
    <n v="5.8"/>
    <x v="1"/>
    <n v="8.3000000000000007"/>
    <n v="2.8"/>
    <n v="2.63"/>
    <n v="0.6"/>
    <x v="1"/>
    <n v="5"/>
    <n v="3"/>
    <n v="7"/>
    <x v="0"/>
    <x v="0"/>
    <x v="0"/>
    <x v="1"/>
  </r>
  <r>
    <n v="18"/>
    <x v="1"/>
    <n v="4.5999999999999996"/>
    <x v="1"/>
    <n v="6.8"/>
    <n v="1.5"/>
    <n v="2.4"/>
    <n v="1.4"/>
    <x v="2"/>
    <n v="5"/>
    <n v="10"/>
    <n v="2"/>
    <x v="0"/>
    <x v="1"/>
    <x v="0"/>
    <x v="0"/>
  </r>
  <r>
    <n v="18"/>
    <x v="1"/>
    <n v="2.5"/>
    <x v="1"/>
    <n v="7.1"/>
    <n v="1.6"/>
    <n v="3.97"/>
    <n v="0.7"/>
    <x v="2"/>
    <n v="10"/>
    <n v="7"/>
    <n v="3"/>
    <x v="0"/>
    <x v="1"/>
    <x v="0"/>
    <x v="0"/>
  </r>
  <r>
    <n v="18"/>
    <x v="0"/>
    <n v="4"/>
    <x v="2"/>
    <n v="8"/>
    <n v="2"/>
    <n v="3.04"/>
    <n v="1.4"/>
    <x v="1"/>
    <n v="3"/>
    <n v="1"/>
    <n v="8"/>
    <x v="0"/>
    <x v="1"/>
    <x v="0"/>
    <x v="1"/>
  </r>
  <r>
    <n v="17"/>
    <x v="1"/>
    <n v="6.6"/>
    <x v="2"/>
    <n v="8"/>
    <n v="1.9"/>
    <n v="2.86"/>
    <n v="0.4"/>
    <x v="2"/>
    <n v="4"/>
    <n v="8"/>
    <n v="5"/>
    <x v="0"/>
    <x v="1"/>
    <x v="0"/>
    <x v="2"/>
  </r>
  <r>
    <n v="14"/>
    <x v="1"/>
    <n v="2.9"/>
    <x v="1"/>
    <n v="5.8"/>
    <n v="1.6"/>
    <n v="3.34"/>
    <n v="1.1000000000000001"/>
    <x v="2"/>
    <n v="6"/>
    <n v="10"/>
    <n v="3"/>
    <x v="0"/>
    <x v="0"/>
    <x v="1"/>
    <x v="0"/>
  </r>
  <r>
    <n v="14"/>
    <x v="0"/>
    <n v="7.2"/>
    <x v="1"/>
    <n v="5.7"/>
    <n v="2.7"/>
    <n v="2.76"/>
    <n v="0.4"/>
    <x v="0"/>
    <n v="7"/>
    <n v="3"/>
    <n v="7"/>
    <x v="0"/>
    <x v="0"/>
    <x v="1"/>
    <x v="1"/>
  </r>
  <r>
    <n v="13"/>
    <x v="1"/>
    <n v="2.9"/>
    <x v="0"/>
    <n v="5.3"/>
    <n v="1"/>
    <n v="3.89"/>
    <n v="1.7"/>
    <x v="1"/>
    <n v="9"/>
    <n v="2"/>
    <n v="4"/>
    <x v="0"/>
    <x v="0"/>
    <x v="1"/>
    <x v="2"/>
  </r>
  <r>
    <n v="15"/>
    <x v="1"/>
    <n v="7.3"/>
    <x v="2"/>
    <n v="5.7"/>
    <n v="2.9"/>
    <n v="3.48"/>
    <n v="1.8"/>
    <x v="2"/>
    <n v="2"/>
    <n v="7"/>
    <n v="8"/>
    <x v="0"/>
    <x v="0"/>
    <x v="1"/>
    <x v="1"/>
  </r>
  <r>
    <n v="16"/>
    <x v="1"/>
    <n v="3.7"/>
    <x v="1"/>
    <n v="9"/>
    <n v="1.5"/>
    <n v="3.37"/>
    <n v="1.9"/>
    <x v="0"/>
    <n v="4"/>
    <n v="3"/>
    <n v="1"/>
    <x v="0"/>
    <x v="1"/>
    <x v="0"/>
    <x v="0"/>
  </r>
  <r>
    <n v="16"/>
    <x v="0"/>
    <n v="7"/>
    <x v="0"/>
    <n v="4.8"/>
    <n v="1.7"/>
    <n v="2.9"/>
    <n v="0.3"/>
    <x v="0"/>
    <n v="4"/>
    <n v="1"/>
    <n v="8"/>
    <x v="0"/>
    <x v="1"/>
    <x v="1"/>
    <x v="1"/>
  </r>
  <r>
    <n v="15"/>
    <x v="0"/>
    <n v="4"/>
    <x v="1"/>
    <n v="8.4"/>
    <n v="2.2999999999999998"/>
    <n v="2.52"/>
    <n v="0.9"/>
    <x v="0"/>
    <n v="4"/>
    <n v="5"/>
    <n v="3"/>
    <x v="0"/>
    <x v="0"/>
    <x v="0"/>
    <x v="0"/>
  </r>
  <r>
    <n v="16"/>
    <x v="0"/>
    <n v="2.7"/>
    <x v="2"/>
    <n v="7.5"/>
    <n v="2.8"/>
    <n v="3.53"/>
    <n v="0.9"/>
    <x v="2"/>
    <n v="3"/>
    <n v="1"/>
    <n v="5"/>
    <x v="0"/>
    <x v="1"/>
    <x v="0"/>
    <x v="2"/>
  </r>
  <r>
    <n v="15"/>
    <x v="0"/>
    <n v="7.2"/>
    <x v="2"/>
    <n v="5.7"/>
    <n v="0.7"/>
    <n v="3.89"/>
    <n v="1"/>
    <x v="2"/>
    <n v="1"/>
    <n v="3"/>
    <n v="6"/>
    <x v="0"/>
    <x v="0"/>
    <x v="1"/>
    <x v="2"/>
  </r>
  <r>
    <n v="18"/>
    <x v="0"/>
    <n v="7.9"/>
    <x v="2"/>
    <n v="7"/>
    <n v="2.7"/>
    <n v="3.9"/>
    <n v="1"/>
    <x v="2"/>
    <n v="1"/>
    <n v="2"/>
    <n v="10"/>
    <x v="0"/>
    <x v="1"/>
    <x v="0"/>
    <x v="1"/>
  </r>
  <r>
    <n v="14"/>
    <x v="1"/>
    <n v="5.0999999999999996"/>
    <x v="0"/>
    <n v="5.3"/>
    <n v="2.2999999999999998"/>
    <n v="2.31"/>
    <n v="0.2"/>
    <x v="1"/>
    <n v="3"/>
    <n v="3"/>
    <n v="6"/>
    <x v="0"/>
    <x v="0"/>
    <x v="1"/>
    <x v="2"/>
  </r>
  <r>
    <n v="15"/>
    <x v="1"/>
    <n v="6.4"/>
    <x v="2"/>
    <n v="7.7"/>
    <n v="0.7"/>
    <n v="3.86"/>
    <n v="1.5"/>
    <x v="1"/>
    <n v="10"/>
    <n v="2"/>
    <n v="7"/>
    <x v="0"/>
    <x v="0"/>
    <x v="0"/>
    <x v="1"/>
  </r>
  <r>
    <n v="16"/>
    <x v="1"/>
    <n v="4.4000000000000004"/>
    <x v="2"/>
    <n v="4.2"/>
    <n v="2"/>
    <n v="3.89"/>
    <n v="1.1000000000000001"/>
    <x v="2"/>
    <n v="2"/>
    <n v="9"/>
    <n v="8"/>
    <x v="0"/>
    <x v="1"/>
    <x v="1"/>
    <x v="1"/>
  </r>
  <r>
    <n v="16"/>
    <x v="0"/>
    <n v="7"/>
    <x v="1"/>
    <n v="7.4"/>
    <n v="2.6"/>
    <n v="2.92"/>
    <n v="1"/>
    <x v="2"/>
    <n v="10"/>
    <n v="6"/>
    <n v="3"/>
    <x v="0"/>
    <x v="1"/>
    <x v="0"/>
    <x v="0"/>
  </r>
  <r>
    <n v="17"/>
    <x v="1"/>
    <n v="7.8"/>
    <x v="1"/>
    <n v="5.7"/>
    <n v="1.2"/>
    <n v="3.72"/>
    <n v="1.2"/>
    <x v="1"/>
    <n v="10"/>
    <n v="2"/>
    <n v="6"/>
    <x v="0"/>
    <x v="1"/>
    <x v="1"/>
    <x v="2"/>
  </r>
  <r>
    <n v="14"/>
    <x v="1"/>
    <n v="5"/>
    <x v="0"/>
    <n v="6.2"/>
    <n v="1"/>
    <n v="2"/>
    <n v="1.5"/>
    <x v="0"/>
    <n v="5"/>
    <n v="6"/>
    <n v="1"/>
    <x v="0"/>
    <x v="0"/>
    <x v="0"/>
    <x v="0"/>
  </r>
  <r>
    <n v="17"/>
    <x v="0"/>
    <n v="6.6"/>
    <x v="1"/>
    <n v="5.3"/>
    <n v="1.1000000000000001"/>
    <n v="3.5"/>
    <n v="1.7"/>
    <x v="2"/>
    <n v="1"/>
    <n v="10"/>
    <n v="7"/>
    <x v="0"/>
    <x v="1"/>
    <x v="1"/>
    <x v="1"/>
  </r>
  <r>
    <n v="18"/>
    <x v="0"/>
    <n v="2.6"/>
    <x v="2"/>
    <n v="8.6"/>
    <n v="2.7"/>
    <n v="3.28"/>
    <n v="0.8"/>
    <x v="1"/>
    <n v="5"/>
    <n v="4"/>
    <n v="6"/>
    <x v="0"/>
    <x v="1"/>
    <x v="0"/>
    <x v="2"/>
  </r>
  <r>
    <n v="13"/>
    <x v="1"/>
    <n v="5.8"/>
    <x v="0"/>
    <n v="4.4000000000000004"/>
    <n v="1.8"/>
    <n v="3.8"/>
    <n v="1"/>
    <x v="1"/>
    <n v="2"/>
    <n v="2"/>
    <n v="1"/>
    <x v="0"/>
    <x v="0"/>
    <x v="1"/>
    <x v="0"/>
  </r>
  <r>
    <n v="14"/>
    <x v="1"/>
    <n v="5.6"/>
    <x v="1"/>
    <n v="6.8"/>
    <n v="2.2999999999999998"/>
    <n v="2.66"/>
    <n v="1.1000000000000001"/>
    <x v="1"/>
    <n v="7"/>
    <n v="6"/>
    <n v="2"/>
    <x v="0"/>
    <x v="0"/>
    <x v="0"/>
    <x v="0"/>
  </r>
  <r>
    <n v="18"/>
    <x v="0"/>
    <n v="4.5999999999999996"/>
    <x v="2"/>
    <n v="4.3"/>
    <n v="2.9"/>
    <n v="2.95"/>
    <n v="0.6"/>
    <x v="2"/>
    <n v="7"/>
    <n v="9"/>
    <n v="8"/>
    <x v="0"/>
    <x v="1"/>
    <x v="1"/>
    <x v="1"/>
  </r>
  <r>
    <n v="19"/>
    <x v="0"/>
    <n v="1.4"/>
    <x v="2"/>
    <n v="4.7"/>
    <n v="0.5"/>
    <n v="3.57"/>
    <n v="1.7"/>
    <x v="1"/>
    <n v="1"/>
    <n v="5"/>
    <n v="6"/>
    <x v="0"/>
    <x v="1"/>
    <x v="1"/>
    <x v="2"/>
  </r>
  <r>
    <n v="13"/>
    <x v="1"/>
    <n v="2.9"/>
    <x v="2"/>
    <n v="8.1999999999999993"/>
    <n v="2.2999999999999998"/>
    <n v="2.48"/>
    <n v="0.9"/>
    <x v="0"/>
    <n v="5"/>
    <n v="8"/>
    <n v="9"/>
    <x v="0"/>
    <x v="0"/>
    <x v="0"/>
    <x v="1"/>
  </r>
  <r>
    <n v="16"/>
    <x v="1"/>
    <n v="7.9"/>
    <x v="0"/>
    <n v="6.3"/>
    <n v="2.7"/>
    <n v="2.88"/>
    <n v="0.2"/>
    <x v="1"/>
    <n v="2"/>
    <n v="7"/>
    <n v="5"/>
    <x v="0"/>
    <x v="1"/>
    <x v="0"/>
    <x v="2"/>
  </r>
  <r>
    <n v="13"/>
    <x v="0"/>
    <n v="3.5"/>
    <x v="2"/>
    <n v="6.8"/>
    <n v="2.2999999999999998"/>
    <n v="2.2799999999999998"/>
    <n v="1"/>
    <x v="0"/>
    <n v="7"/>
    <n v="2"/>
    <n v="6"/>
    <x v="0"/>
    <x v="0"/>
    <x v="0"/>
    <x v="2"/>
  </r>
  <r>
    <n v="14"/>
    <x v="1"/>
    <n v="3.8"/>
    <x v="0"/>
    <n v="7.9"/>
    <n v="1.2"/>
    <n v="3.24"/>
    <n v="1.6"/>
    <x v="1"/>
    <n v="6"/>
    <n v="10"/>
    <n v="5"/>
    <x v="0"/>
    <x v="0"/>
    <x v="0"/>
    <x v="2"/>
  </r>
  <r>
    <n v="19"/>
    <x v="0"/>
    <n v="2.9"/>
    <x v="0"/>
    <n v="8.6999999999999993"/>
    <n v="0.9"/>
    <n v="2.99"/>
    <n v="0.8"/>
    <x v="2"/>
    <n v="7"/>
    <n v="8"/>
    <n v="2"/>
    <x v="0"/>
    <x v="1"/>
    <x v="0"/>
    <x v="0"/>
  </r>
  <r>
    <n v="17"/>
    <x v="0"/>
    <n v="3.5"/>
    <x v="2"/>
    <n v="4.5999999999999996"/>
    <n v="0.7"/>
    <n v="3.9"/>
    <n v="0.6"/>
    <x v="1"/>
    <n v="7"/>
    <n v="3"/>
    <n v="1"/>
    <x v="0"/>
    <x v="1"/>
    <x v="1"/>
    <x v="0"/>
  </r>
  <r>
    <n v="16"/>
    <x v="0"/>
    <n v="4.8"/>
    <x v="0"/>
    <n v="8.6"/>
    <n v="1.8"/>
    <n v="2.44"/>
    <n v="1.7"/>
    <x v="1"/>
    <n v="8"/>
    <n v="7"/>
    <n v="3"/>
    <x v="0"/>
    <x v="1"/>
    <x v="0"/>
    <x v="0"/>
  </r>
  <r>
    <n v="13"/>
    <x v="0"/>
    <n v="5.8"/>
    <x v="1"/>
    <n v="7.2"/>
    <n v="1.1000000000000001"/>
    <n v="2.69"/>
    <n v="0.4"/>
    <x v="0"/>
    <n v="7"/>
    <n v="3"/>
    <n v="7"/>
    <x v="0"/>
    <x v="0"/>
    <x v="0"/>
    <x v="1"/>
  </r>
  <r>
    <n v="16"/>
    <x v="1"/>
    <n v="6.1"/>
    <x v="2"/>
    <n v="7.5"/>
    <n v="2.5"/>
    <n v="3.14"/>
    <n v="0.5"/>
    <x v="0"/>
    <n v="9"/>
    <n v="6"/>
    <n v="10"/>
    <x v="0"/>
    <x v="1"/>
    <x v="0"/>
    <x v="1"/>
  </r>
  <r>
    <n v="14"/>
    <x v="1"/>
    <n v="4.3"/>
    <x v="2"/>
    <n v="7.8"/>
    <n v="0.5"/>
    <n v="3.92"/>
    <n v="0.7"/>
    <x v="1"/>
    <n v="3"/>
    <n v="4"/>
    <n v="8"/>
    <x v="0"/>
    <x v="0"/>
    <x v="0"/>
    <x v="1"/>
  </r>
  <r>
    <n v="15"/>
    <x v="1"/>
    <n v="7.8"/>
    <x v="0"/>
    <n v="4.5999999999999996"/>
    <n v="3"/>
    <n v="2.44"/>
    <n v="1.4"/>
    <x v="2"/>
    <n v="8"/>
    <n v="10"/>
    <n v="6"/>
    <x v="1"/>
    <x v="0"/>
    <x v="1"/>
    <x v="2"/>
  </r>
  <r>
    <n v="15"/>
    <x v="1"/>
    <n v="5.2"/>
    <x v="1"/>
    <n v="7.5"/>
    <n v="1.1000000000000001"/>
    <n v="3.61"/>
    <n v="0.1"/>
    <x v="0"/>
    <n v="4"/>
    <n v="6"/>
    <n v="7"/>
    <x v="0"/>
    <x v="0"/>
    <x v="0"/>
    <x v="1"/>
  </r>
  <r>
    <n v="17"/>
    <x v="0"/>
    <n v="3.5"/>
    <x v="0"/>
    <n v="4.3"/>
    <n v="2.2000000000000002"/>
    <n v="3.19"/>
    <n v="1"/>
    <x v="1"/>
    <n v="4"/>
    <n v="5"/>
    <n v="9"/>
    <x v="0"/>
    <x v="1"/>
    <x v="1"/>
    <x v="1"/>
  </r>
  <r>
    <n v="16"/>
    <x v="1"/>
    <n v="6.5"/>
    <x v="1"/>
    <n v="4.5999999999999996"/>
    <n v="1.8"/>
    <n v="2.2000000000000002"/>
    <n v="1.2"/>
    <x v="0"/>
    <n v="7"/>
    <n v="4"/>
    <n v="4"/>
    <x v="0"/>
    <x v="1"/>
    <x v="1"/>
    <x v="2"/>
  </r>
  <r>
    <n v="17"/>
    <x v="0"/>
    <n v="4.7"/>
    <x v="1"/>
    <n v="7.2"/>
    <n v="2.7"/>
    <n v="2.06"/>
    <n v="1.4"/>
    <x v="0"/>
    <n v="3"/>
    <n v="1"/>
    <n v="4"/>
    <x v="0"/>
    <x v="1"/>
    <x v="0"/>
    <x v="2"/>
  </r>
  <r>
    <n v="13"/>
    <x v="0"/>
    <n v="2.5"/>
    <x v="0"/>
    <n v="6.3"/>
    <n v="1.8"/>
    <n v="2.2000000000000002"/>
    <n v="0.1"/>
    <x v="1"/>
    <n v="9"/>
    <n v="3"/>
    <n v="9"/>
    <x v="0"/>
    <x v="0"/>
    <x v="0"/>
    <x v="1"/>
  </r>
  <r>
    <n v="19"/>
    <x v="1"/>
    <n v="5.5"/>
    <x v="1"/>
    <n v="7.4"/>
    <n v="2"/>
    <n v="2.8"/>
    <n v="1.8"/>
    <x v="1"/>
    <n v="9"/>
    <n v="8"/>
    <n v="10"/>
    <x v="0"/>
    <x v="1"/>
    <x v="0"/>
    <x v="1"/>
  </r>
  <r>
    <n v="15"/>
    <x v="1"/>
    <n v="3.5"/>
    <x v="0"/>
    <n v="8"/>
    <n v="1.9"/>
    <n v="3.45"/>
    <n v="1.5"/>
    <x v="1"/>
    <n v="10"/>
    <n v="4"/>
    <n v="1"/>
    <x v="0"/>
    <x v="0"/>
    <x v="0"/>
    <x v="0"/>
  </r>
  <r>
    <n v="14"/>
    <x v="1"/>
    <n v="4.5999999999999996"/>
    <x v="1"/>
    <n v="7"/>
    <n v="1.6"/>
    <n v="2.74"/>
    <n v="0.9"/>
    <x v="0"/>
    <n v="3"/>
    <n v="2"/>
    <n v="9"/>
    <x v="0"/>
    <x v="0"/>
    <x v="0"/>
    <x v="1"/>
  </r>
  <r>
    <n v="13"/>
    <x v="1"/>
    <n v="3.5"/>
    <x v="0"/>
    <n v="6.9"/>
    <n v="1.6"/>
    <n v="2.08"/>
    <n v="0.7"/>
    <x v="0"/>
    <n v="9"/>
    <n v="9"/>
    <n v="9"/>
    <x v="0"/>
    <x v="0"/>
    <x v="0"/>
    <x v="1"/>
  </r>
  <r>
    <n v="19"/>
    <x v="0"/>
    <n v="1.6"/>
    <x v="1"/>
    <n v="8.6"/>
    <n v="1.4"/>
    <n v="2.69"/>
    <n v="1.6"/>
    <x v="2"/>
    <n v="4"/>
    <n v="3"/>
    <n v="4"/>
    <x v="0"/>
    <x v="1"/>
    <x v="0"/>
    <x v="2"/>
  </r>
  <r>
    <n v="13"/>
    <x v="1"/>
    <n v="3.2"/>
    <x v="2"/>
    <n v="5.9"/>
    <n v="0.7"/>
    <n v="3.98"/>
    <n v="0.8"/>
    <x v="0"/>
    <n v="6"/>
    <n v="8"/>
    <n v="1"/>
    <x v="0"/>
    <x v="0"/>
    <x v="1"/>
    <x v="0"/>
  </r>
  <r>
    <n v="19"/>
    <x v="1"/>
    <n v="1.7"/>
    <x v="2"/>
    <n v="7"/>
    <n v="2.7"/>
    <n v="2.0699999999999998"/>
    <n v="0.5"/>
    <x v="1"/>
    <n v="6"/>
    <n v="4"/>
    <n v="10"/>
    <x v="0"/>
    <x v="1"/>
    <x v="0"/>
    <x v="1"/>
  </r>
  <r>
    <n v="14"/>
    <x v="0"/>
    <n v="6.4"/>
    <x v="0"/>
    <n v="4.3"/>
    <n v="2.2999999999999998"/>
    <n v="3.99"/>
    <n v="1.1000000000000001"/>
    <x v="0"/>
    <n v="7"/>
    <n v="4"/>
    <n v="3"/>
    <x v="0"/>
    <x v="0"/>
    <x v="1"/>
    <x v="0"/>
  </r>
  <r>
    <n v="13"/>
    <x v="1"/>
    <n v="3.3"/>
    <x v="1"/>
    <n v="6.4"/>
    <n v="1"/>
    <n v="2.4900000000000002"/>
    <n v="1"/>
    <x v="0"/>
    <n v="9"/>
    <n v="2"/>
    <n v="4"/>
    <x v="0"/>
    <x v="0"/>
    <x v="0"/>
    <x v="2"/>
  </r>
  <r>
    <n v="18"/>
    <x v="0"/>
    <n v="1.2"/>
    <x v="2"/>
    <n v="6.8"/>
    <n v="2.6"/>
    <n v="2.85"/>
    <n v="1.8"/>
    <x v="2"/>
    <n v="4"/>
    <n v="3"/>
    <n v="9"/>
    <x v="0"/>
    <x v="1"/>
    <x v="0"/>
    <x v="1"/>
  </r>
  <r>
    <n v="13"/>
    <x v="1"/>
    <n v="2.5"/>
    <x v="2"/>
    <n v="7.8"/>
    <n v="1.4"/>
    <n v="3.43"/>
    <n v="0.9"/>
    <x v="2"/>
    <n v="1"/>
    <n v="4"/>
    <n v="6"/>
    <x v="0"/>
    <x v="0"/>
    <x v="0"/>
    <x v="2"/>
  </r>
  <r>
    <n v="16"/>
    <x v="0"/>
    <n v="2.2000000000000002"/>
    <x v="1"/>
    <n v="5.0999999999999996"/>
    <n v="2.2999999999999998"/>
    <n v="3.6"/>
    <n v="1"/>
    <x v="1"/>
    <n v="4"/>
    <n v="7"/>
    <n v="6"/>
    <x v="0"/>
    <x v="1"/>
    <x v="1"/>
    <x v="2"/>
  </r>
  <r>
    <n v="18"/>
    <x v="1"/>
    <n v="5.2"/>
    <x v="2"/>
    <n v="7.1"/>
    <n v="1.9"/>
    <n v="2.87"/>
    <n v="1.7"/>
    <x v="2"/>
    <n v="5"/>
    <n v="8"/>
    <n v="6"/>
    <x v="0"/>
    <x v="1"/>
    <x v="0"/>
    <x v="2"/>
  </r>
  <r>
    <n v="16"/>
    <x v="0"/>
    <n v="7.9"/>
    <x v="0"/>
    <n v="8.6999999999999993"/>
    <n v="2.5"/>
    <n v="2.29"/>
    <n v="0.7"/>
    <x v="1"/>
    <n v="7"/>
    <n v="7"/>
    <n v="4"/>
    <x v="0"/>
    <x v="1"/>
    <x v="0"/>
    <x v="2"/>
  </r>
  <r>
    <n v="18"/>
    <x v="0"/>
    <n v="5.6"/>
    <x v="2"/>
    <n v="8"/>
    <n v="2.4"/>
    <n v="2.95"/>
    <n v="0"/>
    <x v="0"/>
    <n v="2"/>
    <n v="10"/>
    <n v="3"/>
    <x v="0"/>
    <x v="1"/>
    <x v="0"/>
    <x v="0"/>
  </r>
  <r>
    <n v="16"/>
    <x v="0"/>
    <n v="3.9"/>
    <x v="1"/>
    <n v="4.2"/>
    <n v="2.1"/>
    <n v="2.2799999999999998"/>
    <n v="1.1000000000000001"/>
    <x v="2"/>
    <n v="6"/>
    <n v="5"/>
    <n v="7"/>
    <x v="0"/>
    <x v="1"/>
    <x v="1"/>
    <x v="1"/>
  </r>
  <r>
    <n v="18"/>
    <x v="1"/>
    <n v="1.8"/>
    <x v="1"/>
    <n v="6.1"/>
    <n v="2.7"/>
    <n v="2.86"/>
    <n v="1.1000000000000001"/>
    <x v="0"/>
    <n v="4"/>
    <n v="2"/>
    <n v="4"/>
    <x v="0"/>
    <x v="1"/>
    <x v="0"/>
    <x v="2"/>
  </r>
  <r>
    <n v="18"/>
    <x v="1"/>
    <n v="5.8"/>
    <x v="2"/>
    <n v="5.0999999999999996"/>
    <n v="1.2"/>
    <n v="3.24"/>
    <n v="0.4"/>
    <x v="1"/>
    <n v="5"/>
    <n v="9"/>
    <n v="2"/>
    <x v="0"/>
    <x v="1"/>
    <x v="1"/>
    <x v="0"/>
  </r>
  <r>
    <n v="18"/>
    <x v="1"/>
    <n v="2.2000000000000002"/>
    <x v="0"/>
    <n v="4.4000000000000004"/>
    <n v="1.7"/>
    <n v="2.86"/>
    <n v="1.1000000000000001"/>
    <x v="1"/>
    <n v="8"/>
    <n v="9"/>
    <n v="7"/>
    <x v="0"/>
    <x v="1"/>
    <x v="1"/>
    <x v="1"/>
  </r>
  <r>
    <n v="17"/>
    <x v="0"/>
    <n v="6.9"/>
    <x v="2"/>
    <n v="4.5999999999999996"/>
    <n v="2.5"/>
    <n v="2.04"/>
    <n v="0.8"/>
    <x v="1"/>
    <n v="10"/>
    <n v="9"/>
    <n v="2"/>
    <x v="1"/>
    <x v="1"/>
    <x v="1"/>
    <x v="0"/>
  </r>
  <r>
    <n v="14"/>
    <x v="1"/>
    <n v="5.7"/>
    <x v="0"/>
    <n v="6.7"/>
    <n v="2.6"/>
    <n v="2.35"/>
    <n v="1.8"/>
    <x v="1"/>
    <n v="10"/>
    <n v="10"/>
    <n v="7"/>
    <x v="0"/>
    <x v="0"/>
    <x v="0"/>
    <x v="1"/>
  </r>
  <r>
    <n v="17"/>
    <x v="0"/>
    <n v="7.5"/>
    <x v="1"/>
    <n v="5.6"/>
    <n v="2.2999999999999998"/>
    <n v="2.37"/>
    <n v="0"/>
    <x v="1"/>
    <n v="3"/>
    <n v="10"/>
    <n v="8"/>
    <x v="0"/>
    <x v="1"/>
    <x v="1"/>
    <x v="1"/>
  </r>
  <r>
    <n v="13"/>
    <x v="0"/>
    <n v="5.2"/>
    <x v="2"/>
    <n v="6.4"/>
    <n v="2.5"/>
    <n v="3.13"/>
    <n v="0.3"/>
    <x v="2"/>
    <n v="8"/>
    <n v="6"/>
    <n v="7"/>
    <x v="0"/>
    <x v="0"/>
    <x v="0"/>
    <x v="1"/>
  </r>
  <r>
    <n v="16"/>
    <x v="0"/>
    <n v="7.2"/>
    <x v="2"/>
    <n v="6.9"/>
    <n v="2.1"/>
    <n v="2.3199999999999998"/>
    <n v="1.1000000000000001"/>
    <x v="0"/>
    <n v="3"/>
    <n v="4"/>
    <n v="10"/>
    <x v="0"/>
    <x v="1"/>
    <x v="0"/>
    <x v="1"/>
  </r>
  <r>
    <n v="19"/>
    <x v="0"/>
    <n v="2"/>
    <x v="1"/>
    <n v="4.3"/>
    <n v="0.8"/>
    <n v="3.4"/>
    <n v="0.7"/>
    <x v="0"/>
    <n v="8"/>
    <n v="1"/>
    <n v="1"/>
    <x v="0"/>
    <x v="1"/>
    <x v="1"/>
    <x v="0"/>
  </r>
  <r>
    <n v="13"/>
    <x v="1"/>
    <n v="4.7"/>
    <x v="2"/>
    <n v="6.8"/>
    <n v="1.4"/>
    <n v="3.91"/>
    <n v="0.8"/>
    <x v="1"/>
    <n v="10"/>
    <n v="6"/>
    <n v="9"/>
    <x v="0"/>
    <x v="0"/>
    <x v="0"/>
    <x v="1"/>
  </r>
  <r>
    <n v="14"/>
    <x v="0"/>
    <n v="5.6"/>
    <x v="2"/>
    <n v="4.5"/>
    <n v="1.4"/>
    <n v="2.44"/>
    <n v="1.2"/>
    <x v="0"/>
    <n v="5"/>
    <n v="10"/>
    <n v="9"/>
    <x v="0"/>
    <x v="0"/>
    <x v="1"/>
    <x v="1"/>
  </r>
  <r>
    <n v="18"/>
    <x v="1"/>
    <n v="4.5"/>
    <x v="0"/>
    <n v="4"/>
    <n v="2.9"/>
    <n v="3.15"/>
    <n v="1.9"/>
    <x v="2"/>
    <n v="8"/>
    <n v="6"/>
    <n v="5"/>
    <x v="0"/>
    <x v="1"/>
    <x v="1"/>
    <x v="2"/>
  </r>
  <r>
    <n v="15"/>
    <x v="1"/>
    <n v="1.1000000000000001"/>
    <x v="0"/>
    <n v="9"/>
    <n v="1.2"/>
    <n v="2.9"/>
    <n v="1.8"/>
    <x v="2"/>
    <n v="5"/>
    <n v="10"/>
    <n v="2"/>
    <x v="0"/>
    <x v="0"/>
    <x v="0"/>
    <x v="0"/>
  </r>
  <r>
    <n v="18"/>
    <x v="1"/>
    <n v="5.3"/>
    <x v="2"/>
    <n v="4.5999999999999996"/>
    <n v="1.5"/>
    <n v="2.54"/>
    <n v="0.6"/>
    <x v="2"/>
    <n v="4"/>
    <n v="3"/>
    <n v="4"/>
    <x v="0"/>
    <x v="1"/>
    <x v="1"/>
    <x v="2"/>
  </r>
  <r>
    <n v="14"/>
    <x v="1"/>
    <n v="3.5"/>
    <x v="2"/>
    <n v="5.3"/>
    <n v="2.5"/>
    <n v="2.29"/>
    <n v="0.7"/>
    <x v="0"/>
    <n v="1"/>
    <n v="10"/>
    <n v="3"/>
    <x v="0"/>
    <x v="0"/>
    <x v="1"/>
    <x v="0"/>
  </r>
  <r>
    <n v="15"/>
    <x v="0"/>
    <n v="6.5"/>
    <x v="2"/>
    <n v="6.2"/>
    <n v="1.2"/>
    <n v="3.19"/>
    <n v="0"/>
    <x v="2"/>
    <n v="6"/>
    <n v="5"/>
    <n v="2"/>
    <x v="0"/>
    <x v="0"/>
    <x v="0"/>
    <x v="0"/>
  </r>
  <r>
    <n v="14"/>
    <x v="0"/>
    <n v="7"/>
    <x v="2"/>
    <n v="6.7"/>
    <n v="1.9"/>
    <n v="2.48"/>
    <n v="1.3"/>
    <x v="0"/>
    <n v="7"/>
    <n v="1"/>
    <n v="5"/>
    <x v="0"/>
    <x v="0"/>
    <x v="0"/>
    <x v="2"/>
  </r>
  <r>
    <n v="14"/>
    <x v="1"/>
    <n v="4"/>
    <x v="1"/>
    <n v="4.0999999999999996"/>
    <n v="0.9"/>
    <n v="2.99"/>
    <n v="1.9"/>
    <x v="0"/>
    <n v="2"/>
    <n v="9"/>
    <n v="10"/>
    <x v="0"/>
    <x v="0"/>
    <x v="1"/>
    <x v="1"/>
  </r>
  <r>
    <n v="15"/>
    <x v="1"/>
    <n v="1.7"/>
    <x v="0"/>
    <n v="5.3"/>
    <n v="1.5"/>
    <n v="3.6"/>
    <n v="1.5"/>
    <x v="1"/>
    <n v="6"/>
    <n v="4"/>
    <n v="3"/>
    <x v="0"/>
    <x v="0"/>
    <x v="1"/>
    <x v="0"/>
  </r>
  <r>
    <n v="14"/>
    <x v="1"/>
    <n v="7.8"/>
    <x v="1"/>
    <n v="4.7"/>
    <n v="2.2000000000000002"/>
    <n v="3.53"/>
    <n v="0.6"/>
    <x v="0"/>
    <n v="5"/>
    <n v="8"/>
    <n v="2"/>
    <x v="0"/>
    <x v="0"/>
    <x v="1"/>
    <x v="0"/>
  </r>
  <r>
    <n v="15"/>
    <x v="1"/>
    <n v="5.2"/>
    <x v="0"/>
    <n v="6.7"/>
    <n v="3"/>
    <n v="3.18"/>
    <n v="0.6"/>
    <x v="0"/>
    <n v="9"/>
    <n v="7"/>
    <n v="9"/>
    <x v="0"/>
    <x v="0"/>
    <x v="0"/>
    <x v="1"/>
  </r>
  <r>
    <n v="19"/>
    <x v="1"/>
    <n v="7.9"/>
    <x v="1"/>
    <n v="5.8"/>
    <n v="2.1"/>
    <n v="3.91"/>
    <n v="1.4"/>
    <x v="1"/>
    <n v="7"/>
    <n v="1"/>
    <n v="10"/>
    <x v="0"/>
    <x v="1"/>
    <x v="1"/>
    <x v="1"/>
  </r>
  <r>
    <n v="17"/>
    <x v="0"/>
    <n v="5.9"/>
    <x v="2"/>
    <n v="6.6"/>
    <n v="1.3"/>
    <n v="2.11"/>
    <n v="1.4"/>
    <x v="0"/>
    <n v="10"/>
    <n v="4"/>
    <n v="9"/>
    <x v="0"/>
    <x v="1"/>
    <x v="0"/>
    <x v="1"/>
  </r>
  <r>
    <n v="13"/>
    <x v="1"/>
    <n v="2.6"/>
    <x v="1"/>
    <n v="8.5"/>
    <n v="1.9"/>
    <n v="3.06"/>
    <n v="1.9"/>
    <x v="1"/>
    <n v="5"/>
    <n v="7"/>
    <n v="6"/>
    <x v="0"/>
    <x v="0"/>
    <x v="0"/>
    <x v="2"/>
  </r>
  <r>
    <n v="18"/>
    <x v="1"/>
    <n v="6.3"/>
    <x v="1"/>
    <n v="4.8"/>
    <n v="1.2"/>
    <n v="2.91"/>
    <n v="1.3"/>
    <x v="2"/>
    <n v="9"/>
    <n v="10"/>
    <n v="3"/>
    <x v="1"/>
    <x v="1"/>
    <x v="1"/>
    <x v="0"/>
  </r>
  <r>
    <n v="19"/>
    <x v="1"/>
    <n v="4.5"/>
    <x v="1"/>
    <n v="8.4"/>
    <n v="2.1"/>
    <n v="2.62"/>
    <n v="2"/>
    <x v="0"/>
    <n v="5"/>
    <n v="10"/>
    <n v="5"/>
    <x v="0"/>
    <x v="1"/>
    <x v="0"/>
    <x v="2"/>
  </r>
  <r>
    <n v="19"/>
    <x v="0"/>
    <n v="5.3"/>
    <x v="0"/>
    <n v="4.7"/>
    <n v="2.8"/>
    <n v="2.82"/>
    <n v="0.3"/>
    <x v="1"/>
    <n v="1"/>
    <n v="9"/>
    <n v="6"/>
    <x v="0"/>
    <x v="1"/>
    <x v="1"/>
    <x v="2"/>
  </r>
  <r>
    <n v="13"/>
    <x v="1"/>
    <n v="5.2"/>
    <x v="2"/>
    <n v="7.4"/>
    <n v="2.5"/>
    <n v="3.93"/>
    <n v="0.8"/>
    <x v="0"/>
    <n v="4"/>
    <n v="4"/>
    <n v="8"/>
    <x v="0"/>
    <x v="0"/>
    <x v="0"/>
    <x v="1"/>
  </r>
  <r>
    <n v="15"/>
    <x v="0"/>
    <n v="3.3"/>
    <x v="2"/>
    <n v="6.1"/>
    <n v="1.2"/>
    <n v="2.56"/>
    <n v="1.4"/>
    <x v="0"/>
    <n v="8"/>
    <n v="6"/>
    <n v="3"/>
    <x v="0"/>
    <x v="0"/>
    <x v="0"/>
    <x v="0"/>
  </r>
  <r>
    <n v="14"/>
    <x v="1"/>
    <n v="1.1000000000000001"/>
    <x v="2"/>
    <n v="5.4"/>
    <n v="1.6"/>
    <n v="3.34"/>
    <n v="1.5"/>
    <x v="2"/>
    <n v="4"/>
    <n v="5"/>
    <n v="8"/>
    <x v="0"/>
    <x v="0"/>
    <x v="1"/>
    <x v="1"/>
  </r>
  <r>
    <n v="17"/>
    <x v="1"/>
    <n v="5"/>
    <x v="0"/>
    <n v="7.3"/>
    <n v="1.2"/>
    <n v="3.39"/>
    <n v="0.7"/>
    <x v="2"/>
    <n v="9"/>
    <n v="10"/>
    <n v="8"/>
    <x v="0"/>
    <x v="1"/>
    <x v="0"/>
    <x v="1"/>
  </r>
  <r>
    <n v="15"/>
    <x v="1"/>
    <n v="7.4"/>
    <x v="1"/>
    <n v="8.6"/>
    <n v="1.4"/>
    <n v="2.19"/>
    <n v="1.8"/>
    <x v="0"/>
    <n v="10"/>
    <n v="10"/>
    <n v="1"/>
    <x v="0"/>
    <x v="0"/>
    <x v="0"/>
    <x v="0"/>
  </r>
  <r>
    <n v="15"/>
    <x v="1"/>
    <n v="7.4"/>
    <x v="1"/>
    <n v="8.9"/>
    <n v="2.9"/>
    <n v="3.39"/>
    <n v="1.1000000000000001"/>
    <x v="1"/>
    <n v="4"/>
    <n v="9"/>
    <n v="1"/>
    <x v="0"/>
    <x v="0"/>
    <x v="0"/>
    <x v="0"/>
  </r>
  <r>
    <n v="17"/>
    <x v="0"/>
    <n v="6.6"/>
    <x v="1"/>
    <n v="5.2"/>
    <n v="2.2000000000000002"/>
    <n v="2.98"/>
    <n v="0.8"/>
    <x v="1"/>
    <n v="6"/>
    <n v="8"/>
    <n v="7"/>
    <x v="0"/>
    <x v="1"/>
    <x v="1"/>
    <x v="1"/>
  </r>
  <r>
    <n v="13"/>
    <x v="1"/>
    <n v="7.1"/>
    <x v="2"/>
    <n v="7.2"/>
    <n v="1.1000000000000001"/>
    <n v="3.69"/>
    <n v="1"/>
    <x v="0"/>
    <n v="4"/>
    <n v="6"/>
    <n v="3"/>
    <x v="0"/>
    <x v="0"/>
    <x v="0"/>
    <x v="0"/>
  </r>
  <r>
    <n v="15"/>
    <x v="1"/>
    <n v="1.1000000000000001"/>
    <x v="1"/>
    <n v="8.6"/>
    <n v="2.2999999999999998"/>
    <n v="3.68"/>
    <n v="0.5"/>
    <x v="0"/>
    <n v="1"/>
    <n v="2"/>
    <n v="7"/>
    <x v="0"/>
    <x v="0"/>
    <x v="0"/>
    <x v="1"/>
  </r>
  <r>
    <n v="13"/>
    <x v="1"/>
    <n v="3.6"/>
    <x v="1"/>
    <n v="8.6999999999999993"/>
    <n v="0.8"/>
    <n v="2.41"/>
    <n v="1.3"/>
    <x v="0"/>
    <n v="4"/>
    <n v="6"/>
    <n v="8"/>
    <x v="0"/>
    <x v="0"/>
    <x v="0"/>
    <x v="1"/>
  </r>
  <r>
    <n v="16"/>
    <x v="0"/>
    <n v="5.0999999999999996"/>
    <x v="1"/>
    <n v="4.5999999999999996"/>
    <n v="1.1000000000000001"/>
    <n v="2.75"/>
    <n v="1.5"/>
    <x v="2"/>
    <n v="6"/>
    <n v="3"/>
    <n v="6"/>
    <x v="0"/>
    <x v="1"/>
    <x v="1"/>
    <x v="2"/>
  </r>
  <r>
    <n v="19"/>
    <x v="1"/>
    <n v="7.3"/>
    <x v="0"/>
    <n v="7.8"/>
    <n v="1"/>
    <n v="2.91"/>
    <n v="0.8"/>
    <x v="2"/>
    <n v="9"/>
    <n v="7"/>
    <n v="5"/>
    <x v="0"/>
    <x v="1"/>
    <x v="0"/>
    <x v="2"/>
  </r>
  <r>
    <n v="13"/>
    <x v="1"/>
    <n v="7.7"/>
    <x v="2"/>
    <n v="7.5"/>
    <n v="1.4"/>
    <n v="2.2400000000000002"/>
    <n v="0.1"/>
    <x v="0"/>
    <n v="5"/>
    <n v="3"/>
    <n v="3"/>
    <x v="0"/>
    <x v="0"/>
    <x v="0"/>
    <x v="0"/>
  </r>
  <r>
    <n v="13"/>
    <x v="1"/>
    <n v="7.9"/>
    <x v="1"/>
    <n v="4.0999999999999996"/>
    <n v="1.6"/>
    <n v="2.74"/>
    <n v="0.9"/>
    <x v="2"/>
    <n v="9"/>
    <n v="3"/>
    <n v="5"/>
    <x v="0"/>
    <x v="0"/>
    <x v="1"/>
    <x v="2"/>
  </r>
  <r>
    <n v="16"/>
    <x v="1"/>
    <n v="5.5"/>
    <x v="2"/>
    <n v="5.8"/>
    <n v="2.5"/>
    <n v="2.34"/>
    <n v="1"/>
    <x v="0"/>
    <n v="5"/>
    <n v="2"/>
    <n v="8"/>
    <x v="0"/>
    <x v="1"/>
    <x v="1"/>
    <x v="1"/>
  </r>
  <r>
    <n v="19"/>
    <x v="0"/>
    <n v="4"/>
    <x v="0"/>
    <n v="7.8"/>
    <n v="0.6"/>
    <n v="3.61"/>
    <n v="1.7"/>
    <x v="1"/>
    <n v="2"/>
    <n v="7"/>
    <n v="9"/>
    <x v="0"/>
    <x v="1"/>
    <x v="0"/>
    <x v="1"/>
  </r>
  <r>
    <n v="15"/>
    <x v="1"/>
    <n v="7.9"/>
    <x v="1"/>
    <n v="4.7"/>
    <n v="1.5"/>
    <n v="3.3"/>
    <n v="0"/>
    <x v="0"/>
    <n v="5"/>
    <n v="8"/>
    <n v="5"/>
    <x v="0"/>
    <x v="0"/>
    <x v="1"/>
    <x v="2"/>
  </r>
  <r>
    <n v="18"/>
    <x v="1"/>
    <n v="5.5"/>
    <x v="2"/>
    <n v="8.1999999999999993"/>
    <n v="0.5"/>
    <n v="3.15"/>
    <n v="1.2"/>
    <x v="2"/>
    <n v="8"/>
    <n v="7"/>
    <n v="7"/>
    <x v="0"/>
    <x v="1"/>
    <x v="0"/>
    <x v="1"/>
  </r>
  <r>
    <n v="17"/>
    <x v="1"/>
    <n v="7.6"/>
    <x v="2"/>
    <n v="7.1"/>
    <n v="1.1000000000000001"/>
    <n v="2.0699999999999998"/>
    <n v="1.9"/>
    <x v="1"/>
    <n v="3"/>
    <n v="2"/>
    <n v="6"/>
    <x v="0"/>
    <x v="1"/>
    <x v="0"/>
    <x v="2"/>
  </r>
  <r>
    <n v="13"/>
    <x v="0"/>
    <n v="1.3"/>
    <x v="1"/>
    <n v="4.4000000000000004"/>
    <n v="0.9"/>
    <n v="2.99"/>
    <n v="0"/>
    <x v="1"/>
    <n v="8"/>
    <n v="2"/>
    <n v="5"/>
    <x v="0"/>
    <x v="0"/>
    <x v="1"/>
    <x v="2"/>
  </r>
  <r>
    <n v="16"/>
    <x v="0"/>
    <n v="7.3"/>
    <x v="1"/>
    <n v="7"/>
    <n v="2.2000000000000002"/>
    <n v="2.0699999999999998"/>
    <n v="1"/>
    <x v="2"/>
    <n v="3"/>
    <n v="7"/>
    <n v="1"/>
    <x v="0"/>
    <x v="1"/>
    <x v="0"/>
    <x v="0"/>
  </r>
  <r>
    <n v="18"/>
    <x v="0"/>
    <n v="4.3"/>
    <x v="0"/>
    <n v="6.7"/>
    <n v="2.5"/>
    <n v="3.19"/>
    <n v="1"/>
    <x v="1"/>
    <n v="5"/>
    <n v="5"/>
    <n v="5"/>
    <x v="0"/>
    <x v="1"/>
    <x v="0"/>
    <x v="2"/>
  </r>
  <r>
    <n v="16"/>
    <x v="0"/>
    <n v="7.1"/>
    <x v="1"/>
    <n v="7.7"/>
    <n v="1.9"/>
    <n v="2.2400000000000002"/>
    <n v="0.6"/>
    <x v="1"/>
    <n v="8"/>
    <n v="10"/>
    <n v="5"/>
    <x v="0"/>
    <x v="1"/>
    <x v="0"/>
    <x v="2"/>
  </r>
  <r>
    <n v="14"/>
    <x v="1"/>
    <n v="5.7"/>
    <x v="1"/>
    <n v="6.4"/>
    <n v="1.9"/>
    <n v="3.3"/>
    <n v="1.3"/>
    <x v="1"/>
    <n v="6"/>
    <n v="8"/>
    <n v="5"/>
    <x v="0"/>
    <x v="0"/>
    <x v="0"/>
    <x v="2"/>
  </r>
  <r>
    <n v="18"/>
    <x v="1"/>
    <n v="5.2"/>
    <x v="2"/>
    <n v="7.3"/>
    <n v="1.7"/>
    <n v="3.33"/>
    <n v="0.9"/>
    <x v="0"/>
    <n v="7"/>
    <n v="4"/>
    <n v="9"/>
    <x v="0"/>
    <x v="1"/>
    <x v="0"/>
    <x v="1"/>
  </r>
  <r>
    <n v="17"/>
    <x v="0"/>
    <n v="3.1"/>
    <x v="1"/>
    <n v="7.7"/>
    <n v="2.2000000000000002"/>
    <n v="3.72"/>
    <n v="1.4"/>
    <x v="2"/>
    <n v="1"/>
    <n v="5"/>
    <n v="8"/>
    <x v="0"/>
    <x v="1"/>
    <x v="0"/>
    <x v="1"/>
  </r>
  <r>
    <n v="13"/>
    <x v="0"/>
    <n v="3"/>
    <x v="2"/>
    <n v="6.2"/>
    <n v="0.8"/>
    <n v="3.96"/>
    <n v="1.1000000000000001"/>
    <x v="0"/>
    <n v="9"/>
    <n v="10"/>
    <n v="3"/>
    <x v="0"/>
    <x v="0"/>
    <x v="0"/>
    <x v="0"/>
  </r>
  <r>
    <n v="17"/>
    <x v="1"/>
    <n v="6"/>
    <x v="2"/>
    <n v="4.2"/>
    <n v="2.2000000000000002"/>
    <n v="2.27"/>
    <n v="0.5"/>
    <x v="2"/>
    <n v="1"/>
    <n v="4"/>
    <n v="5"/>
    <x v="0"/>
    <x v="1"/>
    <x v="1"/>
    <x v="2"/>
  </r>
  <r>
    <n v="13"/>
    <x v="0"/>
    <n v="5.9"/>
    <x v="0"/>
    <n v="8.6"/>
    <n v="1.9"/>
    <n v="3.88"/>
    <n v="0.2"/>
    <x v="2"/>
    <n v="1"/>
    <n v="6"/>
    <n v="9"/>
    <x v="0"/>
    <x v="0"/>
    <x v="0"/>
    <x v="1"/>
  </r>
  <r>
    <n v="15"/>
    <x v="0"/>
    <n v="5.0999999999999996"/>
    <x v="1"/>
    <n v="5.5"/>
    <n v="0.7"/>
    <n v="2.13"/>
    <n v="0.5"/>
    <x v="2"/>
    <n v="6"/>
    <n v="10"/>
    <n v="8"/>
    <x v="0"/>
    <x v="0"/>
    <x v="1"/>
    <x v="1"/>
  </r>
  <r>
    <n v="19"/>
    <x v="1"/>
    <n v="3.5"/>
    <x v="0"/>
    <n v="4.9000000000000004"/>
    <n v="0.5"/>
    <n v="3.68"/>
    <n v="1.7"/>
    <x v="1"/>
    <n v="8"/>
    <n v="4"/>
    <n v="3"/>
    <x v="0"/>
    <x v="1"/>
    <x v="1"/>
    <x v="0"/>
  </r>
  <r>
    <n v="16"/>
    <x v="0"/>
    <n v="5.3"/>
    <x v="1"/>
    <n v="5.3"/>
    <n v="2.4"/>
    <n v="3.01"/>
    <n v="1.6"/>
    <x v="2"/>
    <n v="2"/>
    <n v="9"/>
    <n v="1"/>
    <x v="0"/>
    <x v="1"/>
    <x v="1"/>
    <x v="0"/>
  </r>
  <r>
    <n v="13"/>
    <x v="1"/>
    <n v="4.0999999999999996"/>
    <x v="0"/>
    <n v="7.5"/>
    <n v="1.7"/>
    <n v="3.12"/>
    <n v="2"/>
    <x v="2"/>
    <n v="1"/>
    <n v="4"/>
    <n v="9"/>
    <x v="0"/>
    <x v="0"/>
    <x v="0"/>
    <x v="1"/>
  </r>
  <r>
    <n v="18"/>
    <x v="0"/>
    <n v="4.0999999999999996"/>
    <x v="0"/>
    <n v="6.7"/>
    <n v="2.1"/>
    <n v="2.5"/>
    <n v="0.1"/>
    <x v="2"/>
    <n v="8"/>
    <n v="1"/>
    <n v="5"/>
    <x v="0"/>
    <x v="1"/>
    <x v="0"/>
    <x v="2"/>
  </r>
  <r>
    <n v="15"/>
    <x v="0"/>
    <n v="6.3"/>
    <x v="1"/>
    <n v="6.8"/>
    <n v="1.8"/>
    <n v="2.59"/>
    <n v="1.9"/>
    <x v="1"/>
    <n v="10"/>
    <n v="5"/>
    <n v="5"/>
    <x v="0"/>
    <x v="0"/>
    <x v="0"/>
    <x v="2"/>
  </r>
  <r>
    <n v="19"/>
    <x v="1"/>
    <n v="6.6"/>
    <x v="2"/>
    <n v="9"/>
    <n v="2.9"/>
    <n v="2.4700000000000002"/>
    <n v="1.7"/>
    <x v="2"/>
    <n v="3"/>
    <n v="7"/>
    <n v="9"/>
    <x v="0"/>
    <x v="1"/>
    <x v="0"/>
    <x v="1"/>
  </r>
  <r>
    <n v="19"/>
    <x v="0"/>
    <n v="1.4"/>
    <x v="2"/>
    <n v="4.5"/>
    <n v="2.2999999999999998"/>
    <n v="3.9"/>
    <n v="0"/>
    <x v="2"/>
    <n v="2"/>
    <n v="8"/>
    <n v="10"/>
    <x v="0"/>
    <x v="1"/>
    <x v="1"/>
    <x v="1"/>
  </r>
  <r>
    <n v="19"/>
    <x v="0"/>
    <n v="2.4"/>
    <x v="1"/>
    <n v="9"/>
    <n v="2.4"/>
    <n v="3.13"/>
    <n v="0.5"/>
    <x v="1"/>
    <n v="5"/>
    <n v="3"/>
    <n v="3"/>
    <x v="0"/>
    <x v="1"/>
    <x v="0"/>
    <x v="0"/>
  </r>
  <r>
    <n v="18"/>
    <x v="0"/>
    <n v="1.6"/>
    <x v="2"/>
    <n v="5.4"/>
    <n v="2"/>
    <n v="3.2"/>
    <n v="1.8"/>
    <x v="0"/>
    <n v="8"/>
    <n v="8"/>
    <n v="3"/>
    <x v="0"/>
    <x v="1"/>
    <x v="1"/>
    <x v="0"/>
  </r>
  <r>
    <n v="18"/>
    <x v="0"/>
    <n v="2"/>
    <x v="0"/>
    <n v="8.9"/>
    <n v="0.8"/>
    <n v="2.96"/>
    <n v="0.5"/>
    <x v="2"/>
    <n v="6"/>
    <n v="2"/>
    <n v="2"/>
    <x v="0"/>
    <x v="1"/>
    <x v="0"/>
    <x v="0"/>
  </r>
  <r>
    <n v="17"/>
    <x v="1"/>
    <n v="7.4"/>
    <x v="0"/>
    <n v="7.4"/>
    <n v="2"/>
    <n v="3.76"/>
    <n v="1.7"/>
    <x v="1"/>
    <n v="10"/>
    <n v="1"/>
    <n v="4"/>
    <x v="0"/>
    <x v="1"/>
    <x v="0"/>
    <x v="2"/>
  </r>
  <r>
    <n v="14"/>
    <x v="1"/>
    <n v="1.6"/>
    <x v="1"/>
    <n v="4.8"/>
    <n v="2.4"/>
    <n v="2.97"/>
    <n v="1.9"/>
    <x v="0"/>
    <n v="9"/>
    <n v="9"/>
    <n v="10"/>
    <x v="0"/>
    <x v="0"/>
    <x v="1"/>
    <x v="1"/>
  </r>
  <r>
    <n v="17"/>
    <x v="1"/>
    <n v="3.8"/>
    <x v="0"/>
    <n v="8.4"/>
    <n v="0.9"/>
    <n v="3.6"/>
    <n v="1.9"/>
    <x v="1"/>
    <n v="1"/>
    <n v="2"/>
    <n v="2"/>
    <x v="0"/>
    <x v="1"/>
    <x v="0"/>
    <x v="0"/>
  </r>
  <r>
    <n v="19"/>
    <x v="0"/>
    <n v="8"/>
    <x v="1"/>
    <n v="4.7"/>
    <n v="0.5"/>
    <n v="2.1800000000000002"/>
    <n v="0.6"/>
    <x v="2"/>
    <n v="8"/>
    <n v="8"/>
    <n v="6"/>
    <x v="1"/>
    <x v="1"/>
    <x v="1"/>
    <x v="2"/>
  </r>
  <r>
    <n v="13"/>
    <x v="0"/>
    <n v="7.8"/>
    <x v="1"/>
    <n v="5.9"/>
    <n v="1.5"/>
    <n v="3.31"/>
    <n v="1.9"/>
    <x v="1"/>
    <n v="10"/>
    <n v="1"/>
    <n v="10"/>
    <x v="0"/>
    <x v="0"/>
    <x v="1"/>
    <x v="1"/>
  </r>
  <r>
    <n v="13"/>
    <x v="1"/>
    <n v="7.2"/>
    <x v="0"/>
    <n v="8.1"/>
    <n v="2.1"/>
    <n v="2.52"/>
    <n v="0.4"/>
    <x v="2"/>
    <n v="3"/>
    <n v="3"/>
    <n v="7"/>
    <x v="0"/>
    <x v="0"/>
    <x v="0"/>
    <x v="1"/>
  </r>
  <r>
    <n v="17"/>
    <x v="0"/>
    <n v="2"/>
    <x v="2"/>
    <n v="4.5"/>
    <n v="1.7"/>
    <n v="2.65"/>
    <n v="0"/>
    <x v="2"/>
    <n v="9"/>
    <n v="4"/>
    <n v="2"/>
    <x v="0"/>
    <x v="1"/>
    <x v="1"/>
    <x v="0"/>
  </r>
  <r>
    <n v="18"/>
    <x v="1"/>
    <n v="6.8"/>
    <x v="0"/>
    <n v="6.6"/>
    <n v="2"/>
    <n v="2.76"/>
    <n v="1"/>
    <x v="0"/>
    <n v="3"/>
    <n v="4"/>
    <n v="4"/>
    <x v="0"/>
    <x v="1"/>
    <x v="0"/>
    <x v="2"/>
  </r>
  <r>
    <n v="16"/>
    <x v="0"/>
    <n v="2.2999999999999998"/>
    <x v="2"/>
    <n v="8"/>
    <n v="1.9"/>
    <n v="2.12"/>
    <n v="0.4"/>
    <x v="1"/>
    <n v="7"/>
    <n v="4"/>
    <n v="4"/>
    <x v="0"/>
    <x v="1"/>
    <x v="0"/>
    <x v="2"/>
  </r>
  <r>
    <n v="14"/>
    <x v="1"/>
    <n v="1.7"/>
    <x v="2"/>
    <n v="8.6999999999999993"/>
    <n v="0.7"/>
    <n v="3.98"/>
    <n v="0.8"/>
    <x v="1"/>
    <n v="1"/>
    <n v="1"/>
    <n v="1"/>
    <x v="0"/>
    <x v="0"/>
    <x v="0"/>
    <x v="0"/>
  </r>
  <r>
    <n v="15"/>
    <x v="0"/>
    <n v="3.9"/>
    <x v="2"/>
    <n v="8.5"/>
    <n v="2.1"/>
    <n v="3.19"/>
    <n v="0.6"/>
    <x v="1"/>
    <n v="7"/>
    <n v="9"/>
    <n v="9"/>
    <x v="0"/>
    <x v="0"/>
    <x v="0"/>
    <x v="1"/>
  </r>
  <r>
    <n v="16"/>
    <x v="1"/>
    <n v="4.7"/>
    <x v="1"/>
    <n v="6.5"/>
    <n v="1"/>
    <n v="2.91"/>
    <n v="0.9"/>
    <x v="2"/>
    <n v="5"/>
    <n v="7"/>
    <n v="3"/>
    <x v="0"/>
    <x v="1"/>
    <x v="0"/>
    <x v="0"/>
  </r>
  <r>
    <m/>
    <x v="2"/>
    <m/>
    <x v="3"/>
    <m/>
    <m/>
    <m/>
    <m/>
    <x v="3"/>
    <m/>
    <m/>
    <m/>
    <x v="2"/>
    <x v="2"/>
    <x v="2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514ED4-2A87-4988-A737-06D0B017D3B0}" name="PivotTable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5">
  <location ref="A28:B31" firstHeaderRow="1" firstDataRow="1" firstDataCol="1"/>
  <pivotFields count="16">
    <pivotField compact="0" outline="0" showAll="0"/>
    <pivotField compact="0" outline="0" showAll="0"/>
    <pivotField compact="0" outline="0" showAll="0"/>
    <pivotField compact="0" outline="0" showAll="0">
      <items count="5">
        <item x="2"/>
        <item x="0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Row" compact="0" outline="0" showAll="0">
      <items count="4">
        <item x="0"/>
        <item x="1"/>
        <item h="1" x="2"/>
        <item t="default"/>
      </items>
    </pivotField>
    <pivotField compact="0" outline="0" showAll="0"/>
    <pivotField compact="0" outline="0" showAll="0"/>
  </pivotFields>
  <rowFields count="1">
    <field x="13"/>
  </rowFields>
  <rowItems count="3">
    <i>
      <x/>
    </i>
    <i>
      <x v="1"/>
    </i>
    <i t="grand">
      <x/>
    </i>
  </rowItems>
  <colItems count="1">
    <i/>
  </colItems>
  <dataFields count="1">
    <dataField name="Sum of depression_label" fld="12" baseField="0" baseItem="0"/>
  </dataFields>
  <chartFormats count="3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6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8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6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8" format="17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9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9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9" format="20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0" format="5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7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1" format="8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2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0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2" format="1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3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6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3" format="17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E5370F-A19D-42D4-8946-DB5A73D6F599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14:D19" firstHeaderRow="1" firstDataRow="2" firstDataCol="1"/>
  <pivotFields count="16">
    <pivotField compact="0" outline="0" showAll="0"/>
    <pivotField compact="0" outline="0" showAll="0"/>
    <pivotField compact="0" outline="0" showAll="0"/>
    <pivotField axis="axisRow" compact="0" outline="0" showAll="0">
      <items count="5">
        <item x="2"/>
        <item x="0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howAll="0">
      <items count="4">
        <item x="0"/>
        <item x="1"/>
        <item h="1" x="2"/>
        <item t="default"/>
      </items>
    </pivotField>
    <pivotField compact="0" outline="0" showAll="0"/>
    <pivotField compact="0" outline="0"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age group" fld="13" subtotal="count" baseField="0" baseItem="0"/>
  </dataFields>
  <chartFormats count="10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1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1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3FFAD6-1698-448B-AFBD-D5416D076005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3">
  <location ref="A3:B6" firstHeaderRow="1" firstDataRow="1" firstDataCol="1"/>
  <pivotFields count="16">
    <pivotField compact="0" outline="0" showAll="0"/>
    <pivotField axis="axisRow" compact="0" outline="0" multipleItemSelectionAllowed="1" showAll="0">
      <items count="4">
        <item x="1"/>
        <item x="0"/>
        <item h="1" x="2"/>
        <item t="default"/>
      </items>
    </pivotField>
    <pivotField compact="0" outline="0" showAll="0"/>
    <pivotField compact="0" outline="0" showAll="0">
      <items count="5">
        <item x="2"/>
        <item x="0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>
      <items count="4">
        <item x="0"/>
        <item x="1"/>
        <item x="2"/>
        <item t="default"/>
      </items>
    </pivotField>
    <pivotField compact="0" outline="0" showAll="0">
      <items count="4">
        <item h="1" x="0"/>
        <item x="1"/>
        <item h="1" x="2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>
      <items count="5">
        <item x="1"/>
        <item x="0"/>
        <item x="2"/>
        <item x="3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um of depression_label" fld="12" baseField="0" baseItem="0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1F19BE-D4A3-470E-9380-42324A1B4CE1}" name="PivotTable5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A48:D53" firstHeaderRow="1" firstDataRow="2" firstDataCol="1"/>
  <pivotFields count="16">
    <pivotField compact="0" outline="0" showAll="0"/>
    <pivotField axis="axisCol" compact="0" outline="0" showAll="0">
      <items count="4">
        <item x="1"/>
        <item x="0"/>
        <item h="1"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1"/>
        <item x="0"/>
        <item x="2"/>
        <item h="1" x="3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depression_label" fld="12" baseField="0" baseItem="0"/>
  </dataFields>
  <chartFormats count="8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141EBD-4692-48D3-891E-4E09C39A3FAE}" name="PivotTable4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7">
  <location ref="A37:B41" firstHeaderRow="1" firstDataRow="1" firstDataCol="1"/>
  <pivotFields count="16">
    <pivotField compact="0" outline="0" showAll="0"/>
    <pivotField compact="0" outline="0" showAll="0"/>
    <pivotField compact="0" outline="0" showAll="0"/>
    <pivotField compact="0" outline="0" showAll="0">
      <items count="5">
        <item x="2"/>
        <item x="0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axis="axisRow" compact="0" outline="0" showAll="0">
      <items count="5">
        <item x="1"/>
        <item x="0"/>
        <item x="2"/>
        <item h="1" x="3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depression_label" fld="12" baseField="0" baseItem="0"/>
  </dataFields>
  <chartFormats count="19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depression_label" xr10:uid="{F23AADEF-266C-4D1D-9EAD-B0325D0E85D6}" sourceName="depression_label">
  <pivotTables>
    <pivotTable tabId="4" name="PivotTable1"/>
  </pivotTables>
  <data>
    <tabular pivotCacheId="640286808">
      <items count="3">
        <i x="0" s="1"/>
        <i x="1" s="1"/>
        <i x="2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leep_categeory" xr10:uid="{94DA89D0-C07A-4133-AB3F-2C30DE1BE67C}" sourceName="sleep categeory">
  <pivotTables>
    <pivotTable tabId="4" name="PivotTable1"/>
  </pivotTables>
  <data>
    <tabular pivotCacheId="640286808">
      <items count="3">
        <i x="0" s="1"/>
        <i x="1" s="1"/>
        <i x="2" s="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addiction_category" xr10:uid="{93CF1109-9B59-4E42-9205-3276F03FB723}" sourceName="addiction category">
  <pivotTables>
    <pivotTable tabId="4" name="PivotTable1"/>
  </pivotTables>
  <data>
    <tabular pivotCacheId="640286808">
      <items count="4">
        <i x="1" s="1"/>
        <i x="0" s="1"/>
        <i x="2" s="1"/>
        <i x="3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epression_label" xr10:uid="{A6119114-8616-40E1-86B3-C3BB46E6DD42}" cache="Slicer_depression_label" caption="depression_label" rowHeight="228600"/>
  <slicer name="sleep categeory" xr10:uid="{49FAD328-B80A-41F9-BF0B-1B80AA3C6A93}" cache="Slicer_sleep_categeory" caption="sleep categeory" rowHeight="228600"/>
  <slicer name="addiction category" xr10:uid="{7060C3DB-509A-4A25-80D5-3EB9F0A17B1C}" cache="Slicer_addiction_category" caption="addiction category" rowHeight="228600"/>
</slicer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microsoft.com/office/2007/relationships/slicer" Target="../slicers/slicer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0CED7-3B63-4FE6-B1FD-296F388D2D7B}">
  <dimension ref="A1:M1201"/>
  <sheetViews>
    <sheetView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14</v>
      </c>
      <c r="B2" t="s">
        <v>13</v>
      </c>
      <c r="C2">
        <v>7.9</v>
      </c>
      <c r="D2" t="s">
        <v>14</v>
      </c>
      <c r="E2">
        <v>7.4</v>
      </c>
      <c r="F2">
        <v>2.9</v>
      </c>
      <c r="G2">
        <v>3.01</v>
      </c>
      <c r="H2">
        <v>1.5</v>
      </c>
      <c r="I2" t="s">
        <v>15</v>
      </c>
      <c r="J2">
        <v>2</v>
      </c>
      <c r="K2">
        <v>2</v>
      </c>
      <c r="L2">
        <v>1</v>
      </c>
      <c r="M2">
        <v>0</v>
      </c>
    </row>
    <row r="3" spans="1:13" x14ac:dyDescent="0.3">
      <c r="A3">
        <v>19</v>
      </c>
      <c r="B3" t="s">
        <v>16</v>
      </c>
      <c r="C3">
        <v>1.9</v>
      </c>
      <c r="D3" t="s">
        <v>17</v>
      </c>
      <c r="E3">
        <v>8</v>
      </c>
      <c r="F3">
        <v>2.9</v>
      </c>
      <c r="G3">
        <v>3.22</v>
      </c>
      <c r="H3">
        <v>0.8</v>
      </c>
      <c r="I3" t="s">
        <v>18</v>
      </c>
      <c r="J3">
        <v>8</v>
      </c>
      <c r="K3">
        <v>1</v>
      </c>
      <c r="L3">
        <v>10</v>
      </c>
      <c r="M3">
        <v>0</v>
      </c>
    </row>
    <row r="4" spans="1:13" x14ac:dyDescent="0.3">
      <c r="A4">
        <v>17</v>
      </c>
      <c r="B4" t="s">
        <v>16</v>
      </c>
      <c r="C4">
        <v>1.3</v>
      </c>
      <c r="D4" t="s">
        <v>14</v>
      </c>
      <c r="E4">
        <v>7.6</v>
      </c>
      <c r="F4">
        <v>0.5</v>
      </c>
      <c r="G4">
        <v>3.92</v>
      </c>
      <c r="H4">
        <v>0</v>
      </c>
      <c r="I4" t="s">
        <v>18</v>
      </c>
      <c r="J4">
        <v>2</v>
      </c>
      <c r="K4">
        <v>4</v>
      </c>
      <c r="L4">
        <v>2</v>
      </c>
      <c r="M4">
        <v>0</v>
      </c>
    </row>
    <row r="5" spans="1:13" x14ac:dyDescent="0.3">
      <c r="A5">
        <v>15</v>
      </c>
      <c r="B5" t="s">
        <v>13</v>
      </c>
      <c r="C5">
        <v>7.4</v>
      </c>
      <c r="D5" t="s">
        <v>17</v>
      </c>
      <c r="E5">
        <v>6.9</v>
      </c>
      <c r="F5">
        <v>1.6</v>
      </c>
      <c r="G5">
        <v>3.48</v>
      </c>
      <c r="H5">
        <v>0.8</v>
      </c>
      <c r="I5" t="s">
        <v>19</v>
      </c>
      <c r="J5">
        <v>1</v>
      </c>
      <c r="K5">
        <v>7</v>
      </c>
      <c r="L5">
        <v>9</v>
      </c>
      <c r="M5">
        <v>0</v>
      </c>
    </row>
    <row r="6" spans="1:13" x14ac:dyDescent="0.3">
      <c r="A6">
        <v>15</v>
      </c>
      <c r="B6" t="s">
        <v>16</v>
      </c>
      <c r="C6">
        <v>4.7</v>
      </c>
      <c r="D6" t="s">
        <v>20</v>
      </c>
      <c r="E6">
        <v>4.9000000000000004</v>
      </c>
      <c r="F6">
        <v>3</v>
      </c>
      <c r="G6">
        <v>2.37</v>
      </c>
      <c r="H6">
        <v>1.4</v>
      </c>
      <c r="I6" t="s">
        <v>19</v>
      </c>
      <c r="J6">
        <v>3</v>
      </c>
      <c r="K6">
        <v>5</v>
      </c>
      <c r="L6">
        <v>2</v>
      </c>
      <c r="M6">
        <v>0</v>
      </c>
    </row>
    <row r="7" spans="1:13" x14ac:dyDescent="0.3">
      <c r="A7">
        <v>19</v>
      </c>
      <c r="B7" t="s">
        <v>16</v>
      </c>
      <c r="C7">
        <v>7.4</v>
      </c>
      <c r="D7" t="s">
        <v>20</v>
      </c>
      <c r="E7">
        <v>4.4000000000000004</v>
      </c>
      <c r="F7">
        <v>2.4</v>
      </c>
      <c r="G7">
        <v>2.63</v>
      </c>
      <c r="H7">
        <v>0.6</v>
      </c>
      <c r="I7" t="s">
        <v>18</v>
      </c>
      <c r="J7">
        <v>3</v>
      </c>
      <c r="K7">
        <v>5</v>
      </c>
      <c r="L7">
        <v>7</v>
      </c>
      <c r="M7">
        <v>0</v>
      </c>
    </row>
    <row r="8" spans="1:13" x14ac:dyDescent="0.3">
      <c r="A8">
        <v>18</v>
      </c>
      <c r="B8" t="s">
        <v>16</v>
      </c>
      <c r="C8">
        <v>2.5</v>
      </c>
      <c r="D8" t="s">
        <v>14</v>
      </c>
      <c r="E8">
        <v>6.4</v>
      </c>
      <c r="F8">
        <v>2.4</v>
      </c>
      <c r="G8">
        <v>2.63</v>
      </c>
      <c r="H8">
        <v>0.7</v>
      </c>
      <c r="I8" t="s">
        <v>15</v>
      </c>
      <c r="J8">
        <v>2</v>
      </c>
      <c r="K8">
        <v>2</v>
      </c>
      <c r="L8">
        <v>5</v>
      </c>
      <c r="M8">
        <v>0</v>
      </c>
    </row>
    <row r="9" spans="1:13" x14ac:dyDescent="0.3">
      <c r="A9">
        <v>16</v>
      </c>
      <c r="B9" t="s">
        <v>13</v>
      </c>
      <c r="C9">
        <v>4</v>
      </c>
      <c r="D9" t="s">
        <v>20</v>
      </c>
      <c r="E9">
        <v>4.2</v>
      </c>
      <c r="F9">
        <v>0.5</v>
      </c>
      <c r="G9">
        <v>2.4</v>
      </c>
      <c r="H9">
        <v>1.3</v>
      </c>
      <c r="I9" t="s">
        <v>15</v>
      </c>
      <c r="J9">
        <v>6</v>
      </c>
      <c r="K9">
        <v>10</v>
      </c>
      <c r="L9">
        <v>5</v>
      </c>
      <c r="M9">
        <v>0</v>
      </c>
    </row>
    <row r="10" spans="1:13" x14ac:dyDescent="0.3">
      <c r="A10">
        <v>19</v>
      </c>
      <c r="B10" t="s">
        <v>16</v>
      </c>
      <c r="C10">
        <v>3.3</v>
      </c>
      <c r="D10" t="s">
        <v>17</v>
      </c>
      <c r="E10">
        <v>5</v>
      </c>
      <c r="F10">
        <v>2.1</v>
      </c>
      <c r="G10">
        <v>2.04</v>
      </c>
      <c r="H10">
        <v>0.9</v>
      </c>
      <c r="I10" t="s">
        <v>18</v>
      </c>
      <c r="J10">
        <v>1</v>
      </c>
      <c r="K10">
        <v>10</v>
      </c>
      <c r="L10">
        <v>9</v>
      </c>
      <c r="M10">
        <v>0</v>
      </c>
    </row>
    <row r="11" spans="1:13" x14ac:dyDescent="0.3">
      <c r="A11">
        <v>15</v>
      </c>
      <c r="B11" t="s">
        <v>13</v>
      </c>
      <c r="C11">
        <v>1.9</v>
      </c>
      <c r="D11" t="s">
        <v>17</v>
      </c>
      <c r="E11">
        <v>4.9000000000000004</v>
      </c>
      <c r="F11">
        <v>1.5</v>
      </c>
      <c r="G11">
        <v>3.77</v>
      </c>
      <c r="H11">
        <v>1.1000000000000001</v>
      </c>
      <c r="I11" t="s">
        <v>18</v>
      </c>
      <c r="J11">
        <v>1</v>
      </c>
      <c r="K11">
        <v>1</v>
      </c>
      <c r="L11">
        <v>4</v>
      </c>
      <c r="M11">
        <v>0</v>
      </c>
    </row>
    <row r="12" spans="1:13" x14ac:dyDescent="0.3">
      <c r="A12">
        <v>16</v>
      </c>
      <c r="B12" t="s">
        <v>13</v>
      </c>
      <c r="C12">
        <v>7.2</v>
      </c>
      <c r="D12" t="s">
        <v>20</v>
      </c>
      <c r="E12">
        <v>5.8</v>
      </c>
      <c r="F12">
        <v>2.9</v>
      </c>
      <c r="G12">
        <v>3.16</v>
      </c>
      <c r="H12">
        <v>1.2</v>
      </c>
      <c r="I12" t="s">
        <v>19</v>
      </c>
      <c r="J12">
        <v>5</v>
      </c>
      <c r="K12">
        <v>8</v>
      </c>
      <c r="L12">
        <v>9</v>
      </c>
      <c r="M12">
        <v>0</v>
      </c>
    </row>
    <row r="13" spans="1:13" x14ac:dyDescent="0.3">
      <c r="A13">
        <v>13</v>
      </c>
      <c r="B13" t="s">
        <v>13</v>
      </c>
      <c r="C13">
        <v>4.9000000000000004</v>
      </c>
      <c r="D13" t="s">
        <v>14</v>
      </c>
      <c r="E13">
        <v>4.7</v>
      </c>
      <c r="F13">
        <v>2.5</v>
      </c>
      <c r="G13">
        <v>3.92</v>
      </c>
      <c r="H13">
        <v>1.2</v>
      </c>
      <c r="I13" t="s">
        <v>15</v>
      </c>
      <c r="J13">
        <v>1</v>
      </c>
      <c r="K13">
        <v>10</v>
      </c>
      <c r="L13">
        <v>8</v>
      </c>
      <c r="M13">
        <v>0</v>
      </c>
    </row>
    <row r="14" spans="1:13" x14ac:dyDescent="0.3">
      <c r="A14">
        <v>16</v>
      </c>
      <c r="B14" t="s">
        <v>13</v>
      </c>
      <c r="C14">
        <v>6.2</v>
      </c>
      <c r="D14" t="s">
        <v>20</v>
      </c>
      <c r="E14">
        <v>7.2</v>
      </c>
      <c r="F14">
        <v>2.6</v>
      </c>
      <c r="G14">
        <v>2.02</v>
      </c>
      <c r="H14">
        <v>1.7</v>
      </c>
      <c r="I14" t="s">
        <v>19</v>
      </c>
      <c r="J14">
        <v>5</v>
      </c>
      <c r="K14">
        <v>7</v>
      </c>
      <c r="L14">
        <v>6</v>
      </c>
      <c r="M14">
        <v>0</v>
      </c>
    </row>
    <row r="15" spans="1:13" x14ac:dyDescent="0.3">
      <c r="A15">
        <v>17</v>
      </c>
      <c r="B15" t="s">
        <v>16</v>
      </c>
      <c r="C15">
        <v>6.8</v>
      </c>
      <c r="D15" t="s">
        <v>17</v>
      </c>
      <c r="E15">
        <v>5.7</v>
      </c>
      <c r="F15">
        <v>1.1000000000000001</v>
      </c>
      <c r="G15">
        <v>3.29</v>
      </c>
      <c r="H15">
        <v>1.3</v>
      </c>
      <c r="I15" t="s">
        <v>19</v>
      </c>
      <c r="J15">
        <v>1</v>
      </c>
      <c r="K15">
        <v>10</v>
      </c>
      <c r="L15">
        <v>10</v>
      </c>
      <c r="M15">
        <v>0</v>
      </c>
    </row>
    <row r="16" spans="1:13" x14ac:dyDescent="0.3">
      <c r="A16">
        <v>15</v>
      </c>
      <c r="B16" t="s">
        <v>13</v>
      </c>
      <c r="C16">
        <v>5.7</v>
      </c>
      <c r="D16" t="s">
        <v>17</v>
      </c>
      <c r="E16">
        <v>5.9</v>
      </c>
      <c r="F16">
        <v>0.8</v>
      </c>
      <c r="G16">
        <v>3.5</v>
      </c>
      <c r="H16">
        <v>0.7</v>
      </c>
      <c r="I16" t="s">
        <v>15</v>
      </c>
      <c r="J16">
        <v>1</v>
      </c>
      <c r="K16">
        <v>9</v>
      </c>
      <c r="L16">
        <v>1</v>
      </c>
      <c r="M16">
        <v>0</v>
      </c>
    </row>
    <row r="17" spans="1:13" x14ac:dyDescent="0.3">
      <c r="A17">
        <v>14</v>
      </c>
      <c r="B17" t="s">
        <v>16</v>
      </c>
      <c r="C17">
        <v>3.6</v>
      </c>
      <c r="D17" t="s">
        <v>20</v>
      </c>
      <c r="E17">
        <v>5.3</v>
      </c>
      <c r="F17">
        <v>0.6</v>
      </c>
      <c r="G17">
        <v>2.99</v>
      </c>
      <c r="H17">
        <v>0.3</v>
      </c>
      <c r="I17" t="s">
        <v>18</v>
      </c>
      <c r="J17">
        <v>4</v>
      </c>
      <c r="K17">
        <v>10</v>
      </c>
      <c r="L17">
        <v>2</v>
      </c>
      <c r="M17">
        <v>0</v>
      </c>
    </row>
    <row r="18" spans="1:13" x14ac:dyDescent="0.3">
      <c r="A18">
        <v>13</v>
      </c>
      <c r="B18" t="s">
        <v>13</v>
      </c>
      <c r="C18">
        <v>1.5</v>
      </c>
      <c r="D18" t="s">
        <v>20</v>
      </c>
      <c r="E18">
        <v>4.2</v>
      </c>
      <c r="F18">
        <v>1.4</v>
      </c>
      <c r="G18">
        <v>2.59</v>
      </c>
      <c r="H18">
        <v>0.5</v>
      </c>
      <c r="I18" t="s">
        <v>18</v>
      </c>
      <c r="J18">
        <v>4</v>
      </c>
      <c r="K18">
        <v>5</v>
      </c>
      <c r="L18">
        <v>8</v>
      </c>
      <c r="M18">
        <v>0</v>
      </c>
    </row>
    <row r="19" spans="1:13" x14ac:dyDescent="0.3">
      <c r="A19">
        <v>16</v>
      </c>
      <c r="B19" t="s">
        <v>13</v>
      </c>
      <c r="C19">
        <v>3.1</v>
      </c>
      <c r="D19" t="s">
        <v>20</v>
      </c>
      <c r="E19">
        <v>6.1</v>
      </c>
      <c r="F19">
        <v>0.8</v>
      </c>
      <c r="G19">
        <v>2.11</v>
      </c>
      <c r="H19">
        <v>1.9</v>
      </c>
      <c r="I19" t="s">
        <v>18</v>
      </c>
      <c r="J19">
        <v>10</v>
      </c>
      <c r="K19">
        <v>7</v>
      </c>
      <c r="L19">
        <v>10</v>
      </c>
      <c r="M19">
        <v>0</v>
      </c>
    </row>
    <row r="20" spans="1:13" x14ac:dyDescent="0.3">
      <c r="A20">
        <v>16</v>
      </c>
      <c r="B20" t="s">
        <v>16</v>
      </c>
      <c r="C20">
        <v>6.7</v>
      </c>
      <c r="D20" t="s">
        <v>20</v>
      </c>
      <c r="E20">
        <v>6.8</v>
      </c>
      <c r="F20">
        <v>1.9</v>
      </c>
      <c r="G20">
        <v>3.08</v>
      </c>
      <c r="H20">
        <v>1.4</v>
      </c>
      <c r="I20" t="s">
        <v>18</v>
      </c>
      <c r="J20">
        <v>10</v>
      </c>
      <c r="K20">
        <v>9</v>
      </c>
      <c r="L20">
        <v>1</v>
      </c>
      <c r="M20">
        <v>0</v>
      </c>
    </row>
    <row r="21" spans="1:13" x14ac:dyDescent="0.3">
      <c r="A21">
        <v>14</v>
      </c>
      <c r="B21" t="s">
        <v>16</v>
      </c>
      <c r="C21">
        <v>1.2</v>
      </c>
      <c r="D21" t="s">
        <v>14</v>
      </c>
      <c r="E21">
        <v>7.6</v>
      </c>
      <c r="F21">
        <v>1</v>
      </c>
      <c r="G21">
        <v>3.85</v>
      </c>
      <c r="H21">
        <v>0.8</v>
      </c>
      <c r="I21" t="s">
        <v>18</v>
      </c>
      <c r="J21">
        <v>8</v>
      </c>
      <c r="K21">
        <v>4</v>
      </c>
      <c r="L21">
        <v>6</v>
      </c>
      <c r="M21">
        <v>0</v>
      </c>
    </row>
    <row r="22" spans="1:13" x14ac:dyDescent="0.3">
      <c r="A22">
        <v>16</v>
      </c>
      <c r="B22" t="s">
        <v>13</v>
      </c>
      <c r="C22">
        <v>3.4</v>
      </c>
      <c r="D22" t="s">
        <v>17</v>
      </c>
      <c r="E22">
        <v>4.5999999999999996</v>
      </c>
      <c r="F22">
        <v>2.1</v>
      </c>
      <c r="G22">
        <v>2.2400000000000002</v>
      </c>
      <c r="H22">
        <v>0.4</v>
      </c>
      <c r="I22" t="s">
        <v>18</v>
      </c>
      <c r="J22">
        <v>4</v>
      </c>
      <c r="K22">
        <v>1</v>
      </c>
      <c r="L22">
        <v>3</v>
      </c>
      <c r="M22">
        <v>0</v>
      </c>
    </row>
    <row r="23" spans="1:13" x14ac:dyDescent="0.3">
      <c r="A23">
        <v>18</v>
      </c>
      <c r="B23" t="s">
        <v>13</v>
      </c>
      <c r="C23">
        <v>4.0999999999999996</v>
      </c>
      <c r="D23" t="s">
        <v>20</v>
      </c>
      <c r="E23">
        <v>7.4</v>
      </c>
      <c r="F23">
        <v>2.4</v>
      </c>
      <c r="G23">
        <v>2.38</v>
      </c>
      <c r="H23">
        <v>1.5</v>
      </c>
      <c r="I23" t="s">
        <v>19</v>
      </c>
      <c r="J23">
        <v>8</v>
      </c>
      <c r="K23">
        <v>4</v>
      </c>
      <c r="L23">
        <v>9</v>
      </c>
      <c r="M23">
        <v>0</v>
      </c>
    </row>
    <row r="24" spans="1:13" x14ac:dyDescent="0.3">
      <c r="A24">
        <v>18</v>
      </c>
      <c r="B24" t="s">
        <v>13</v>
      </c>
      <c r="C24">
        <v>5.3</v>
      </c>
      <c r="D24" t="s">
        <v>14</v>
      </c>
      <c r="E24">
        <v>4.9000000000000004</v>
      </c>
      <c r="F24">
        <v>1.2</v>
      </c>
      <c r="G24">
        <v>3.69</v>
      </c>
      <c r="H24">
        <v>1.2</v>
      </c>
      <c r="I24" t="s">
        <v>15</v>
      </c>
      <c r="J24">
        <v>5</v>
      </c>
      <c r="K24">
        <v>4</v>
      </c>
      <c r="L24">
        <v>5</v>
      </c>
      <c r="M24">
        <v>0</v>
      </c>
    </row>
    <row r="25" spans="1:13" x14ac:dyDescent="0.3">
      <c r="A25">
        <v>18</v>
      </c>
      <c r="B25" t="s">
        <v>16</v>
      </c>
      <c r="C25">
        <v>2.2999999999999998</v>
      </c>
      <c r="D25" t="s">
        <v>17</v>
      </c>
      <c r="E25">
        <v>7.6</v>
      </c>
      <c r="F25">
        <v>0.5</v>
      </c>
      <c r="G25">
        <v>2.96</v>
      </c>
      <c r="H25">
        <v>1.7</v>
      </c>
      <c r="I25" t="s">
        <v>19</v>
      </c>
      <c r="J25">
        <v>9</v>
      </c>
      <c r="K25">
        <v>8</v>
      </c>
      <c r="L25">
        <v>7</v>
      </c>
      <c r="M25">
        <v>0</v>
      </c>
    </row>
    <row r="26" spans="1:13" x14ac:dyDescent="0.3">
      <c r="A26">
        <v>18</v>
      </c>
      <c r="B26" t="s">
        <v>16</v>
      </c>
      <c r="C26">
        <v>2.4</v>
      </c>
      <c r="D26" t="s">
        <v>20</v>
      </c>
      <c r="E26">
        <v>6.7</v>
      </c>
      <c r="F26">
        <v>1.9</v>
      </c>
      <c r="G26">
        <v>2.5299999999999998</v>
      </c>
      <c r="H26">
        <v>0.4</v>
      </c>
      <c r="I26" t="s">
        <v>18</v>
      </c>
      <c r="J26">
        <v>8</v>
      </c>
      <c r="K26">
        <v>8</v>
      </c>
      <c r="L26">
        <v>2</v>
      </c>
      <c r="M26">
        <v>0</v>
      </c>
    </row>
    <row r="27" spans="1:13" x14ac:dyDescent="0.3">
      <c r="A27">
        <v>13</v>
      </c>
      <c r="B27" t="s">
        <v>16</v>
      </c>
      <c r="C27">
        <v>1.5</v>
      </c>
      <c r="D27" t="s">
        <v>20</v>
      </c>
      <c r="E27">
        <v>7.2</v>
      </c>
      <c r="F27">
        <v>2.5</v>
      </c>
      <c r="G27">
        <v>2.15</v>
      </c>
      <c r="H27">
        <v>1.3</v>
      </c>
      <c r="I27" t="s">
        <v>19</v>
      </c>
      <c r="J27">
        <v>4</v>
      </c>
      <c r="K27">
        <v>6</v>
      </c>
      <c r="L27">
        <v>2</v>
      </c>
      <c r="M27">
        <v>0</v>
      </c>
    </row>
    <row r="28" spans="1:13" x14ac:dyDescent="0.3">
      <c r="A28">
        <v>14</v>
      </c>
      <c r="B28" t="s">
        <v>16</v>
      </c>
      <c r="C28">
        <v>5.7</v>
      </c>
      <c r="D28" t="s">
        <v>20</v>
      </c>
      <c r="E28">
        <v>8.6999999999999993</v>
      </c>
      <c r="F28">
        <v>0.6</v>
      </c>
      <c r="G28">
        <v>2.64</v>
      </c>
      <c r="H28">
        <v>0.1</v>
      </c>
      <c r="I28" t="s">
        <v>15</v>
      </c>
      <c r="J28">
        <v>8</v>
      </c>
      <c r="K28">
        <v>9</v>
      </c>
      <c r="L28">
        <v>4</v>
      </c>
      <c r="M28">
        <v>0</v>
      </c>
    </row>
    <row r="29" spans="1:13" x14ac:dyDescent="0.3">
      <c r="A29">
        <v>19</v>
      </c>
      <c r="B29" t="s">
        <v>13</v>
      </c>
      <c r="C29">
        <v>2</v>
      </c>
      <c r="D29" t="s">
        <v>17</v>
      </c>
      <c r="E29">
        <v>7.1</v>
      </c>
      <c r="F29">
        <v>0.9</v>
      </c>
      <c r="G29">
        <v>3.26</v>
      </c>
      <c r="H29">
        <v>1.6</v>
      </c>
      <c r="I29" t="s">
        <v>18</v>
      </c>
      <c r="J29">
        <v>7</v>
      </c>
      <c r="K29">
        <v>5</v>
      </c>
      <c r="L29">
        <v>9</v>
      </c>
      <c r="M29">
        <v>0</v>
      </c>
    </row>
    <row r="30" spans="1:13" x14ac:dyDescent="0.3">
      <c r="A30">
        <v>14</v>
      </c>
      <c r="B30" t="s">
        <v>13</v>
      </c>
      <c r="C30">
        <v>2.5</v>
      </c>
      <c r="D30" t="s">
        <v>17</v>
      </c>
      <c r="E30">
        <v>5.6</v>
      </c>
      <c r="F30">
        <v>2.9</v>
      </c>
      <c r="G30">
        <v>2.2400000000000002</v>
      </c>
      <c r="H30">
        <v>0.5</v>
      </c>
      <c r="I30" t="s">
        <v>15</v>
      </c>
      <c r="J30">
        <v>3</v>
      </c>
      <c r="K30">
        <v>9</v>
      </c>
      <c r="L30">
        <v>5</v>
      </c>
      <c r="M30">
        <v>0</v>
      </c>
    </row>
    <row r="31" spans="1:13" x14ac:dyDescent="0.3">
      <c r="A31">
        <v>16</v>
      </c>
      <c r="B31" t="s">
        <v>16</v>
      </c>
      <c r="C31">
        <v>3.4</v>
      </c>
      <c r="D31" t="s">
        <v>17</v>
      </c>
      <c r="E31">
        <v>7.8</v>
      </c>
      <c r="F31">
        <v>2.8</v>
      </c>
      <c r="G31">
        <v>3.83</v>
      </c>
      <c r="H31">
        <v>1.8</v>
      </c>
      <c r="I31" t="s">
        <v>19</v>
      </c>
      <c r="J31">
        <v>6</v>
      </c>
      <c r="K31">
        <v>6</v>
      </c>
      <c r="L31">
        <v>4</v>
      </c>
      <c r="M31">
        <v>0</v>
      </c>
    </row>
    <row r="32" spans="1:13" x14ac:dyDescent="0.3">
      <c r="A32">
        <v>13</v>
      </c>
      <c r="B32" t="s">
        <v>13</v>
      </c>
      <c r="C32">
        <v>6.6</v>
      </c>
      <c r="D32" t="s">
        <v>17</v>
      </c>
      <c r="E32">
        <v>5.7</v>
      </c>
      <c r="F32">
        <v>2.5</v>
      </c>
      <c r="G32">
        <v>2.67</v>
      </c>
      <c r="H32">
        <v>1.1000000000000001</v>
      </c>
      <c r="I32" t="s">
        <v>15</v>
      </c>
      <c r="J32">
        <v>2</v>
      </c>
      <c r="K32">
        <v>1</v>
      </c>
      <c r="L32">
        <v>10</v>
      </c>
      <c r="M32">
        <v>0</v>
      </c>
    </row>
    <row r="33" spans="1:13" x14ac:dyDescent="0.3">
      <c r="A33">
        <v>13</v>
      </c>
      <c r="B33" t="s">
        <v>16</v>
      </c>
      <c r="C33">
        <v>1.6</v>
      </c>
      <c r="D33" t="s">
        <v>14</v>
      </c>
      <c r="E33">
        <v>8.6999999999999993</v>
      </c>
      <c r="F33">
        <v>2.5</v>
      </c>
      <c r="G33">
        <v>3.69</v>
      </c>
      <c r="H33">
        <v>0.4</v>
      </c>
      <c r="I33" t="s">
        <v>18</v>
      </c>
      <c r="J33">
        <v>8</v>
      </c>
      <c r="K33">
        <v>2</v>
      </c>
      <c r="L33">
        <v>9</v>
      </c>
      <c r="M33">
        <v>0</v>
      </c>
    </row>
    <row r="34" spans="1:13" x14ac:dyDescent="0.3">
      <c r="A34">
        <v>16</v>
      </c>
      <c r="B34" t="s">
        <v>13</v>
      </c>
      <c r="C34">
        <v>2.7</v>
      </c>
      <c r="D34" t="s">
        <v>14</v>
      </c>
      <c r="E34">
        <v>4.2</v>
      </c>
      <c r="F34">
        <v>2.4</v>
      </c>
      <c r="G34">
        <v>3.05</v>
      </c>
      <c r="H34">
        <v>0.2</v>
      </c>
      <c r="I34" t="s">
        <v>18</v>
      </c>
      <c r="J34">
        <v>1</v>
      </c>
      <c r="K34">
        <v>8</v>
      </c>
      <c r="L34">
        <v>4</v>
      </c>
      <c r="M34">
        <v>0</v>
      </c>
    </row>
    <row r="35" spans="1:13" x14ac:dyDescent="0.3">
      <c r="A35">
        <v>14</v>
      </c>
      <c r="B35" t="s">
        <v>13</v>
      </c>
      <c r="C35">
        <v>4.0999999999999996</v>
      </c>
      <c r="D35" t="s">
        <v>17</v>
      </c>
      <c r="E35">
        <v>8</v>
      </c>
      <c r="F35">
        <v>3</v>
      </c>
      <c r="G35">
        <v>2.31</v>
      </c>
      <c r="H35">
        <v>0.8</v>
      </c>
      <c r="I35" t="s">
        <v>15</v>
      </c>
      <c r="J35">
        <v>8</v>
      </c>
      <c r="K35">
        <v>4</v>
      </c>
      <c r="L35">
        <v>1</v>
      </c>
      <c r="M35">
        <v>0</v>
      </c>
    </row>
    <row r="36" spans="1:13" x14ac:dyDescent="0.3">
      <c r="A36">
        <v>13</v>
      </c>
      <c r="B36" t="s">
        <v>16</v>
      </c>
      <c r="C36">
        <v>6.6</v>
      </c>
      <c r="D36" t="s">
        <v>17</v>
      </c>
      <c r="E36">
        <v>7.3</v>
      </c>
      <c r="F36">
        <v>1.6</v>
      </c>
      <c r="G36">
        <v>3.27</v>
      </c>
      <c r="H36">
        <v>0.1</v>
      </c>
      <c r="I36" t="s">
        <v>19</v>
      </c>
      <c r="J36">
        <v>10</v>
      </c>
      <c r="K36">
        <v>2</v>
      </c>
      <c r="L36">
        <v>1</v>
      </c>
      <c r="M36">
        <v>0</v>
      </c>
    </row>
    <row r="37" spans="1:13" x14ac:dyDescent="0.3">
      <c r="A37">
        <v>17</v>
      </c>
      <c r="B37" t="s">
        <v>16</v>
      </c>
      <c r="C37">
        <v>5</v>
      </c>
      <c r="D37" t="s">
        <v>20</v>
      </c>
      <c r="E37">
        <v>4.9000000000000004</v>
      </c>
      <c r="F37">
        <v>2.1</v>
      </c>
      <c r="G37">
        <v>2.0099999999999998</v>
      </c>
      <c r="H37">
        <v>1</v>
      </c>
      <c r="I37" t="s">
        <v>15</v>
      </c>
      <c r="J37">
        <v>9</v>
      </c>
      <c r="K37">
        <v>4</v>
      </c>
      <c r="L37">
        <v>9</v>
      </c>
      <c r="M37">
        <v>0</v>
      </c>
    </row>
    <row r="38" spans="1:13" x14ac:dyDescent="0.3">
      <c r="A38">
        <v>19</v>
      </c>
      <c r="B38" t="s">
        <v>16</v>
      </c>
      <c r="C38">
        <v>4.5999999999999996</v>
      </c>
      <c r="D38" t="s">
        <v>14</v>
      </c>
      <c r="E38">
        <v>5.5</v>
      </c>
      <c r="F38">
        <v>2.5</v>
      </c>
      <c r="G38">
        <v>3.96</v>
      </c>
      <c r="H38">
        <v>0.8</v>
      </c>
      <c r="I38" t="s">
        <v>18</v>
      </c>
      <c r="J38">
        <v>3</v>
      </c>
      <c r="K38">
        <v>10</v>
      </c>
      <c r="L38">
        <v>7</v>
      </c>
      <c r="M38">
        <v>0</v>
      </c>
    </row>
    <row r="39" spans="1:13" x14ac:dyDescent="0.3">
      <c r="A39">
        <v>17</v>
      </c>
      <c r="B39" t="s">
        <v>16</v>
      </c>
      <c r="C39">
        <v>4.8</v>
      </c>
      <c r="D39" t="s">
        <v>14</v>
      </c>
      <c r="E39">
        <v>4.4000000000000004</v>
      </c>
      <c r="F39">
        <v>1.3</v>
      </c>
      <c r="G39">
        <v>2.02</v>
      </c>
      <c r="H39">
        <v>0.5</v>
      </c>
      <c r="I39" t="s">
        <v>15</v>
      </c>
      <c r="J39">
        <v>5</v>
      </c>
      <c r="K39">
        <v>10</v>
      </c>
      <c r="L39">
        <v>6</v>
      </c>
      <c r="M39">
        <v>0</v>
      </c>
    </row>
    <row r="40" spans="1:13" x14ac:dyDescent="0.3">
      <c r="A40">
        <v>17</v>
      </c>
      <c r="B40" t="s">
        <v>16</v>
      </c>
      <c r="C40">
        <v>1.3</v>
      </c>
      <c r="D40" t="s">
        <v>17</v>
      </c>
      <c r="E40">
        <v>8</v>
      </c>
      <c r="F40">
        <v>2</v>
      </c>
      <c r="G40">
        <v>2.84</v>
      </c>
      <c r="H40">
        <v>1.8</v>
      </c>
      <c r="I40" t="s">
        <v>18</v>
      </c>
      <c r="J40">
        <v>1</v>
      </c>
      <c r="K40">
        <v>7</v>
      </c>
      <c r="L40">
        <v>8</v>
      </c>
      <c r="M40">
        <v>0</v>
      </c>
    </row>
    <row r="41" spans="1:13" x14ac:dyDescent="0.3">
      <c r="A41">
        <v>17</v>
      </c>
      <c r="B41" t="s">
        <v>16</v>
      </c>
      <c r="C41">
        <v>6.3</v>
      </c>
      <c r="D41" t="s">
        <v>14</v>
      </c>
      <c r="E41">
        <v>4</v>
      </c>
      <c r="F41">
        <v>1</v>
      </c>
      <c r="G41">
        <v>2.4300000000000002</v>
      </c>
      <c r="H41">
        <v>1.2</v>
      </c>
      <c r="I41" t="s">
        <v>18</v>
      </c>
      <c r="J41">
        <v>1</v>
      </c>
      <c r="K41">
        <v>10</v>
      </c>
      <c r="L41">
        <v>9</v>
      </c>
      <c r="M41">
        <v>0</v>
      </c>
    </row>
    <row r="42" spans="1:13" x14ac:dyDescent="0.3">
      <c r="A42">
        <v>14</v>
      </c>
      <c r="B42" t="s">
        <v>13</v>
      </c>
      <c r="C42">
        <v>6.4</v>
      </c>
      <c r="D42" t="s">
        <v>14</v>
      </c>
      <c r="E42">
        <v>5.7</v>
      </c>
      <c r="F42">
        <v>0.9</v>
      </c>
      <c r="G42">
        <v>2.06</v>
      </c>
      <c r="H42">
        <v>1.8</v>
      </c>
      <c r="I42" t="s">
        <v>18</v>
      </c>
      <c r="J42">
        <v>10</v>
      </c>
      <c r="K42">
        <v>4</v>
      </c>
      <c r="L42">
        <v>2</v>
      </c>
      <c r="M42">
        <v>0</v>
      </c>
    </row>
    <row r="43" spans="1:13" x14ac:dyDescent="0.3">
      <c r="A43">
        <v>19</v>
      </c>
      <c r="B43" t="s">
        <v>13</v>
      </c>
      <c r="C43">
        <v>1.6</v>
      </c>
      <c r="D43" t="s">
        <v>14</v>
      </c>
      <c r="E43">
        <v>8.6</v>
      </c>
      <c r="F43">
        <v>2.4</v>
      </c>
      <c r="G43">
        <v>3.81</v>
      </c>
      <c r="H43">
        <v>0.4</v>
      </c>
      <c r="I43" t="s">
        <v>15</v>
      </c>
      <c r="J43">
        <v>10</v>
      </c>
      <c r="K43">
        <v>4</v>
      </c>
      <c r="L43">
        <v>1</v>
      </c>
      <c r="M43">
        <v>0</v>
      </c>
    </row>
    <row r="44" spans="1:13" x14ac:dyDescent="0.3">
      <c r="A44">
        <v>14</v>
      </c>
      <c r="B44" t="s">
        <v>16</v>
      </c>
      <c r="C44">
        <v>7.3</v>
      </c>
      <c r="D44" t="s">
        <v>14</v>
      </c>
      <c r="E44">
        <v>7.7</v>
      </c>
      <c r="F44">
        <v>1.4</v>
      </c>
      <c r="G44">
        <v>3.42</v>
      </c>
      <c r="H44">
        <v>0.3</v>
      </c>
      <c r="I44" t="s">
        <v>19</v>
      </c>
      <c r="J44">
        <v>6</v>
      </c>
      <c r="K44">
        <v>1</v>
      </c>
      <c r="L44">
        <v>8</v>
      </c>
      <c r="M44">
        <v>0</v>
      </c>
    </row>
    <row r="45" spans="1:13" x14ac:dyDescent="0.3">
      <c r="A45">
        <v>15</v>
      </c>
      <c r="B45" t="s">
        <v>13</v>
      </c>
      <c r="C45">
        <v>4</v>
      </c>
      <c r="D45" t="s">
        <v>20</v>
      </c>
      <c r="E45">
        <v>8.8000000000000007</v>
      </c>
      <c r="F45">
        <v>1.3</v>
      </c>
      <c r="G45">
        <v>3.59</v>
      </c>
      <c r="H45">
        <v>1.9</v>
      </c>
      <c r="I45" t="s">
        <v>19</v>
      </c>
      <c r="J45">
        <v>10</v>
      </c>
      <c r="K45">
        <v>6</v>
      </c>
      <c r="L45">
        <v>10</v>
      </c>
      <c r="M45">
        <v>0</v>
      </c>
    </row>
    <row r="46" spans="1:13" x14ac:dyDescent="0.3">
      <c r="A46">
        <v>14</v>
      </c>
      <c r="B46" t="s">
        <v>13</v>
      </c>
      <c r="C46">
        <v>5.2</v>
      </c>
      <c r="D46" t="s">
        <v>20</v>
      </c>
      <c r="E46">
        <v>4.0999999999999996</v>
      </c>
      <c r="F46">
        <v>2.1</v>
      </c>
      <c r="G46">
        <v>3.07</v>
      </c>
      <c r="H46">
        <v>0.2</v>
      </c>
      <c r="I46" t="s">
        <v>19</v>
      </c>
      <c r="J46">
        <v>9</v>
      </c>
      <c r="K46">
        <v>3</v>
      </c>
      <c r="L46">
        <v>8</v>
      </c>
      <c r="M46">
        <v>0</v>
      </c>
    </row>
    <row r="47" spans="1:13" x14ac:dyDescent="0.3">
      <c r="A47">
        <v>14</v>
      </c>
      <c r="B47" t="s">
        <v>16</v>
      </c>
      <c r="C47">
        <v>4.5</v>
      </c>
      <c r="D47" t="s">
        <v>17</v>
      </c>
      <c r="E47">
        <v>4.8</v>
      </c>
      <c r="F47">
        <v>0.9</v>
      </c>
      <c r="G47">
        <v>2.2200000000000002</v>
      </c>
      <c r="H47">
        <v>0.8</v>
      </c>
      <c r="I47" t="s">
        <v>15</v>
      </c>
      <c r="J47">
        <v>1</v>
      </c>
      <c r="K47">
        <v>4</v>
      </c>
      <c r="L47">
        <v>10</v>
      </c>
      <c r="M47">
        <v>0</v>
      </c>
    </row>
    <row r="48" spans="1:13" x14ac:dyDescent="0.3">
      <c r="A48">
        <v>18</v>
      </c>
      <c r="B48" t="s">
        <v>13</v>
      </c>
      <c r="C48">
        <v>6.8</v>
      </c>
      <c r="D48" t="s">
        <v>17</v>
      </c>
      <c r="E48">
        <v>8.6</v>
      </c>
      <c r="F48">
        <v>1.1000000000000001</v>
      </c>
      <c r="G48">
        <v>2.36</v>
      </c>
      <c r="H48">
        <v>1.6</v>
      </c>
      <c r="I48" t="s">
        <v>18</v>
      </c>
      <c r="J48">
        <v>1</v>
      </c>
      <c r="K48">
        <v>10</v>
      </c>
      <c r="L48">
        <v>10</v>
      </c>
      <c r="M48">
        <v>0</v>
      </c>
    </row>
    <row r="49" spans="1:13" x14ac:dyDescent="0.3">
      <c r="A49">
        <v>13</v>
      </c>
      <c r="B49" t="s">
        <v>16</v>
      </c>
      <c r="C49">
        <v>3.5</v>
      </c>
      <c r="D49" t="s">
        <v>14</v>
      </c>
      <c r="E49">
        <v>5.0999999999999996</v>
      </c>
      <c r="F49">
        <v>1.1000000000000001</v>
      </c>
      <c r="G49">
        <v>2.27</v>
      </c>
      <c r="H49">
        <v>1.8</v>
      </c>
      <c r="I49" t="s">
        <v>19</v>
      </c>
      <c r="J49">
        <v>2</v>
      </c>
      <c r="K49">
        <v>5</v>
      </c>
      <c r="L49">
        <v>6</v>
      </c>
      <c r="M49">
        <v>0</v>
      </c>
    </row>
    <row r="50" spans="1:13" x14ac:dyDescent="0.3">
      <c r="A50">
        <v>16</v>
      </c>
      <c r="B50" t="s">
        <v>13</v>
      </c>
      <c r="C50">
        <v>2.2999999999999998</v>
      </c>
      <c r="D50" t="s">
        <v>17</v>
      </c>
      <c r="E50">
        <v>6.3</v>
      </c>
      <c r="F50">
        <v>3</v>
      </c>
      <c r="G50">
        <v>3.24</v>
      </c>
      <c r="H50">
        <v>1.9</v>
      </c>
      <c r="I50" t="s">
        <v>19</v>
      </c>
      <c r="J50">
        <v>4</v>
      </c>
      <c r="K50">
        <v>4</v>
      </c>
      <c r="L50">
        <v>9</v>
      </c>
      <c r="M50">
        <v>0</v>
      </c>
    </row>
    <row r="51" spans="1:13" x14ac:dyDescent="0.3">
      <c r="A51">
        <v>14</v>
      </c>
      <c r="B51" t="s">
        <v>13</v>
      </c>
      <c r="C51">
        <v>1.2</v>
      </c>
      <c r="D51" t="s">
        <v>14</v>
      </c>
      <c r="E51">
        <v>8.5</v>
      </c>
      <c r="F51">
        <v>1.8</v>
      </c>
      <c r="G51">
        <v>3.65</v>
      </c>
      <c r="H51">
        <v>1.8</v>
      </c>
      <c r="I51" t="s">
        <v>18</v>
      </c>
      <c r="J51">
        <v>5</v>
      </c>
      <c r="K51">
        <v>10</v>
      </c>
      <c r="L51">
        <v>10</v>
      </c>
      <c r="M51">
        <v>0</v>
      </c>
    </row>
    <row r="52" spans="1:13" x14ac:dyDescent="0.3">
      <c r="A52">
        <v>13</v>
      </c>
      <c r="B52" t="s">
        <v>13</v>
      </c>
      <c r="C52">
        <v>6.2</v>
      </c>
      <c r="D52" t="s">
        <v>20</v>
      </c>
      <c r="E52">
        <v>7.1</v>
      </c>
      <c r="F52">
        <v>2.2000000000000002</v>
      </c>
      <c r="G52">
        <v>3.43</v>
      </c>
      <c r="H52">
        <v>0.2</v>
      </c>
      <c r="I52" t="s">
        <v>19</v>
      </c>
      <c r="J52">
        <v>5</v>
      </c>
      <c r="K52">
        <v>2</v>
      </c>
      <c r="L52">
        <v>2</v>
      </c>
      <c r="M52">
        <v>0</v>
      </c>
    </row>
    <row r="53" spans="1:13" x14ac:dyDescent="0.3">
      <c r="A53">
        <v>18</v>
      </c>
      <c r="B53" t="s">
        <v>13</v>
      </c>
      <c r="C53">
        <v>4.5</v>
      </c>
      <c r="D53" t="s">
        <v>17</v>
      </c>
      <c r="E53">
        <v>4.0999999999999996</v>
      </c>
      <c r="F53">
        <v>1.9</v>
      </c>
      <c r="G53">
        <v>3.42</v>
      </c>
      <c r="H53">
        <v>0.1</v>
      </c>
      <c r="I53" t="s">
        <v>19</v>
      </c>
      <c r="J53">
        <v>6</v>
      </c>
      <c r="K53">
        <v>7</v>
      </c>
      <c r="L53">
        <v>8</v>
      </c>
      <c r="M53">
        <v>0</v>
      </c>
    </row>
    <row r="54" spans="1:13" x14ac:dyDescent="0.3">
      <c r="A54">
        <v>18</v>
      </c>
      <c r="B54" t="s">
        <v>13</v>
      </c>
      <c r="C54">
        <v>2.9</v>
      </c>
      <c r="D54" t="s">
        <v>14</v>
      </c>
      <c r="E54">
        <v>4.5</v>
      </c>
      <c r="F54">
        <v>2.5</v>
      </c>
      <c r="G54">
        <v>3.16</v>
      </c>
      <c r="H54">
        <v>1.3</v>
      </c>
      <c r="I54" t="s">
        <v>15</v>
      </c>
      <c r="J54">
        <v>3</v>
      </c>
      <c r="K54">
        <v>7</v>
      </c>
      <c r="L54">
        <v>8</v>
      </c>
      <c r="M54">
        <v>0</v>
      </c>
    </row>
    <row r="55" spans="1:13" x14ac:dyDescent="0.3">
      <c r="A55">
        <v>13</v>
      </c>
      <c r="B55" t="s">
        <v>16</v>
      </c>
      <c r="C55">
        <v>5.8</v>
      </c>
      <c r="D55" t="s">
        <v>17</v>
      </c>
      <c r="E55">
        <v>8.5</v>
      </c>
      <c r="F55">
        <v>2.2999999999999998</v>
      </c>
      <c r="G55">
        <v>3.3</v>
      </c>
      <c r="H55">
        <v>1.9</v>
      </c>
      <c r="I55" t="s">
        <v>18</v>
      </c>
      <c r="J55">
        <v>1</v>
      </c>
      <c r="K55">
        <v>1</v>
      </c>
      <c r="L55">
        <v>5</v>
      </c>
      <c r="M55">
        <v>0</v>
      </c>
    </row>
    <row r="56" spans="1:13" x14ac:dyDescent="0.3">
      <c r="A56">
        <v>18</v>
      </c>
      <c r="B56" t="s">
        <v>13</v>
      </c>
      <c r="C56">
        <v>6.8</v>
      </c>
      <c r="D56" t="s">
        <v>14</v>
      </c>
      <c r="E56">
        <v>6.5</v>
      </c>
      <c r="F56">
        <v>2.7</v>
      </c>
      <c r="G56">
        <v>2.97</v>
      </c>
      <c r="H56">
        <v>1.9</v>
      </c>
      <c r="I56" t="s">
        <v>15</v>
      </c>
      <c r="J56">
        <v>4</v>
      </c>
      <c r="K56">
        <v>4</v>
      </c>
      <c r="L56">
        <v>5</v>
      </c>
      <c r="M56">
        <v>0</v>
      </c>
    </row>
    <row r="57" spans="1:13" x14ac:dyDescent="0.3">
      <c r="A57">
        <v>15</v>
      </c>
      <c r="B57" t="s">
        <v>16</v>
      </c>
      <c r="C57">
        <v>7.4</v>
      </c>
      <c r="D57" t="s">
        <v>14</v>
      </c>
      <c r="E57">
        <v>8.6</v>
      </c>
      <c r="F57">
        <v>0.9</v>
      </c>
      <c r="G57">
        <v>2.2999999999999998</v>
      </c>
      <c r="H57">
        <v>0</v>
      </c>
      <c r="I57" t="s">
        <v>15</v>
      </c>
      <c r="J57">
        <v>1</v>
      </c>
      <c r="K57">
        <v>5</v>
      </c>
      <c r="L57">
        <v>3</v>
      </c>
      <c r="M57">
        <v>0</v>
      </c>
    </row>
    <row r="58" spans="1:13" x14ac:dyDescent="0.3">
      <c r="A58">
        <v>18</v>
      </c>
      <c r="B58" t="s">
        <v>13</v>
      </c>
      <c r="C58">
        <v>4.5</v>
      </c>
      <c r="D58" t="s">
        <v>17</v>
      </c>
      <c r="E58">
        <v>5</v>
      </c>
      <c r="F58">
        <v>2.5</v>
      </c>
      <c r="G58">
        <v>2.65</v>
      </c>
      <c r="H58">
        <v>0.7</v>
      </c>
      <c r="I58" t="s">
        <v>19</v>
      </c>
      <c r="J58">
        <v>8</v>
      </c>
      <c r="K58">
        <v>9</v>
      </c>
      <c r="L58">
        <v>1</v>
      </c>
      <c r="M58">
        <v>0</v>
      </c>
    </row>
    <row r="59" spans="1:13" x14ac:dyDescent="0.3">
      <c r="A59">
        <v>16</v>
      </c>
      <c r="B59" t="s">
        <v>13</v>
      </c>
      <c r="C59">
        <v>6.4</v>
      </c>
      <c r="D59" t="s">
        <v>17</v>
      </c>
      <c r="E59">
        <v>5.3</v>
      </c>
      <c r="F59">
        <v>2.4</v>
      </c>
      <c r="G59">
        <v>2.0299999999999998</v>
      </c>
      <c r="H59">
        <v>1.7</v>
      </c>
      <c r="I59" t="s">
        <v>19</v>
      </c>
      <c r="J59">
        <v>7</v>
      </c>
      <c r="K59">
        <v>5</v>
      </c>
      <c r="L59">
        <v>10</v>
      </c>
      <c r="M59">
        <v>0</v>
      </c>
    </row>
    <row r="60" spans="1:13" x14ac:dyDescent="0.3">
      <c r="A60">
        <v>13</v>
      </c>
      <c r="B60" t="s">
        <v>13</v>
      </c>
      <c r="C60">
        <v>7.3</v>
      </c>
      <c r="D60" t="s">
        <v>20</v>
      </c>
      <c r="E60">
        <v>4.2</v>
      </c>
      <c r="F60">
        <v>1.3</v>
      </c>
      <c r="G60">
        <v>2.16</v>
      </c>
      <c r="H60">
        <v>1</v>
      </c>
      <c r="I60" t="s">
        <v>18</v>
      </c>
      <c r="J60">
        <v>4</v>
      </c>
      <c r="K60">
        <v>5</v>
      </c>
      <c r="L60">
        <v>2</v>
      </c>
      <c r="M60">
        <v>0</v>
      </c>
    </row>
    <row r="61" spans="1:13" x14ac:dyDescent="0.3">
      <c r="A61">
        <v>17</v>
      </c>
      <c r="B61" t="s">
        <v>16</v>
      </c>
      <c r="C61">
        <v>7.1</v>
      </c>
      <c r="D61" t="s">
        <v>14</v>
      </c>
      <c r="E61">
        <v>5.6</v>
      </c>
      <c r="F61">
        <v>0.6</v>
      </c>
      <c r="G61">
        <v>3.07</v>
      </c>
      <c r="H61">
        <v>1</v>
      </c>
      <c r="I61" t="s">
        <v>19</v>
      </c>
      <c r="J61">
        <v>1</v>
      </c>
      <c r="K61">
        <v>3</v>
      </c>
      <c r="L61">
        <v>7</v>
      </c>
      <c r="M61">
        <v>0</v>
      </c>
    </row>
    <row r="62" spans="1:13" x14ac:dyDescent="0.3">
      <c r="A62">
        <v>18</v>
      </c>
      <c r="B62" t="s">
        <v>13</v>
      </c>
      <c r="C62">
        <v>1.6</v>
      </c>
      <c r="D62" t="s">
        <v>17</v>
      </c>
      <c r="E62">
        <v>5.0999999999999996</v>
      </c>
      <c r="F62">
        <v>2.7</v>
      </c>
      <c r="G62">
        <v>3.57</v>
      </c>
      <c r="H62">
        <v>0.8</v>
      </c>
      <c r="I62" t="s">
        <v>18</v>
      </c>
      <c r="J62">
        <v>3</v>
      </c>
      <c r="K62">
        <v>9</v>
      </c>
      <c r="L62">
        <v>7</v>
      </c>
      <c r="M62">
        <v>0</v>
      </c>
    </row>
    <row r="63" spans="1:13" x14ac:dyDescent="0.3">
      <c r="A63">
        <v>15</v>
      </c>
      <c r="B63" t="s">
        <v>16</v>
      </c>
      <c r="C63">
        <v>1.5</v>
      </c>
      <c r="D63" t="s">
        <v>14</v>
      </c>
      <c r="E63">
        <v>4.7</v>
      </c>
      <c r="F63">
        <v>1</v>
      </c>
      <c r="G63">
        <v>3.82</v>
      </c>
      <c r="H63">
        <v>0.6</v>
      </c>
      <c r="I63" t="s">
        <v>19</v>
      </c>
      <c r="J63">
        <v>6</v>
      </c>
      <c r="K63">
        <v>1</v>
      </c>
      <c r="L63">
        <v>4</v>
      </c>
      <c r="M63">
        <v>0</v>
      </c>
    </row>
    <row r="64" spans="1:13" x14ac:dyDescent="0.3">
      <c r="A64">
        <v>13</v>
      </c>
      <c r="B64" t="s">
        <v>13</v>
      </c>
      <c r="C64">
        <v>4.3</v>
      </c>
      <c r="D64" t="s">
        <v>20</v>
      </c>
      <c r="E64">
        <v>5.8</v>
      </c>
      <c r="F64">
        <v>0.7</v>
      </c>
      <c r="G64">
        <v>3.15</v>
      </c>
      <c r="H64">
        <v>0.1</v>
      </c>
      <c r="I64" t="s">
        <v>19</v>
      </c>
      <c r="J64">
        <v>7</v>
      </c>
      <c r="K64">
        <v>2</v>
      </c>
      <c r="L64">
        <v>1</v>
      </c>
      <c r="M64">
        <v>0</v>
      </c>
    </row>
    <row r="65" spans="1:13" x14ac:dyDescent="0.3">
      <c r="A65">
        <v>17</v>
      </c>
      <c r="B65" t="s">
        <v>13</v>
      </c>
      <c r="C65">
        <v>2.5</v>
      </c>
      <c r="D65" t="s">
        <v>20</v>
      </c>
      <c r="E65">
        <v>6.7</v>
      </c>
      <c r="F65">
        <v>2</v>
      </c>
      <c r="G65">
        <v>2.56</v>
      </c>
      <c r="H65">
        <v>1.7</v>
      </c>
      <c r="I65" t="s">
        <v>18</v>
      </c>
      <c r="J65">
        <v>5</v>
      </c>
      <c r="K65">
        <v>7</v>
      </c>
      <c r="L65">
        <v>5</v>
      </c>
      <c r="M65">
        <v>0</v>
      </c>
    </row>
    <row r="66" spans="1:13" x14ac:dyDescent="0.3">
      <c r="A66">
        <v>19</v>
      </c>
      <c r="B66" t="s">
        <v>16</v>
      </c>
      <c r="C66">
        <v>7.9</v>
      </c>
      <c r="D66" t="s">
        <v>17</v>
      </c>
      <c r="E66">
        <v>5.0999999999999996</v>
      </c>
      <c r="F66">
        <v>1.7</v>
      </c>
      <c r="G66">
        <v>2.8</v>
      </c>
      <c r="H66">
        <v>0.8</v>
      </c>
      <c r="I66" t="s">
        <v>15</v>
      </c>
      <c r="J66">
        <v>6</v>
      </c>
      <c r="K66">
        <v>1</v>
      </c>
      <c r="L66">
        <v>8</v>
      </c>
      <c r="M66">
        <v>0</v>
      </c>
    </row>
    <row r="67" spans="1:13" x14ac:dyDescent="0.3">
      <c r="A67">
        <v>17</v>
      </c>
      <c r="B67" t="s">
        <v>13</v>
      </c>
      <c r="C67">
        <v>2.7</v>
      </c>
      <c r="D67" t="s">
        <v>14</v>
      </c>
      <c r="E67">
        <v>8</v>
      </c>
      <c r="F67">
        <v>2.6</v>
      </c>
      <c r="G67">
        <v>3.53</v>
      </c>
      <c r="H67">
        <v>1.9</v>
      </c>
      <c r="I67" t="s">
        <v>18</v>
      </c>
      <c r="J67">
        <v>1</v>
      </c>
      <c r="K67">
        <v>8</v>
      </c>
      <c r="L67">
        <v>7</v>
      </c>
      <c r="M67">
        <v>0</v>
      </c>
    </row>
    <row r="68" spans="1:13" x14ac:dyDescent="0.3">
      <c r="A68">
        <v>13</v>
      </c>
      <c r="B68" t="s">
        <v>13</v>
      </c>
      <c r="C68">
        <v>3.1</v>
      </c>
      <c r="D68" t="s">
        <v>17</v>
      </c>
      <c r="E68">
        <v>8.1999999999999993</v>
      </c>
      <c r="F68">
        <v>1.5</v>
      </c>
      <c r="G68">
        <v>2.4500000000000002</v>
      </c>
      <c r="H68">
        <v>0.3</v>
      </c>
      <c r="I68" t="s">
        <v>15</v>
      </c>
      <c r="J68">
        <v>5</v>
      </c>
      <c r="K68">
        <v>8</v>
      </c>
      <c r="L68">
        <v>6</v>
      </c>
      <c r="M68">
        <v>0</v>
      </c>
    </row>
    <row r="69" spans="1:13" x14ac:dyDescent="0.3">
      <c r="A69">
        <v>17</v>
      </c>
      <c r="B69" t="s">
        <v>13</v>
      </c>
      <c r="C69">
        <v>5.8</v>
      </c>
      <c r="D69" t="s">
        <v>20</v>
      </c>
      <c r="E69">
        <v>7.6</v>
      </c>
      <c r="F69">
        <v>0.7</v>
      </c>
      <c r="G69">
        <v>2.83</v>
      </c>
      <c r="H69">
        <v>1</v>
      </c>
      <c r="I69" t="s">
        <v>19</v>
      </c>
      <c r="J69">
        <v>7</v>
      </c>
      <c r="K69">
        <v>6</v>
      </c>
      <c r="L69">
        <v>8</v>
      </c>
      <c r="M69">
        <v>0</v>
      </c>
    </row>
    <row r="70" spans="1:13" x14ac:dyDescent="0.3">
      <c r="A70">
        <v>14</v>
      </c>
      <c r="B70" t="s">
        <v>16</v>
      </c>
      <c r="C70">
        <v>3.9</v>
      </c>
      <c r="D70" t="s">
        <v>20</v>
      </c>
      <c r="E70">
        <v>7</v>
      </c>
      <c r="F70">
        <v>2.8</v>
      </c>
      <c r="G70">
        <v>2.8</v>
      </c>
      <c r="H70">
        <v>0.1</v>
      </c>
      <c r="I70" t="s">
        <v>15</v>
      </c>
      <c r="J70">
        <v>8</v>
      </c>
      <c r="K70">
        <v>2</v>
      </c>
      <c r="L70">
        <v>8</v>
      </c>
      <c r="M70">
        <v>0</v>
      </c>
    </row>
    <row r="71" spans="1:13" x14ac:dyDescent="0.3">
      <c r="A71">
        <v>15</v>
      </c>
      <c r="B71" t="s">
        <v>13</v>
      </c>
      <c r="C71">
        <v>7.5</v>
      </c>
      <c r="D71" t="s">
        <v>20</v>
      </c>
      <c r="E71">
        <v>7</v>
      </c>
      <c r="F71">
        <v>0.9</v>
      </c>
      <c r="G71">
        <v>3.48</v>
      </c>
      <c r="H71">
        <v>1.1000000000000001</v>
      </c>
      <c r="I71" t="s">
        <v>18</v>
      </c>
      <c r="J71">
        <v>2</v>
      </c>
      <c r="K71">
        <v>2</v>
      </c>
      <c r="L71">
        <v>6</v>
      </c>
      <c r="M71">
        <v>0</v>
      </c>
    </row>
    <row r="72" spans="1:13" x14ac:dyDescent="0.3">
      <c r="A72">
        <v>14</v>
      </c>
      <c r="B72" t="s">
        <v>13</v>
      </c>
      <c r="C72">
        <v>5.2</v>
      </c>
      <c r="D72" t="s">
        <v>20</v>
      </c>
      <c r="E72">
        <v>6.7</v>
      </c>
      <c r="F72">
        <v>2</v>
      </c>
      <c r="G72">
        <v>3.48</v>
      </c>
      <c r="H72">
        <v>1</v>
      </c>
      <c r="I72" t="s">
        <v>19</v>
      </c>
      <c r="J72">
        <v>2</v>
      </c>
      <c r="K72">
        <v>1</v>
      </c>
      <c r="L72">
        <v>5</v>
      </c>
      <c r="M72">
        <v>0</v>
      </c>
    </row>
    <row r="73" spans="1:13" x14ac:dyDescent="0.3">
      <c r="A73">
        <v>16</v>
      </c>
      <c r="B73" t="s">
        <v>16</v>
      </c>
      <c r="C73">
        <v>3.1</v>
      </c>
      <c r="D73" t="s">
        <v>17</v>
      </c>
      <c r="E73">
        <v>5</v>
      </c>
      <c r="F73">
        <v>1.1000000000000001</v>
      </c>
      <c r="G73">
        <v>2.73</v>
      </c>
      <c r="H73">
        <v>1.6</v>
      </c>
      <c r="I73" t="s">
        <v>15</v>
      </c>
      <c r="J73">
        <v>2</v>
      </c>
      <c r="K73">
        <v>8</v>
      </c>
      <c r="L73">
        <v>1</v>
      </c>
      <c r="M73">
        <v>0</v>
      </c>
    </row>
    <row r="74" spans="1:13" x14ac:dyDescent="0.3">
      <c r="A74">
        <v>16</v>
      </c>
      <c r="B74" t="s">
        <v>16</v>
      </c>
      <c r="C74">
        <v>2</v>
      </c>
      <c r="D74" t="s">
        <v>14</v>
      </c>
      <c r="E74">
        <v>8.6999999999999993</v>
      </c>
      <c r="F74">
        <v>1.2</v>
      </c>
      <c r="G74">
        <v>3</v>
      </c>
      <c r="H74">
        <v>0</v>
      </c>
      <c r="I74" t="s">
        <v>15</v>
      </c>
      <c r="J74">
        <v>8</v>
      </c>
      <c r="K74">
        <v>8</v>
      </c>
      <c r="L74">
        <v>4</v>
      </c>
      <c r="M74">
        <v>0</v>
      </c>
    </row>
    <row r="75" spans="1:13" x14ac:dyDescent="0.3">
      <c r="A75">
        <v>14</v>
      </c>
      <c r="B75" t="s">
        <v>13</v>
      </c>
      <c r="C75">
        <v>2.7</v>
      </c>
      <c r="D75" t="s">
        <v>14</v>
      </c>
      <c r="E75">
        <v>8.4</v>
      </c>
      <c r="F75">
        <v>1.3</v>
      </c>
      <c r="G75">
        <v>2.0099999999999998</v>
      </c>
      <c r="H75">
        <v>0.6</v>
      </c>
      <c r="I75" t="s">
        <v>15</v>
      </c>
      <c r="J75">
        <v>6</v>
      </c>
      <c r="K75">
        <v>3</v>
      </c>
      <c r="L75">
        <v>8</v>
      </c>
      <c r="M75">
        <v>0</v>
      </c>
    </row>
    <row r="76" spans="1:13" x14ac:dyDescent="0.3">
      <c r="A76">
        <v>14</v>
      </c>
      <c r="B76" t="s">
        <v>13</v>
      </c>
      <c r="C76">
        <v>1.5</v>
      </c>
      <c r="D76" t="s">
        <v>20</v>
      </c>
      <c r="E76">
        <v>4.3</v>
      </c>
      <c r="F76">
        <v>2.1</v>
      </c>
      <c r="G76">
        <v>3.9</v>
      </c>
      <c r="H76">
        <v>1.5</v>
      </c>
      <c r="I76" t="s">
        <v>15</v>
      </c>
      <c r="J76">
        <v>10</v>
      </c>
      <c r="K76">
        <v>2</v>
      </c>
      <c r="L76">
        <v>4</v>
      </c>
      <c r="M76">
        <v>0</v>
      </c>
    </row>
    <row r="77" spans="1:13" x14ac:dyDescent="0.3">
      <c r="A77">
        <v>17</v>
      </c>
      <c r="B77" t="s">
        <v>16</v>
      </c>
      <c r="C77">
        <v>6.9</v>
      </c>
      <c r="D77" t="s">
        <v>14</v>
      </c>
      <c r="E77">
        <v>8.1999999999999993</v>
      </c>
      <c r="F77">
        <v>0.8</v>
      </c>
      <c r="G77">
        <v>2.36</v>
      </c>
      <c r="H77">
        <v>0</v>
      </c>
      <c r="I77" t="s">
        <v>19</v>
      </c>
      <c r="J77">
        <v>10</v>
      </c>
      <c r="K77">
        <v>10</v>
      </c>
      <c r="L77">
        <v>7</v>
      </c>
      <c r="M77">
        <v>0</v>
      </c>
    </row>
    <row r="78" spans="1:13" x14ac:dyDescent="0.3">
      <c r="A78">
        <v>13</v>
      </c>
      <c r="B78" t="s">
        <v>13</v>
      </c>
      <c r="C78">
        <v>1.1000000000000001</v>
      </c>
      <c r="D78" t="s">
        <v>17</v>
      </c>
      <c r="E78">
        <v>7.1</v>
      </c>
      <c r="F78">
        <v>1.8</v>
      </c>
      <c r="G78">
        <v>2.5499999999999998</v>
      </c>
      <c r="H78">
        <v>0.8</v>
      </c>
      <c r="I78" t="s">
        <v>18</v>
      </c>
      <c r="J78">
        <v>5</v>
      </c>
      <c r="K78">
        <v>5</v>
      </c>
      <c r="L78">
        <v>10</v>
      </c>
      <c r="M78">
        <v>0</v>
      </c>
    </row>
    <row r="79" spans="1:13" x14ac:dyDescent="0.3">
      <c r="A79">
        <v>13</v>
      </c>
      <c r="B79" t="s">
        <v>13</v>
      </c>
      <c r="C79">
        <v>3.4</v>
      </c>
      <c r="D79" t="s">
        <v>17</v>
      </c>
      <c r="E79">
        <v>4.4000000000000004</v>
      </c>
      <c r="F79">
        <v>0.6</v>
      </c>
      <c r="G79">
        <v>3.41</v>
      </c>
      <c r="H79">
        <v>0.2</v>
      </c>
      <c r="I79" t="s">
        <v>15</v>
      </c>
      <c r="J79">
        <v>8</v>
      </c>
      <c r="K79">
        <v>6</v>
      </c>
      <c r="L79">
        <v>3</v>
      </c>
      <c r="M79">
        <v>0</v>
      </c>
    </row>
    <row r="80" spans="1:13" x14ac:dyDescent="0.3">
      <c r="A80">
        <v>15</v>
      </c>
      <c r="B80" t="s">
        <v>13</v>
      </c>
      <c r="C80">
        <v>6.7</v>
      </c>
      <c r="D80" t="s">
        <v>20</v>
      </c>
      <c r="E80">
        <v>4.5</v>
      </c>
      <c r="F80">
        <v>2.1</v>
      </c>
      <c r="G80">
        <v>3.71</v>
      </c>
      <c r="H80">
        <v>1.3</v>
      </c>
      <c r="I80" t="s">
        <v>18</v>
      </c>
      <c r="J80">
        <v>3</v>
      </c>
      <c r="K80">
        <v>3</v>
      </c>
      <c r="L80">
        <v>3</v>
      </c>
      <c r="M80">
        <v>0</v>
      </c>
    </row>
    <row r="81" spans="1:13" x14ac:dyDescent="0.3">
      <c r="A81">
        <v>18</v>
      </c>
      <c r="B81" t="s">
        <v>13</v>
      </c>
      <c r="C81">
        <v>1.1000000000000001</v>
      </c>
      <c r="D81" t="s">
        <v>20</v>
      </c>
      <c r="E81">
        <v>7.2</v>
      </c>
      <c r="F81">
        <v>1</v>
      </c>
      <c r="G81">
        <v>3.13</v>
      </c>
      <c r="H81">
        <v>0.6</v>
      </c>
      <c r="I81" t="s">
        <v>19</v>
      </c>
      <c r="J81">
        <v>2</v>
      </c>
      <c r="K81">
        <v>1</v>
      </c>
      <c r="L81">
        <v>4</v>
      </c>
      <c r="M81">
        <v>0</v>
      </c>
    </row>
    <row r="82" spans="1:13" x14ac:dyDescent="0.3">
      <c r="A82">
        <v>18</v>
      </c>
      <c r="B82" t="s">
        <v>16</v>
      </c>
      <c r="C82">
        <v>7.4</v>
      </c>
      <c r="D82" t="s">
        <v>14</v>
      </c>
      <c r="E82">
        <v>7.5</v>
      </c>
      <c r="F82">
        <v>2.2999999999999998</v>
      </c>
      <c r="G82">
        <v>2.39</v>
      </c>
      <c r="H82">
        <v>0.9</v>
      </c>
      <c r="I82" t="s">
        <v>18</v>
      </c>
      <c r="J82">
        <v>4</v>
      </c>
      <c r="K82">
        <v>1</v>
      </c>
      <c r="L82">
        <v>4</v>
      </c>
      <c r="M82">
        <v>0</v>
      </c>
    </row>
    <row r="83" spans="1:13" x14ac:dyDescent="0.3">
      <c r="A83">
        <v>19</v>
      </c>
      <c r="B83" t="s">
        <v>16</v>
      </c>
      <c r="C83">
        <v>4.8</v>
      </c>
      <c r="D83" t="s">
        <v>17</v>
      </c>
      <c r="E83">
        <v>6</v>
      </c>
      <c r="F83">
        <v>1.5</v>
      </c>
      <c r="G83">
        <v>2.61</v>
      </c>
      <c r="H83">
        <v>1.2</v>
      </c>
      <c r="I83" t="s">
        <v>18</v>
      </c>
      <c r="J83">
        <v>2</v>
      </c>
      <c r="K83">
        <v>2</v>
      </c>
      <c r="L83">
        <v>6</v>
      </c>
      <c r="M83">
        <v>0</v>
      </c>
    </row>
    <row r="84" spans="1:13" x14ac:dyDescent="0.3">
      <c r="A84">
        <v>14</v>
      </c>
      <c r="B84" t="s">
        <v>13</v>
      </c>
      <c r="C84">
        <v>1.2</v>
      </c>
      <c r="D84" t="s">
        <v>20</v>
      </c>
      <c r="E84">
        <v>5.2</v>
      </c>
      <c r="F84">
        <v>2.2000000000000002</v>
      </c>
      <c r="G84">
        <v>2.19</v>
      </c>
      <c r="H84">
        <v>1.9</v>
      </c>
      <c r="I84" t="s">
        <v>19</v>
      </c>
      <c r="J84">
        <v>9</v>
      </c>
      <c r="K84">
        <v>9</v>
      </c>
      <c r="L84">
        <v>4</v>
      </c>
      <c r="M84">
        <v>0</v>
      </c>
    </row>
    <row r="85" spans="1:13" x14ac:dyDescent="0.3">
      <c r="A85">
        <v>13</v>
      </c>
      <c r="B85" t="s">
        <v>13</v>
      </c>
      <c r="C85">
        <v>7.4</v>
      </c>
      <c r="D85" t="s">
        <v>14</v>
      </c>
      <c r="E85">
        <v>5.6</v>
      </c>
      <c r="F85">
        <v>1.4</v>
      </c>
      <c r="G85">
        <v>2.95</v>
      </c>
      <c r="H85">
        <v>1.7</v>
      </c>
      <c r="I85" t="s">
        <v>18</v>
      </c>
      <c r="J85">
        <v>8</v>
      </c>
      <c r="K85">
        <v>5</v>
      </c>
      <c r="L85">
        <v>5</v>
      </c>
      <c r="M85">
        <v>0</v>
      </c>
    </row>
    <row r="86" spans="1:13" x14ac:dyDescent="0.3">
      <c r="A86">
        <v>16</v>
      </c>
      <c r="B86" t="s">
        <v>16</v>
      </c>
      <c r="C86">
        <v>2.6</v>
      </c>
      <c r="D86" t="s">
        <v>20</v>
      </c>
      <c r="E86">
        <v>8.6</v>
      </c>
      <c r="F86">
        <v>1.3</v>
      </c>
      <c r="G86">
        <v>3.64</v>
      </c>
      <c r="H86">
        <v>1.6</v>
      </c>
      <c r="I86" t="s">
        <v>18</v>
      </c>
      <c r="J86">
        <v>5</v>
      </c>
      <c r="K86">
        <v>3</v>
      </c>
      <c r="L86">
        <v>1</v>
      </c>
      <c r="M86">
        <v>0</v>
      </c>
    </row>
    <row r="87" spans="1:13" x14ac:dyDescent="0.3">
      <c r="A87">
        <v>17</v>
      </c>
      <c r="B87" t="s">
        <v>16</v>
      </c>
      <c r="C87">
        <v>5</v>
      </c>
      <c r="D87" t="s">
        <v>20</v>
      </c>
      <c r="E87">
        <v>9</v>
      </c>
      <c r="F87">
        <v>2.5</v>
      </c>
      <c r="G87">
        <v>3.4</v>
      </c>
      <c r="H87">
        <v>0.9</v>
      </c>
      <c r="I87" t="s">
        <v>18</v>
      </c>
      <c r="J87">
        <v>8</v>
      </c>
      <c r="K87">
        <v>10</v>
      </c>
      <c r="L87">
        <v>5</v>
      </c>
      <c r="M87">
        <v>0</v>
      </c>
    </row>
    <row r="88" spans="1:13" x14ac:dyDescent="0.3">
      <c r="A88">
        <v>18</v>
      </c>
      <c r="B88" t="s">
        <v>13</v>
      </c>
      <c r="C88">
        <v>7.5</v>
      </c>
      <c r="D88" t="s">
        <v>14</v>
      </c>
      <c r="E88">
        <v>7.4</v>
      </c>
      <c r="F88">
        <v>1.8</v>
      </c>
      <c r="G88">
        <v>3.47</v>
      </c>
      <c r="H88">
        <v>0</v>
      </c>
      <c r="I88" t="s">
        <v>15</v>
      </c>
      <c r="J88">
        <v>9</v>
      </c>
      <c r="K88">
        <v>4</v>
      </c>
      <c r="L88">
        <v>2</v>
      </c>
      <c r="M88">
        <v>0</v>
      </c>
    </row>
    <row r="89" spans="1:13" x14ac:dyDescent="0.3">
      <c r="A89">
        <v>17</v>
      </c>
      <c r="B89" t="s">
        <v>16</v>
      </c>
      <c r="C89">
        <v>5.4</v>
      </c>
      <c r="D89" t="s">
        <v>20</v>
      </c>
      <c r="E89">
        <v>5.7</v>
      </c>
      <c r="F89">
        <v>2.5</v>
      </c>
      <c r="G89">
        <v>3.13</v>
      </c>
      <c r="H89">
        <v>1.9</v>
      </c>
      <c r="I89" t="s">
        <v>19</v>
      </c>
      <c r="J89">
        <v>5</v>
      </c>
      <c r="K89">
        <v>10</v>
      </c>
      <c r="L89">
        <v>3</v>
      </c>
      <c r="M89">
        <v>0</v>
      </c>
    </row>
    <row r="90" spans="1:13" x14ac:dyDescent="0.3">
      <c r="A90">
        <v>17</v>
      </c>
      <c r="B90" t="s">
        <v>16</v>
      </c>
      <c r="C90">
        <v>5.6</v>
      </c>
      <c r="D90" t="s">
        <v>14</v>
      </c>
      <c r="E90">
        <v>5.3</v>
      </c>
      <c r="F90">
        <v>1.7</v>
      </c>
      <c r="G90">
        <v>2.77</v>
      </c>
      <c r="H90">
        <v>0.9</v>
      </c>
      <c r="I90" t="s">
        <v>19</v>
      </c>
      <c r="J90">
        <v>8</v>
      </c>
      <c r="K90">
        <v>4</v>
      </c>
      <c r="L90">
        <v>8</v>
      </c>
      <c r="M90">
        <v>0</v>
      </c>
    </row>
    <row r="91" spans="1:13" x14ac:dyDescent="0.3">
      <c r="A91">
        <v>18</v>
      </c>
      <c r="B91" t="s">
        <v>13</v>
      </c>
      <c r="C91">
        <v>6.2</v>
      </c>
      <c r="D91" t="s">
        <v>14</v>
      </c>
      <c r="E91">
        <v>4.0999999999999996</v>
      </c>
      <c r="F91">
        <v>2.8</v>
      </c>
      <c r="G91">
        <v>3.41</v>
      </c>
      <c r="H91">
        <v>1.1000000000000001</v>
      </c>
      <c r="I91" t="s">
        <v>19</v>
      </c>
      <c r="J91">
        <v>7</v>
      </c>
      <c r="K91">
        <v>8</v>
      </c>
      <c r="L91">
        <v>1</v>
      </c>
      <c r="M91">
        <v>1</v>
      </c>
    </row>
    <row r="92" spans="1:13" x14ac:dyDescent="0.3">
      <c r="A92">
        <v>17</v>
      </c>
      <c r="B92" t="s">
        <v>16</v>
      </c>
      <c r="C92">
        <v>4.7</v>
      </c>
      <c r="D92" t="s">
        <v>14</v>
      </c>
      <c r="E92">
        <v>4.7</v>
      </c>
      <c r="F92">
        <v>2.4</v>
      </c>
      <c r="G92">
        <v>3.94</v>
      </c>
      <c r="H92">
        <v>0</v>
      </c>
      <c r="I92" t="s">
        <v>19</v>
      </c>
      <c r="J92">
        <v>10</v>
      </c>
      <c r="K92">
        <v>5</v>
      </c>
      <c r="L92">
        <v>8</v>
      </c>
      <c r="M92">
        <v>0</v>
      </c>
    </row>
    <row r="93" spans="1:13" x14ac:dyDescent="0.3">
      <c r="A93">
        <v>18</v>
      </c>
      <c r="B93" t="s">
        <v>16</v>
      </c>
      <c r="C93">
        <v>4</v>
      </c>
      <c r="D93" t="s">
        <v>14</v>
      </c>
      <c r="E93">
        <v>4.5999999999999996</v>
      </c>
      <c r="F93">
        <v>2.2000000000000002</v>
      </c>
      <c r="G93">
        <v>3.7</v>
      </c>
      <c r="H93">
        <v>0.6</v>
      </c>
      <c r="I93" t="s">
        <v>19</v>
      </c>
      <c r="J93">
        <v>4</v>
      </c>
      <c r="K93">
        <v>1</v>
      </c>
      <c r="L93">
        <v>4</v>
      </c>
      <c r="M93">
        <v>0</v>
      </c>
    </row>
    <row r="94" spans="1:13" x14ac:dyDescent="0.3">
      <c r="A94">
        <v>18</v>
      </c>
      <c r="B94" t="s">
        <v>13</v>
      </c>
      <c r="C94">
        <v>6.2</v>
      </c>
      <c r="D94" t="s">
        <v>17</v>
      </c>
      <c r="E94">
        <v>8.6</v>
      </c>
      <c r="F94">
        <v>1.5</v>
      </c>
      <c r="G94">
        <v>3.22</v>
      </c>
      <c r="H94">
        <v>1.6</v>
      </c>
      <c r="I94" t="s">
        <v>15</v>
      </c>
      <c r="J94">
        <v>4</v>
      </c>
      <c r="K94">
        <v>5</v>
      </c>
      <c r="L94">
        <v>7</v>
      </c>
      <c r="M94">
        <v>0</v>
      </c>
    </row>
    <row r="95" spans="1:13" x14ac:dyDescent="0.3">
      <c r="A95">
        <v>17</v>
      </c>
      <c r="B95" t="s">
        <v>16</v>
      </c>
      <c r="C95">
        <v>5.6</v>
      </c>
      <c r="D95" t="s">
        <v>17</v>
      </c>
      <c r="E95">
        <v>6.8</v>
      </c>
      <c r="F95">
        <v>2</v>
      </c>
      <c r="G95">
        <v>2.2200000000000002</v>
      </c>
      <c r="H95">
        <v>1</v>
      </c>
      <c r="I95" t="s">
        <v>19</v>
      </c>
      <c r="J95">
        <v>6</v>
      </c>
      <c r="K95">
        <v>9</v>
      </c>
      <c r="L95">
        <v>8</v>
      </c>
      <c r="M95">
        <v>0</v>
      </c>
    </row>
    <row r="96" spans="1:13" x14ac:dyDescent="0.3">
      <c r="A96">
        <v>13</v>
      </c>
      <c r="B96" t="s">
        <v>16</v>
      </c>
      <c r="C96">
        <v>4</v>
      </c>
      <c r="D96" t="s">
        <v>14</v>
      </c>
      <c r="E96">
        <v>4.4000000000000004</v>
      </c>
      <c r="F96">
        <v>2.5</v>
      </c>
      <c r="G96">
        <v>3.6</v>
      </c>
      <c r="H96">
        <v>1.4</v>
      </c>
      <c r="I96" t="s">
        <v>19</v>
      </c>
      <c r="J96">
        <v>7</v>
      </c>
      <c r="K96">
        <v>2</v>
      </c>
      <c r="L96">
        <v>10</v>
      </c>
      <c r="M96">
        <v>0</v>
      </c>
    </row>
    <row r="97" spans="1:13" x14ac:dyDescent="0.3">
      <c r="A97">
        <v>15</v>
      </c>
      <c r="B97" t="s">
        <v>16</v>
      </c>
      <c r="C97">
        <v>1.8</v>
      </c>
      <c r="D97" t="s">
        <v>14</v>
      </c>
      <c r="E97">
        <v>6.4</v>
      </c>
      <c r="F97">
        <v>2.4</v>
      </c>
      <c r="G97">
        <v>2.16</v>
      </c>
      <c r="H97">
        <v>1.9</v>
      </c>
      <c r="I97" t="s">
        <v>19</v>
      </c>
      <c r="J97">
        <v>3</v>
      </c>
      <c r="K97">
        <v>6</v>
      </c>
      <c r="L97">
        <v>9</v>
      </c>
      <c r="M97">
        <v>0</v>
      </c>
    </row>
    <row r="98" spans="1:13" x14ac:dyDescent="0.3">
      <c r="A98">
        <v>13</v>
      </c>
      <c r="B98" t="s">
        <v>13</v>
      </c>
      <c r="C98">
        <v>3.1</v>
      </c>
      <c r="D98" t="s">
        <v>17</v>
      </c>
      <c r="E98">
        <v>5.4</v>
      </c>
      <c r="F98">
        <v>1.9</v>
      </c>
      <c r="G98">
        <v>3.66</v>
      </c>
      <c r="H98">
        <v>0.4</v>
      </c>
      <c r="I98" t="s">
        <v>15</v>
      </c>
      <c r="J98">
        <v>7</v>
      </c>
      <c r="K98">
        <v>4</v>
      </c>
      <c r="L98">
        <v>2</v>
      </c>
      <c r="M98">
        <v>0</v>
      </c>
    </row>
    <row r="99" spans="1:13" x14ac:dyDescent="0.3">
      <c r="A99">
        <v>13</v>
      </c>
      <c r="B99" t="s">
        <v>16</v>
      </c>
      <c r="C99">
        <v>3.5</v>
      </c>
      <c r="D99" t="s">
        <v>17</v>
      </c>
      <c r="E99">
        <v>5.2</v>
      </c>
      <c r="F99">
        <v>2.5</v>
      </c>
      <c r="G99">
        <v>2.57</v>
      </c>
      <c r="H99">
        <v>1.1000000000000001</v>
      </c>
      <c r="I99" t="s">
        <v>18</v>
      </c>
      <c r="J99">
        <v>1</v>
      </c>
      <c r="K99">
        <v>6</v>
      </c>
      <c r="L99">
        <v>3</v>
      </c>
      <c r="M99">
        <v>0</v>
      </c>
    </row>
    <row r="100" spans="1:13" x14ac:dyDescent="0.3">
      <c r="A100">
        <v>18</v>
      </c>
      <c r="B100" t="s">
        <v>13</v>
      </c>
      <c r="C100">
        <v>7.4</v>
      </c>
      <c r="D100" t="s">
        <v>17</v>
      </c>
      <c r="E100">
        <v>6.4</v>
      </c>
      <c r="F100">
        <v>2.2000000000000002</v>
      </c>
      <c r="G100">
        <v>3.51</v>
      </c>
      <c r="H100">
        <v>1</v>
      </c>
      <c r="I100" t="s">
        <v>18</v>
      </c>
      <c r="J100">
        <v>4</v>
      </c>
      <c r="K100">
        <v>5</v>
      </c>
      <c r="L100">
        <v>4</v>
      </c>
      <c r="M100">
        <v>0</v>
      </c>
    </row>
    <row r="101" spans="1:13" x14ac:dyDescent="0.3">
      <c r="A101">
        <v>16</v>
      </c>
      <c r="B101" t="s">
        <v>13</v>
      </c>
      <c r="C101">
        <v>8</v>
      </c>
      <c r="D101" t="s">
        <v>14</v>
      </c>
      <c r="E101">
        <v>5.5</v>
      </c>
      <c r="F101">
        <v>1.4</v>
      </c>
      <c r="G101">
        <v>2.95</v>
      </c>
      <c r="H101">
        <v>0.3</v>
      </c>
      <c r="I101" t="s">
        <v>19</v>
      </c>
      <c r="J101">
        <v>2</v>
      </c>
      <c r="K101">
        <v>5</v>
      </c>
      <c r="L101">
        <v>2</v>
      </c>
      <c r="M101">
        <v>0</v>
      </c>
    </row>
    <row r="102" spans="1:13" x14ac:dyDescent="0.3">
      <c r="A102">
        <v>13</v>
      </c>
      <c r="B102" t="s">
        <v>13</v>
      </c>
      <c r="C102">
        <v>5.0999999999999996</v>
      </c>
      <c r="D102" t="s">
        <v>20</v>
      </c>
      <c r="E102">
        <v>4.0999999999999996</v>
      </c>
      <c r="F102">
        <v>1.6</v>
      </c>
      <c r="G102">
        <v>3.32</v>
      </c>
      <c r="H102">
        <v>0.8</v>
      </c>
      <c r="I102" t="s">
        <v>19</v>
      </c>
      <c r="J102">
        <v>1</v>
      </c>
      <c r="K102">
        <v>3</v>
      </c>
      <c r="L102">
        <v>8</v>
      </c>
      <c r="M102">
        <v>0</v>
      </c>
    </row>
    <row r="103" spans="1:13" x14ac:dyDescent="0.3">
      <c r="A103">
        <v>18</v>
      </c>
      <c r="B103" t="s">
        <v>16</v>
      </c>
      <c r="C103">
        <v>2.4</v>
      </c>
      <c r="D103" t="s">
        <v>14</v>
      </c>
      <c r="E103">
        <v>6.3</v>
      </c>
      <c r="F103">
        <v>1.3</v>
      </c>
      <c r="G103">
        <v>3.05</v>
      </c>
      <c r="H103">
        <v>1.7</v>
      </c>
      <c r="I103" t="s">
        <v>15</v>
      </c>
      <c r="J103">
        <v>2</v>
      </c>
      <c r="K103">
        <v>9</v>
      </c>
      <c r="L103">
        <v>5</v>
      </c>
      <c r="M103">
        <v>0</v>
      </c>
    </row>
    <row r="104" spans="1:13" x14ac:dyDescent="0.3">
      <c r="A104">
        <v>13</v>
      </c>
      <c r="B104" t="s">
        <v>13</v>
      </c>
      <c r="C104">
        <v>1.6</v>
      </c>
      <c r="D104" t="s">
        <v>14</v>
      </c>
      <c r="E104">
        <v>4.2</v>
      </c>
      <c r="F104">
        <v>1.5</v>
      </c>
      <c r="G104">
        <v>3.72</v>
      </c>
      <c r="H104">
        <v>1.7</v>
      </c>
      <c r="I104" t="s">
        <v>19</v>
      </c>
      <c r="J104">
        <v>10</v>
      </c>
      <c r="K104">
        <v>1</v>
      </c>
      <c r="L104">
        <v>10</v>
      </c>
      <c r="M104">
        <v>0</v>
      </c>
    </row>
    <row r="105" spans="1:13" x14ac:dyDescent="0.3">
      <c r="A105">
        <v>18</v>
      </c>
      <c r="B105" t="s">
        <v>13</v>
      </c>
      <c r="C105">
        <v>5.8</v>
      </c>
      <c r="D105" t="s">
        <v>14</v>
      </c>
      <c r="E105">
        <v>6.7</v>
      </c>
      <c r="F105">
        <v>1.9</v>
      </c>
      <c r="G105">
        <v>3</v>
      </c>
      <c r="H105">
        <v>1.9</v>
      </c>
      <c r="I105" t="s">
        <v>15</v>
      </c>
      <c r="J105">
        <v>5</v>
      </c>
      <c r="K105">
        <v>8</v>
      </c>
      <c r="L105">
        <v>2</v>
      </c>
      <c r="M105">
        <v>0</v>
      </c>
    </row>
    <row r="106" spans="1:13" x14ac:dyDescent="0.3">
      <c r="A106">
        <v>15</v>
      </c>
      <c r="B106" t="s">
        <v>13</v>
      </c>
      <c r="C106">
        <v>2.7</v>
      </c>
      <c r="D106" t="s">
        <v>17</v>
      </c>
      <c r="E106">
        <v>6.6</v>
      </c>
      <c r="F106">
        <v>1.9</v>
      </c>
      <c r="G106">
        <v>2.75</v>
      </c>
      <c r="H106">
        <v>1.9</v>
      </c>
      <c r="I106" t="s">
        <v>19</v>
      </c>
      <c r="J106">
        <v>3</v>
      </c>
      <c r="K106">
        <v>6</v>
      </c>
      <c r="L106">
        <v>6</v>
      </c>
      <c r="M106">
        <v>0</v>
      </c>
    </row>
    <row r="107" spans="1:13" x14ac:dyDescent="0.3">
      <c r="A107">
        <v>13</v>
      </c>
      <c r="B107" t="s">
        <v>16</v>
      </c>
      <c r="C107">
        <v>4</v>
      </c>
      <c r="D107" t="s">
        <v>20</v>
      </c>
      <c r="E107">
        <v>4.5</v>
      </c>
      <c r="F107">
        <v>1</v>
      </c>
      <c r="G107">
        <v>3.65</v>
      </c>
      <c r="H107">
        <v>1.8</v>
      </c>
      <c r="I107" t="s">
        <v>15</v>
      </c>
      <c r="J107">
        <v>5</v>
      </c>
      <c r="K107">
        <v>6</v>
      </c>
      <c r="L107">
        <v>5</v>
      </c>
      <c r="M107">
        <v>0</v>
      </c>
    </row>
    <row r="108" spans="1:13" x14ac:dyDescent="0.3">
      <c r="A108">
        <v>18</v>
      </c>
      <c r="B108" t="s">
        <v>13</v>
      </c>
      <c r="C108">
        <v>3.2</v>
      </c>
      <c r="D108" t="s">
        <v>20</v>
      </c>
      <c r="E108">
        <v>8.8000000000000007</v>
      </c>
      <c r="F108">
        <v>1.2</v>
      </c>
      <c r="G108">
        <v>3.71</v>
      </c>
      <c r="H108">
        <v>1.1000000000000001</v>
      </c>
      <c r="I108" t="s">
        <v>19</v>
      </c>
      <c r="J108">
        <v>7</v>
      </c>
      <c r="K108">
        <v>6</v>
      </c>
      <c r="L108">
        <v>10</v>
      </c>
      <c r="M108">
        <v>0</v>
      </c>
    </row>
    <row r="109" spans="1:13" x14ac:dyDescent="0.3">
      <c r="A109">
        <v>13</v>
      </c>
      <c r="B109" t="s">
        <v>13</v>
      </c>
      <c r="C109">
        <v>1.6</v>
      </c>
      <c r="D109" t="s">
        <v>17</v>
      </c>
      <c r="E109">
        <v>4.3</v>
      </c>
      <c r="F109">
        <v>0.6</v>
      </c>
      <c r="G109">
        <v>3.91</v>
      </c>
      <c r="H109">
        <v>2</v>
      </c>
      <c r="I109" t="s">
        <v>19</v>
      </c>
      <c r="J109">
        <v>5</v>
      </c>
      <c r="K109">
        <v>10</v>
      </c>
      <c r="L109">
        <v>7</v>
      </c>
      <c r="M109">
        <v>0</v>
      </c>
    </row>
    <row r="110" spans="1:13" x14ac:dyDescent="0.3">
      <c r="A110">
        <v>14</v>
      </c>
      <c r="B110" t="s">
        <v>13</v>
      </c>
      <c r="C110">
        <v>2.2999999999999998</v>
      </c>
      <c r="D110" t="s">
        <v>17</v>
      </c>
      <c r="E110">
        <v>8</v>
      </c>
      <c r="F110">
        <v>2.5</v>
      </c>
      <c r="G110">
        <v>3.08</v>
      </c>
      <c r="H110">
        <v>1.7</v>
      </c>
      <c r="I110" t="s">
        <v>19</v>
      </c>
      <c r="J110">
        <v>5</v>
      </c>
      <c r="K110">
        <v>6</v>
      </c>
      <c r="L110">
        <v>7</v>
      </c>
      <c r="M110">
        <v>0</v>
      </c>
    </row>
    <row r="111" spans="1:13" x14ac:dyDescent="0.3">
      <c r="A111">
        <v>17</v>
      </c>
      <c r="B111" t="s">
        <v>13</v>
      </c>
      <c r="C111">
        <v>7.7</v>
      </c>
      <c r="D111" t="s">
        <v>17</v>
      </c>
      <c r="E111">
        <v>8.5</v>
      </c>
      <c r="F111">
        <v>1.2</v>
      </c>
      <c r="G111">
        <v>3.56</v>
      </c>
      <c r="H111">
        <v>0</v>
      </c>
      <c r="I111" t="s">
        <v>19</v>
      </c>
      <c r="J111">
        <v>7</v>
      </c>
      <c r="K111">
        <v>10</v>
      </c>
      <c r="L111">
        <v>7</v>
      </c>
      <c r="M111">
        <v>0</v>
      </c>
    </row>
    <row r="112" spans="1:13" x14ac:dyDescent="0.3">
      <c r="A112">
        <v>16</v>
      </c>
      <c r="B112" t="s">
        <v>13</v>
      </c>
      <c r="C112">
        <v>4.8</v>
      </c>
      <c r="D112" t="s">
        <v>20</v>
      </c>
      <c r="E112">
        <v>7.1</v>
      </c>
      <c r="F112">
        <v>0.6</v>
      </c>
      <c r="G112">
        <v>3.36</v>
      </c>
      <c r="H112">
        <v>0.7</v>
      </c>
      <c r="I112" t="s">
        <v>18</v>
      </c>
      <c r="J112">
        <v>7</v>
      </c>
      <c r="K112">
        <v>6</v>
      </c>
      <c r="L112">
        <v>9</v>
      </c>
      <c r="M112">
        <v>0</v>
      </c>
    </row>
    <row r="113" spans="1:13" x14ac:dyDescent="0.3">
      <c r="A113">
        <v>17</v>
      </c>
      <c r="B113" t="s">
        <v>16</v>
      </c>
      <c r="C113">
        <v>5.2</v>
      </c>
      <c r="D113" t="s">
        <v>20</v>
      </c>
      <c r="E113">
        <v>6</v>
      </c>
      <c r="F113">
        <v>0.6</v>
      </c>
      <c r="G113">
        <v>3.07</v>
      </c>
      <c r="H113">
        <v>0.6</v>
      </c>
      <c r="I113" t="s">
        <v>19</v>
      </c>
      <c r="J113">
        <v>6</v>
      </c>
      <c r="K113">
        <v>2</v>
      </c>
      <c r="L113">
        <v>9</v>
      </c>
      <c r="M113">
        <v>0</v>
      </c>
    </row>
    <row r="114" spans="1:13" x14ac:dyDescent="0.3">
      <c r="A114">
        <v>13</v>
      </c>
      <c r="B114" t="s">
        <v>13</v>
      </c>
      <c r="C114">
        <v>5.7</v>
      </c>
      <c r="D114" t="s">
        <v>20</v>
      </c>
      <c r="E114">
        <v>6.6</v>
      </c>
      <c r="F114">
        <v>2.4</v>
      </c>
      <c r="G114">
        <v>3.99</v>
      </c>
      <c r="H114">
        <v>1.7</v>
      </c>
      <c r="I114" t="s">
        <v>18</v>
      </c>
      <c r="J114">
        <v>1</v>
      </c>
      <c r="K114">
        <v>3</v>
      </c>
      <c r="L114">
        <v>1</v>
      </c>
      <c r="M114">
        <v>0</v>
      </c>
    </row>
    <row r="115" spans="1:13" x14ac:dyDescent="0.3">
      <c r="A115">
        <v>15</v>
      </c>
      <c r="B115" t="s">
        <v>13</v>
      </c>
      <c r="C115">
        <v>4.5999999999999996</v>
      </c>
      <c r="D115" t="s">
        <v>17</v>
      </c>
      <c r="E115">
        <v>5.2</v>
      </c>
      <c r="F115">
        <v>1.4</v>
      </c>
      <c r="G115">
        <v>2.98</v>
      </c>
      <c r="H115">
        <v>1.9</v>
      </c>
      <c r="I115" t="s">
        <v>15</v>
      </c>
      <c r="J115">
        <v>1</v>
      </c>
      <c r="K115">
        <v>4</v>
      </c>
      <c r="L115">
        <v>5</v>
      </c>
      <c r="M115">
        <v>0</v>
      </c>
    </row>
    <row r="116" spans="1:13" x14ac:dyDescent="0.3">
      <c r="A116">
        <v>13</v>
      </c>
      <c r="B116" t="s">
        <v>13</v>
      </c>
      <c r="C116">
        <v>4.3</v>
      </c>
      <c r="D116" t="s">
        <v>17</v>
      </c>
      <c r="E116">
        <v>7.5</v>
      </c>
      <c r="F116">
        <v>2.7</v>
      </c>
      <c r="G116">
        <v>2.29</v>
      </c>
      <c r="H116">
        <v>0.8</v>
      </c>
      <c r="I116" t="s">
        <v>18</v>
      </c>
      <c r="J116">
        <v>1</v>
      </c>
      <c r="K116">
        <v>10</v>
      </c>
      <c r="L116">
        <v>1</v>
      </c>
      <c r="M116">
        <v>0</v>
      </c>
    </row>
    <row r="117" spans="1:13" x14ac:dyDescent="0.3">
      <c r="A117">
        <v>17</v>
      </c>
      <c r="B117" t="s">
        <v>16</v>
      </c>
      <c r="C117">
        <v>4.0999999999999996</v>
      </c>
      <c r="D117" t="s">
        <v>14</v>
      </c>
      <c r="E117">
        <v>8.6</v>
      </c>
      <c r="F117">
        <v>3</v>
      </c>
      <c r="G117">
        <v>2.77</v>
      </c>
      <c r="H117">
        <v>0.1</v>
      </c>
      <c r="I117" t="s">
        <v>19</v>
      </c>
      <c r="J117">
        <v>3</v>
      </c>
      <c r="K117">
        <v>6</v>
      </c>
      <c r="L117">
        <v>1</v>
      </c>
      <c r="M117">
        <v>0</v>
      </c>
    </row>
    <row r="118" spans="1:13" x14ac:dyDescent="0.3">
      <c r="A118">
        <v>15</v>
      </c>
      <c r="B118" t="s">
        <v>13</v>
      </c>
      <c r="C118">
        <v>6.5</v>
      </c>
      <c r="D118" t="s">
        <v>20</v>
      </c>
      <c r="E118">
        <v>8.1</v>
      </c>
      <c r="F118">
        <v>2</v>
      </c>
      <c r="G118">
        <v>3.89</v>
      </c>
      <c r="H118">
        <v>1.3</v>
      </c>
      <c r="I118" t="s">
        <v>18</v>
      </c>
      <c r="J118">
        <v>8</v>
      </c>
      <c r="K118">
        <v>2</v>
      </c>
      <c r="L118">
        <v>2</v>
      </c>
      <c r="M118">
        <v>0</v>
      </c>
    </row>
    <row r="119" spans="1:13" x14ac:dyDescent="0.3">
      <c r="A119">
        <v>19</v>
      </c>
      <c r="B119" t="s">
        <v>16</v>
      </c>
      <c r="C119">
        <v>7.8</v>
      </c>
      <c r="D119" t="s">
        <v>20</v>
      </c>
      <c r="E119">
        <v>8.8000000000000007</v>
      </c>
      <c r="F119">
        <v>2.1</v>
      </c>
      <c r="G119">
        <v>3.75</v>
      </c>
      <c r="H119">
        <v>1.3</v>
      </c>
      <c r="I119" t="s">
        <v>18</v>
      </c>
      <c r="J119">
        <v>10</v>
      </c>
      <c r="K119">
        <v>9</v>
      </c>
      <c r="L119">
        <v>6</v>
      </c>
      <c r="M119">
        <v>0</v>
      </c>
    </row>
    <row r="120" spans="1:13" x14ac:dyDescent="0.3">
      <c r="A120">
        <v>17</v>
      </c>
      <c r="B120" t="s">
        <v>13</v>
      </c>
      <c r="C120">
        <v>6.5</v>
      </c>
      <c r="D120" t="s">
        <v>14</v>
      </c>
      <c r="E120">
        <v>4.0999999999999996</v>
      </c>
      <c r="F120">
        <v>2.7</v>
      </c>
      <c r="G120">
        <v>3.66</v>
      </c>
      <c r="H120">
        <v>1.1000000000000001</v>
      </c>
      <c r="I120" t="s">
        <v>19</v>
      </c>
      <c r="J120">
        <v>6</v>
      </c>
      <c r="K120">
        <v>10</v>
      </c>
      <c r="L120">
        <v>10</v>
      </c>
      <c r="M120">
        <v>0</v>
      </c>
    </row>
    <row r="121" spans="1:13" x14ac:dyDescent="0.3">
      <c r="A121">
        <v>17</v>
      </c>
      <c r="B121" t="s">
        <v>16</v>
      </c>
      <c r="C121">
        <v>3.2</v>
      </c>
      <c r="D121" t="s">
        <v>17</v>
      </c>
      <c r="E121">
        <v>4.2</v>
      </c>
      <c r="F121">
        <v>0.6</v>
      </c>
      <c r="G121">
        <v>2.21</v>
      </c>
      <c r="H121">
        <v>1.4</v>
      </c>
      <c r="I121" t="s">
        <v>19</v>
      </c>
      <c r="J121">
        <v>6</v>
      </c>
      <c r="K121">
        <v>6</v>
      </c>
      <c r="L121">
        <v>3</v>
      </c>
      <c r="M121">
        <v>0</v>
      </c>
    </row>
    <row r="122" spans="1:13" x14ac:dyDescent="0.3">
      <c r="A122">
        <v>13</v>
      </c>
      <c r="B122" t="s">
        <v>13</v>
      </c>
      <c r="C122">
        <v>2.4</v>
      </c>
      <c r="D122" t="s">
        <v>17</v>
      </c>
      <c r="E122">
        <v>4.0999999999999996</v>
      </c>
      <c r="F122">
        <v>0.8</v>
      </c>
      <c r="G122">
        <v>2.79</v>
      </c>
      <c r="H122">
        <v>1.1000000000000001</v>
      </c>
      <c r="I122" t="s">
        <v>19</v>
      </c>
      <c r="J122">
        <v>8</v>
      </c>
      <c r="K122">
        <v>6</v>
      </c>
      <c r="L122">
        <v>3</v>
      </c>
      <c r="M122">
        <v>0</v>
      </c>
    </row>
    <row r="123" spans="1:13" x14ac:dyDescent="0.3">
      <c r="A123">
        <v>15</v>
      </c>
      <c r="B123" t="s">
        <v>16</v>
      </c>
      <c r="C123">
        <v>4</v>
      </c>
      <c r="D123" t="s">
        <v>14</v>
      </c>
      <c r="E123">
        <v>8.1</v>
      </c>
      <c r="F123">
        <v>2.1</v>
      </c>
      <c r="G123">
        <v>2.0099999999999998</v>
      </c>
      <c r="H123">
        <v>0.4</v>
      </c>
      <c r="I123" t="s">
        <v>19</v>
      </c>
      <c r="J123">
        <v>4</v>
      </c>
      <c r="K123">
        <v>8</v>
      </c>
      <c r="L123">
        <v>8</v>
      </c>
      <c r="M123">
        <v>0</v>
      </c>
    </row>
    <row r="124" spans="1:13" x14ac:dyDescent="0.3">
      <c r="A124">
        <v>17</v>
      </c>
      <c r="B124" t="s">
        <v>16</v>
      </c>
      <c r="C124">
        <v>6</v>
      </c>
      <c r="D124" t="s">
        <v>20</v>
      </c>
      <c r="E124">
        <v>8.8000000000000007</v>
      </c>
      <c r="F124">
        <v>1.3</v>
      </c>
      <c r="G124">
        <v>4</v>
      </c>
      <c r="H124">
        <v>0.9</v>
      </c>
      <c r="I124" t="s">
        <v>19</v>
      </c>
      <c r="J124">
        <v>8</v>
      </c>
      <c r="K124">
        <v>10</v>
      </c>
      <c r="L124">
        <v>7</v>
      </c>
      <c r="M124">
        <v>0</v>
      </c>
    </row>
    <row r="125" spans="1:13" x14ac:dyDescent="0.3">
      <c r="A125">
        <v>18</v>
      </c>
      <c r="B125" t="s">
        <v>13</v>
      </c>
      <c r="C125">
        <v>1.2</v>
      </c>
      <c r="D125" t="s">
        <v>17</v>
      </c>
      <c r="E125">
        <v>8</v>
      </c>
      <c r="F125">
        <v>1.7</v>
      </c>
      <c r="G125">
        <v>3.12</v>
      </c>
      <c r="H125">
        <v>0.1</v>
      </c>
      <c r="I125" t="s">
        <v>15</v>
      </c>
      <c r="J125">
        <v>6</v>
      </c>
      <c r="K125">
        <v>4</v>
      </c>
      <c r="L125">
        <v>2</v>
      </c>
      <c r="M125">
        <v>0</v>
      </c>
    </row>
    <row r="126" spans="1:13" x14ac:dyDescent="0.3">
      <c r="A126">
        <v>16</v>
      </c>
      <c r="B126" t="s">
        <v>13</v>
      </c>
      <c r="C126">
        <v>5.7</v>
      </c>
      <c r="D126" t="s">
        <v>20</v>
      </c>
      <c r="E126">
        <v>5.8</v>
      </c>
      <c r="F126">
        <v>2.8</v>
      </c>
      <c r="G126">
        <v>2.17</v>
      </c>
      <c r="H126">
        <v>0.5</v>
      </c>
      <c r="I126" t="s">
        <v>19</v>
      </c>
      <c r="J126">
        <v>3</v>
      </c>
      <c r="K126">
        <v>9</v>
      </c>
      <c r="L126">
        <v>2</v>
      </c>
      <c r="M126">
        <v>0</v>
      </c>
    </row>
    <row r="127" spans="1:13" x14ac:dyDescent="0.3">
      <c r="A127">
        <v>19</v>
      </c>
      <c r="B127" t="s">
        <v>13</v>
      </c>
      <c r="C127">
        <v>6.5</v>
      </c>
      <c r="D127" t="s">
        <v>20</v>
      </c>
      <c r="E127">
        <v>8.1</v>
      </c>
      <c r="F127">
        <v>2.2999999999999998</v>
      </c>
      <c r="G127">
        <v>2.21</v>
      </c>
      <c r="H127">
        <v>0.4</v>
      </c>
      <c r="I127" t="s">
        <v>18</v>
      </c>
      <c r="J127">
        <v>8</v>
      </c>
      <c r="K127">
        <v>8</v>
      </c>
      <c r="L127">
        <v>6</v>
      </c>
      <c r="M127">
        <v>0</v>
      </c>
    </row>
    <row r="128" spans="1:13" x14ac:dyDescent="0.3">
      <c r="A128">
        <v>16</v>
      </c>
      <c r="B128" t="s">
        <v>13</v>
      </c>
      <c r="C128">
        <v>6.6</v>
      </c>
      <c r="D128" t="s">
        <v>14</v>
      </c>
      <c r="E128">
        <v>5.6</v>
      </c>
      <c r="F128">
        <v>0.8</v>
      </c>
      <c r="G128">
        <v>3.48</v>
      </c>
      <c r="H128">
        <v>1.7</v>
      </c>
      <c r="I128" t="s">
        <v>19</v>
      </c>
      <c r="J128">
        <v>4</v>
      </c>
      <c r="K128">
        <v>3</v>
      </c>
      <c r="L128">
        <v>4</v>
      </c>
      <c r="M128">
        <v>0</v>
      </c>
    </row>
    <row r="129" spans="1:13" x14ac:dyDescent="0.3">
      <c r="A129">
        <v>13</v>
      </c>
      <c r="B129" t="s">
        <v>13</v>
      </c>
      <c r="C129">
        <v>6</v>
      </c>
      <c r="D129" t="s">
        <v>17</v>
      </c>
      <c r="E129">
        <v>7.2</v>
      </c>
      <c r="F129">
        <v>1.5</v>
      </c>
      <c r="G129">
        <v>2.36</v>
      </c>
      <c r="H129">
        <v>0.2</v>
      </c>
      <c r="I129" t="s">
        <v>15</v>
      </c>
      <c r="J129">
        <v>1</v>
      </c>
      <c r="K129">
        <v>3</v>
      </c>
      <c r="L129">
        <v>4</v>
      </c>
      <c r="M129">
        <v>0</v>
      </c>
    </row>
    <row r="130" spans="1:13" x14ac:dyDescent="0.3">
      <c r="A130">
        <v>18</v>
      </c>
      <c r="B130" t="s">
        <v>16</v>
      </c>
      <c r="C130">
        <v>1.1000000000000001</v>
      </c>
      <c r="D130" t="s">
        <v>20</v>
      </c>
      <c r="E130">
        <v>8</v>
      </c>
      <c r="F130">
        <v>2.7</v>
      </c>
      <c r="G130">
        <v>2.04</v>
      </c>
      <c r="H130">
        <v>0.1</v>
      </c>
      <c r="I130" t="s">
        <v>15</v>
      </c>
      <c r="J130">
        <v>7</v>
      </c>
      <c r="K130">
        <v>10</v>
      </c>
      <c r="L130">
        <v>2</v>
      </c>
      <c r="M130">
        <v>0</v>
      </c>
    </row>
    <row r="131" spans="1:13" x14ac:dyDescent="0.3">
      <c r="A131">
        <v>13</v>
      </c>
      <c r="B131" t="s">
        <v>16</v>
      </c>
      <c r="C131">
        <v>3.8</v>
      </c>
      <c r="D131" t="s">
        <v>14</v>
      </c>
      <c r="E131">
        <v>7.9</v>
      </c>
      <c r="F131">
        <v>1.3</v>
      </c>
      <c r="G131">
        <v>3.97</v>
      </c>
      <c r="H131">
        <v>0.2</v>
      </c>
      <c r="I131" t="s">
        <v>19</v>
      </c>
      <c r="J131">
        <v>7</v>
      </c>
      <c r="K131">
        <v>10</v>
      </c>
      <c r="L131">
        <v>9</v>
      </c>
      <c r="M131">
        <v>0</v>
      </c>
    </row>
    <row r="132" spans="1:13" x14ac:dyDescent="0.3">
      <c r="A132">
        <v>13</v>
      </c>
      <c r="B132" t="s">
        <v>16</v>
      </c>
      <c r="C132">
        <v>4.7</v>
      </c>
      <c r="D132" t="s">
        <v>20</v>
      </c>
      <c r="E132">
        <v>6.8</v>
      </c>
      <c r="F132">
        <v>1.7</v>
      </c>
      <c r="G132">
        <v>3.27</v>
      </c>
      <c r="H132">
        <v>1.4</v>
      </c>
      <c r="I132" t="s">
        <v>15</v>
      </c>
      <c r="J132">
        <v>4</v>
      </c>
      <c r="K132">
        <v>2</v>
      </c>
      <c r="L132">
        <v>4</v>
      </c>
      <c r="M132">
        <v>0</v>
      </c>
    </row>
    <row r="133" spans="1:13" x14ac:dyDescent="0.3">
      <c r="A133">
        <v>15</v>
      </c>
      <c r="B133" t="s">
        <v>13</v>
      </c>
      <c r="C133">
        <v>7.4</v>
      </c>
      <c r="D133" t="s">
        <v>17</v>
      </c>
      <c r="E133">
        <v>6.3</v>
      </c>
      <c r="F133">
        <v>1.3</v>
      </c>
      <c r="G133">
        <v>3.47</v>
      </c>
      <c r="H133">
        <v>1.2</v>
      </c>
      <c r="I133" t="s">
        <v>19</v>
      </c>
      <c r="J133">
        <v>1</v>
      </c>
      <c r="K133">
        <v>3</v>
      </c>
      <c r="L133">
        <v>9</v>
      </c>
      <c r="M133">
        <v>0</v>
      </c>
    </row>
    <row r="134" spans="1:13" x14ac:dyDescent="0.3">
      <c r="A134">
        <v>17</v>
      </c>
      <c r="B134" t="s">
        <v>13</v>
      </c>
      <c r="C134">
        <v>3.9</v>
      </c>
      <c r="D134" t="s">
        <v>14</v>
      </c>
      <c r="E134">
        <v>7.1</v>
      </c>
      <c r="F134">
        <v>2.4</v>
      </c>
      <c r="G134">
        <v>3.82</v>
      </c>
      <c r="H134">
        <v>0.8</v>
      </c>
      <c r="I134" t="s">
        <v>18</v>
      </c>
      <c r="J134">
        <v>3</v>
      </c>
      <c r="K134">
        <v>6</v>
      </c>
      <c r="L134">
        <v>10</v>
      </c>
      <c r="M134">
        <v>0</v>
      </c>
    </row>
    <row r="135" spans="1:13" x14ac:dyDescent="0.3">
      <c r="A135">
        <v>18</v>
      </c>
      <c r="B135" t="s">
        <v>13</v>
      </c>
      <c r="C135">
        <v>3.1</v>
      </c>
      <c r="D135" t="s">
        <v>14</v>
      </c>
      <c r="E135">
        <v>5.7</v>
      </c>
      <c r="F135">
        <v>2.9</v>
      </c>
      <c r="G135">
        <v>3.1</v>
      </c>
      <c r="H135">
        <v>0.6</v>
      </c>
      <c r="I135" t="s">
        <v>19</v>
      </c>
      <c r="J135">
        <v>9</v>
      </c>
      <c r="K135">
        <v>4</v>
      </c>
      <c r="L135">
        <v>2</v>
      </c>
      <c r="M135">
        <v>0</v>
      </c>
    </row>
    <row r="136" spans="1:13" x14ac:dyDescent="0.3">
      <c r="A136">
        <v>16</v>
      </c>
      <c r="B136" t="s">
        <v>16</v>
      </c>
      <c r="C136">
        <v>2.6</v>
      </c>
      <c r="D136" t="s">
        <v>17</v>
      </c>
      <c r="E136">
        <v>8.8000000000000007</v>
      </c>
      <c r="F136">
        <v>1.7</v>
      </c>
      <c r="G136">
        <v>2.39</v>
      </c>
      <c r="H136">
        <v>1</v>
      </c>
      <c r="I136" t="s">
        <v>19</v>
      </c>
      <c r="J136">
        <v>5</v>
      </c>
      <c r="K136">
        <v>2</v>
      </c>
      <c r="L136">
        <v>6</v>
      </c>
      <c r="M136">
        <v>0</v>
      </c>
    </row>
    <row r="137" spans="1:13" x14ac:dyDescent="0.3">
      <c r="A137">
        <v>13</v>
      </c>
      <c r="B137" t="s">
        <v>13</v>
      </c>
      <c r="C137">
        <v>5</v>
      </c>
      <c r="D137" t="s">
        <v>17</v>
      </c>
      <c r="E137">
        <v>6.9</v>
      </c>
      <c r="F137">
        <v>0.6</v>
      </c>
      <c r="G137">
        <v>3.03</v>
      </c>
      <c r="H137">
        <v>0.8</v>
      </c>
      <c r="I137" t="s">
        <v>15</v>
      </c>
      <c r="J137">
        <v>9</v>
      </c>
      <c r="K137">
        <v>3</v>
      </c>
      <c r="L137">
        <v>8</v>
      </c>
      <c r="M137">
        <v>0</v>
      </c>
    </row>
    <row r="138" spans="1:13" x14ac:dyDescent="0.3">
      <c r="A138">
        <v>18</v>
      </c>
      <c r="B138" t="s">
        <v>13</v>
      </c>
      <c r="C138">
        <v>4.5</v>
      </c>
      <c r="D138" t="s">
        <v>14</v>
      </c>
      <c r="E138">
        <v>8.1</v>
      </c>
      <c r="F138">
        <v>1.6</v>
      </c>
      <c r="G138">
        <v>3.72</v>
      </c>
      <c r="H138">
        <v>1.2</v>
      </c>
      <c r="I138" t="s">
        <v>15</v>
      </c>
      <c r="J138">
        <v>1</v>
      </c>
      <c r="K138">
        <v>2</v>
      </c>
      <c r="L138">
        <v>1</v>
      </c>
      <c r="M138">
        <v>0</v>
      </c>
    </row>
    <row r="139" spans="1:13" x14ac:dyDescent="0.3">
      <c r="A139">
        <v>17</v>
      </c>
      <c r="B139" t="s">
        <v>13</v>
      </c>
      <c r="C139">
        <v>2.1</v>
      </c>
      <c r="D139" t="s">
        <v>17</v>
      </c>
      <c r="E139">
        <v>4.7</v>
      </c>
      <c r="F139">
        <v>2</v>
      </c>
      <c r="G139">
        <v>2.99</v>
      </c>
      <c r="H139">
        <v>1.9</v>
      </c>
      <c r="I139" t="s">
        <v>15</v>
      </c>
      <c r="J139">
        <v>5</v>
      </c>
      <c r="K139">
        <v>1</v>
      </c>
      <c r="L139">
        <v>8</v>
      </c>
      <c r="M139">
        <v>0</v>
      </c>
    </row>
    <row r="140" spans="1:13" x14ac:dyDescent="0.3">
      <c r="A140">
        <v>14</v>
      </c>
      <c r="B140" t="s">
        <v>16</v>
      </c>
      <c r="C140">
        <v>6.4</v>
      </c>
      <c r="D140" t="s">
        <v>14</v>
      </c>
      <c r="E140">
        <v>6</v>
      </c>
      <c r="F140">
        <v>1.1000000000000001</v>
      </c>
      <c r="G140">
        <v>3.81</v>
      </c>
      <c r="H140">
        <v>0.9</v>
      </c>
      <c r="I140" t="s">
        <v>19</v>
      </c>
      <c r="J140">
        <v>8</v>
      </c>
      <c r="K140">
        <v>2</v>
      </c>
      <c r="L140">
        <v>3</v>
      </c>
      <c r="M140">
        <v>0</v>
      </c>
    </row>
    <row r="141" spans="1:13" x14ac:dyDescent="0.3">
      <c r="A141">
        <v>15</v>
      </c>
      <c r="B141" t="s">
        <v>16</v>
      </c>
      <c r="C141">
        <v>2.2999999999999998</v>
      </c>
      <c r="D141" t="s">
        <v>17</v>
      </c>
      <c r="E141">
        <v>6.5</v>
      </c>
      <c r="F141">
        <v>2.6</v>
      </c>
      <c r="G141">
        <v>3.18</v>
      </c>
      <c r="H141">
        <v>0.1</v>
      </c>
      <c r="I141" t="s">
        <v>15</v>
      </c>
      <c r="J141">
        <v>1</v>
      </c>
      <c r="K141">
        <v>8</v>
      </c>
      <c r="L141">
        <v>4</v>
      </c>
      <c r="M141">
        <v>0</v>
      </c>
    </row>
    <row r="142" spans="1:13" x14ac:dyDescent="0.3">
      <c r="A142">
        <v>13</v>
      </c>
      <c r="B142" t="s">
        <v>16</v>
      </c>
      <c r="C142">
        <v>4.4000000000000004</v>
      </c>
      <c r="D142" t="s">
        <v>17</v>
      </c>
      <c r="E142">
        <v>8.8000000000000007</v>
      </c>
      <c r="F142">
        <v>1.3</v>
      </c>
      <c r="G142">
        <v>2.69</v>
      </c>
      <c r="H142">
        <v>0.4</v>
      </c>
      <c r="I142" t="s">
        <v>15</v>
      </c>
      <c r="J142">
        <v>3</v>
      </c>
      <c r="K142">
        <v>1</v>
      </c>
      <c r="L142">
        <v>7</v>
      </c>
      <c r="M142">
        <v>0</v>
      </c>
    </row>
    <row r="143" spans="1:13" x14ac:dyDescent="0.3">
      <c r="A143">
        <v>19</v>
      </c>
      <c r="B143" t="s">
        <v>13</v>
      </c>
      <c r="C143">
        <v>2.2999999999999998</v>
      </c>
      <c r="D143" t="s">
        <v>14</v>
      </c>
      <c r="E143">
        <v>6.9</v>
      </c>
      <c r="F143">
        <v>2.2999999999999998</v>
      </c>
      <c r="G143">
        <v>2.17</v>
      </c>
      <c r="H143">
        <v>1.6</v>
      </c>
      <c r="I143" t="s">
        <v>19</v>
      </c>
      <c r="J143">
        <v>3</v>
      </c>
      <c r="K143">
        <v>6</v>
      </c>
      <c r="L143">
        <v>10</v>
      </c>
      <c r="M143">
        <v>0</v>
      </c>
    </row>
    <row r="144" spans="1:13" x14ac:dyDescent="0.3">
      <c r="A144">
        <v>13</v>
      </c>
      <c r="B144" t="s">
        <v>13</v>
      </c>
      <c r="C144">
        <v>4.3</v>
      </c>
      <c r="D144" t="s">
        <v>14</v>
      </c>
      <c r="E144">
        <v>4.4000000000000004</v>
      </c>
      <c r="F144">
        <v>0.7</v>
      </c>
      <c r="G144">
        <v>3.19</v>
      </c>
      <c r="H144">
        <v>0.3</v>
      </c>
      <c r="I144" t="s">
        <v>15</v>
      </c>
      <c r="J144">
        <v>6</v>
      </c>
      <c r="K144">
        <v>2</v>
      </c>
      <c r="L144">
        <v>6</v>
      </c>
      <c r="M144">
        <v>0</v>
      </c>
    </row>
    <row r="145" spans="1:13" x14ac:dyDescent="0.3">
      <c r="A145">
        <v>18</v>
      </c>
      <c r="B145" t="s">
        <v>16</v>
      </c>
      <c r="C145">
        <v>3.9</v>
      </c>
      <c r="D145" t="s">
        <v>17</v>
      </c>
      <c r="E145">
        <v>5.2</v>
      </c>
      <c r="F145">
        <v>1.8</v>
      </c>
      <c r="G145">
        <v>2.41</v>
      </c>
      <c r="H145">
        <v>0.6</v>
      </c>
      <c r="I145" t="s">
        <v>18</v>
      </c>
      <c r="J145">
        <v>9</v>
      </c>
      <c r="K145">
        <v>5</v>
      </c>
      <c r="L145">
        <v>5</v>
      </c>
      <c r="M145">
        <v>0</v>
      </c>
    </row>
    <row r="146" spans="1:13" x14ac:dyDescent="0.3">
      <c r="A146">
        <v>18</v>
      </c>
      <c r="B146" t="s">
        <v>13</v>
      </c>
      <c r="C146">
        <v>2.9</v>
      </c>
      <c r="D146" t="s">
        <v>17</v>
      </c>
      <c r="E146">
        <v>7.5</v>
      </c>
      <c r="F146">
        <v>0.9</v>
      </c>
      <c r="G146">
        <v>2.62</v>
      </c>
      <c r="H146">
        <v>2</v>
      </c>
      <c r="I146" t="s">
        <v>18</v>
      </c>
      <c r="J146">
        <v>3</v>
      </c>
      <c r="K146">
        <v>1</v>
      </c>
      <c r="L146">
        <v>9</v>
      </c>
      <c r="M146">
        <v>0</v>
      </c>
    </row>
    <row r="147" spans="1:13" x14ac:dyDescent="0.3">
      <c r="A147">
        <v>14</v>
      </c>
      <c r="B147" t="s">
        <v>13</v>
      </c>
      <c r="C147">
        <v>2.1</v>
      </c>
      <c r="D147" t="s">
        <v>14</v>
      </c>
      <c r="E147">
        <v>8.5</v>
      </c>
      <c r="F147">
        <v>1.1000000000000001</v>
      </c>
      <c r="G147">
        <v>3.03</v>
      </c>
      <c r="H147">
        <v>1.6</v>
      </c>
      <c r="I147" t="s">
        <v>19</v>
      </c>
      <c r="J147">
        <v>5</v>
      </c>
      <c r="K147">
        <v>6</v>
      </c>
      <c r="L147">
        <v>7</v>
      </c>
      <c r="M147">
        <v>0</v>
      </c>
    </row>
    <row r="148" spans="1:13" x14ac:dyDescent="0.3">
      <c r="A148">
        <v>14</v>
      </c>
      <c r="B148" t="s">
        <v>13</v>
      </c>
      <c r="C148">
        <v>2.1</v>
      </c>
      <c r="D148" t="s">
        <v>17</v>
      </c>
      <c r="E148">
        <v>5</v>
      </c>
      <c r="F148">
        <v>1.4</v>
      </c>
      <c r="G148">
        <v>2.96</v>
      </c>
      <c r="H148">
        <v>1.1000000000000001</v>
      </c>
      <c r="I148" t="s">
        <v>15</v>
      </c>
      <c r="J148">
        <v>7</v>
      </c>
      <c r="K148">
        <v>1</v>
      </c>
      <c r="L148">
        <v>9</v>
      </c>
      <c r="M148">
        <v>0</v>
      </c>
    </row>
    <row r="149" spans="1:13" x14ac:dyDescent="0.3">
      <c r="A149">
        <v>16</v>
      </c>
      <c r="B149" t="s">
        <v>13</v>
      </c>
      <c r="C149">
        <v>3.8</v>
      </c>
      <c r="D149" t="s">
        <v>17</v>
      </c>
      <c r="E149">
        <v>5.7</v>
      </c>
      <c r="F149">
        <v>1.3</v>
      </c>
      <c r="G149">
        <v>3.84</v>
      </c>
      <c r="H149">
        <v>1.6</v>
      </c>
      <c r="I149" t="s">
        <v>19</v>
      </c>
      <c r="J149">
        <v>3</v>
      </c>
      <c r="K149">
        <v>4</v>
      </c>
      <c r="L149">
        <v>10</v>
      </c>
      <c r="M149">
        <v>0</v>
      </c>
    </row>
    <row r="150" spans="1:13" x14ac:dyDescent="0.3">
      <c r="A150">
        <v>15</v>
      </c>
      <c r="B150" t="s">
        <v>16</v>
      </c>
      <c r="C150">
        <v>1.1000000000000001</v>
      </c>
      <c r="D150" t="s">
        <v>17</v>
      </c>
      <c r="E150">
        <v>8.1999999999999993</v>
      </c>
      <c r="F150">
        <v>0.7</v>
      </c>
      <c r="G150">
        <v>2.94</v>
      </c>
      <c r="H150">
        <v>0.7</v>
      </c>
      <c r="I150" t="s">
        <v>18</v>
      </c>
      <c r="J150">
        <v>10</v>
      </c>
      <c r="K150">
        <v>7</v>
      </c>
      <c r="L150">
        <v>9</v>
      </c>
      <c r="M150">
        <v>0</v>
      </c>
    </row>
    <row r="151" spans="1:13" x14ac:dyDescent="0.3">
      <c r="A151">
        <v>14</v>
      </c>
      <c r="B151" t="s">
        <v>13</v>
      </c>
      <c r="C151">
        <v>2.5</v>
      </c>
      <c r="D151" t="s">
        <v>20</v>
      </c>
      <c r="E151">
        <v>5.3</v>
      </c>
      <c r="F151">
        <v>2.4</v>
      </c>
      <c r="G151">
        <v>3.87</v>
      </c>
      <c r="H151">
        <v>1.3</v>
      </c>
      <c r="I151" t="s">
        <v>18</v>
      </c>
      <c r="J151">
        <v>10</v>
      </c>
      <c r="K151">
        <v>9</v>
      </c>
      <c r="L151">
        <v>6</v>
      </c>
      <c r="M151">
        <v>0</v>
      </c>
    </row>
    <row r="152" spans="1:13" x14ac:dyDescent="0.3">
      <c r="A152">
        <v>19</v>
      </c>
      <c r="B152" t="s">
        <v>16</v>
      </c>
      <c r="C152">
        <v>4.0999999999999996</v>
      </c>
      <c r="D152" t="s">
        <v>14</v>
      </c>
      <c r="E152">
        <v>6.4</v>
      </c>
      <c r="F152">
        <v>0.9</v>
      </c>
      <c r="G152">
        <v>2.4700000000000002</v>
      </c>
      <c r="H152">
        <v>1.2</v>
      </c>
      <c r="I152" t="s">
        <v>18</v>
      </c>
      <c r="J152">
        <v>7</v>
      </c>
      <c r="K152">
        <v>3</v>
      </c>
      <c r="L152">
        <v>4</v>
      </c>
      <c r="M152">
        <v>0</v>
      </c>
    </row>
    <row r="153" spans="1:13" x14ac:dyDescent="0.3">
      <c r="A153">
        <v>16</v>
      </c>
      <c r="B153" t="s">
        <v>13</v>
      </c>
      <c r="C153">
        <v>3</v>
      </c>
      <c r="D153" t="s">
        <v>14</v>
      </c>
      <c r="E153">
        <v>8.6</v>
      </c>
      <c r="F153">
        <v>1.5</v>
      </c>
      <c r="G153">
        <v>2.84</v>
      </c>
      <c r="H153">
        <v>0.3</v>
      </c>
      <c r="I153" t="s">
        <v>18</v>
      </c>
      <c r="J153">
        <v>6</v>
      </c>
      <c r="K153">
        <v>4</v>
      </c>
      <c r="L153">
        <v>3</v>
      </c>
      <c r="M153">
        <v>0</v>
      </c>
    </row>
    <row r="154" spans="1:13" x14ac:dyDescent="0.3">
      <c r="A154">
        <v>13</v>
      </c>
      <c r="B154" t="s">
        <v>16</v>
      </c>
      <c r="C154">
        <v>3.9</v>
      </c>
      <c r="D154" t="s">
        <v>14</v>
      </c>
      <c r="E154">
        <v>5</v>
      </c>
      <c r="F154">
        <v>0.7</v>
      </c>
      <c r="G154">
        <v>2.98</v>
      </c>
      <c r="H154">
        <v>0.3</v>
      </c>
      <c r="I154" t="s">
        <v>19</v>
      </c>
      <c r="J154">
        <v>10</v>
      </c>
      <c r="K154">
        <v>8</v>
      </c>
      <c r="L154">
        <v>3</v>
      </c>
      <c r="M154">
        <v>0</v>
      </c>
    </row>
    <row r="155" spans="1:13" x14ac:dyDescent="0.3">
      <c r="A155">
        <v>13</v>
      </c>
      <c r="B155" t="s">
        <v>13</v>
      </c>
      <c r="C155">
        <v>7</v>
      </c>
      <c r="D155" t="s">
        <v>17</v>
      </c>
      <c r="E155">
        <v>8.9</v>
      </c>
      <c r="F155">
        <v>0.6</v>
      </c>
      <c r="G155">
        <v>2.7</v>
      </c>
      <c r="H155">
        <v>1.8</v>
      </c>
      <c r="I155" t="s">
        <v>19</v>
      </c>
      <c r="J155">
        <v>5</v>
      </c>
      <c r="K155">
        <v>4</v>
      </c>
      <c r="L155">
        <v>1</v>
      </c>
      <c r="M155">
        <v>0</v>
      </c>
    </row>
    <row r="156" spans="1:13" x14ac:dyDescent="0.3">
      <c r="A156">
        <v>16</v>
      </c>
      <c r="B156" t="s">
        <v>13</v>
      </c>
      <c r="C156">
        <v>3.6</v>
      </c>
      <c r="D156" t="s">
        <v>20</v>
      </c>
      <c r="E156">
        <v>8.9</v>
      </c>
      <c r="F156">
        <v>1.9</v>
      </c>
      <c r="G156">
        <v>2.11</v>
      </c>
      <c r="H156">
        <v>1.7</v>
      </c>
      <c r="I156" t="s">
        <v>15</v>
      </c>
      <c r="J156">
        <v>9</v>
      </c>
      <c r="K156">
        <v>5</v>
      </c>
      <c r="L156">
        <v>2</v>
      </c>
      <c r="M156">
        <v>0</v>
      </c>
    </row>
    <row r="157" spans="1:13" x14ac:dyDescent="0.3">
      <c r="A157">
        <v>15</v>
      </c>
      <c r="B157" t="s">
        <v>13</v>
      </c>
      <c r="C157">
        <v>7.6</v>
      </c>
      <c r="D157" t="s">
        <v>14</v>
      </c>
      <c r="E157">
        <v>7.6</v>
      </c>
      <c r="F157">
        <v>2.7</v>
      </c>
      <c r="G157">
        <v>2.36</v>
      </c>
      <c r="H157">
        <v>1.2</v>
      </c>
      <c r="I157" t="s">
        <v>19</v>
      </c>
      <c r="J157">
        <v>5</v>
      </c>
      <c r="K157">
        <v>10</v>
      </c>
      <c r="L157">
        <v>3</v>
      </c>
      <c r="M157">
        <v>0</v>
      </c>
    </row>
    <row r="158" spans="1:13" x14ac:dyDescent="0.3">
      <c r="A158">
        <v>19</v>
      </c>
      <c r="B158" t="s">
        <v>13</v>
      </c>
      <c r="C158">
        <v>1.3</v>
      </c>
      <c r="D158" t="s">
        <v>14</v>
      </c>
      <c r="E158">
        <v>4.5</v>
      </c>
      <c r="F158">
        <v>0.7</v>
      </c>
      <c r="G158">
        <v>2.5099999999999998</v>
      </c>
      <c r="H158">
        <v>0.8</v>
      </c>
      <c r="I158" t="s">
        <v>15</v>
      </c>
      <c r="J158">
        <v>10</v>
      </c>
      <c r="K158">
        <v>9</v>
      </c>
      <c r="L158">
        <v>7</v>
      </c>
      <c r="M158">
        <v>0</v>
      </c>
    </row>
    <row r="159" spans="1:13" x14ac:dyDescent="0.3">
      <c r="A159">
        <v>17</v>
      </c>
      <c r="B159" t="s">
        <v>16</v>
      </c>
      <c r="C159">
        <v>2.1</v>
      </c>
      <c r="D159" t="s">
        <v>20</v>
      </c>
      <c r="E159">
        <v>7.8</v>
      </c>
      <c r="F159">
        <v>2.1</v>
      </c>
      <c r="G159">
        <v>3.29</v>
      </c>
      <c r="H159">
        <v>1.5</v>
      </c>
      <c r="I159" t="s">
        <v>15</v>
      </c>
      <c r="J159">
        <v>8</v>
      </c>
      <c r="K159">
        <v>1</v>
      </c>
      <c r="L159">
        <v>7</v>
      </c>
      <c r="M159">
        <v>0</v>
      </c>
    </row>
    <row r="160" spans="1:13" x14ac:dyDescent="0.3">
      <c r="A160">
        <v>15</v>
      </c>
      <c r="B160" t="s">
        <v>16</v>
      </c>
      <c r="C160">
        <v>2.7</v>
      </c>
      <c r="D160" t="s">
        <v>20</v>
      </c>
      <c r="E160">
        <v>8.8000000000000007</v>
      </c>
      <c r="F160">
        <v>1.9</v>
      </c>
      <c r="G160">
        <v>2.14</v>
      </c>
      <c r="H160">
        <v>0.4</v>
      </c>
      <c r="I160" t="s">
        <v>18</v>
      </c>
      <c r="J160">
        <v>8</v>
      </c>
      <c r="K160">
        <v>10</v>
      </c>
      <c r="L160">
        <v>3</v>
      </c>
      <c r="M160">
        <v>0</v>
      </c>
    </row>
    <row r="161" spans="1:13" x14ac:dyDescent="0.3">
      <c r="A161">
        <v>13</v>
      </c>
      <c r="B161" t="s">
        <v>13</v>
      </c>
      <c r="C161">
        <v>7.5</v>
      </c>
      <c r="D161" t="s">
        <v>20</v>
      </c>
      <c r="E161">
        <v>8</v>
      </c>
      <c r="F161">
        <v>2</v>
      </c>
      <c r="G161">
        <v>3.25</v>
      </c>
      <c r="H161">
        <v>0.7</v>
      </c>
      <c r="I161" t="s">
        <v>19</v>
      </c>
      <c r="J161">
        <v>9</v>
      </c>
      <c r="K161">
        <v>10</v>
      </c>
      <c r="L161">
        <v>2</v>
      </c>
      <c r="M161">
        <v>0</v>
      </c>
    </row>
    <row r="162" spans="1:13" x14ac:dyDescent="0.3">
      <c r="A162">
        <v>16</v>
      </c>
      <c r="B162" t="s">
        <v>16</v>
      </c>
      <c r="C162">
        <v>6.1</v>
      </c>
      <c r="D162" t="s">
        <v>20</v>
      </c>
      <c r="E162">
        <v>8.8000000000000007</v>
      </c>
      <c r="F162">
        <v>1.7</v>
      </c>
      <c r="G162">
        <v>3.55</v>
      </c>
      <c r="H162">
        <v>1.3</v>
      </c>
      <c r="I162" t="s">
        <v>19</v>
      </c>
      <c r="J162">
        <v>6</v>
      </c>
      <c r="K162">
        <v>10</v>
      </c>
      <c r="L162">
        <v>9</v>
      </c>
      <c r="M162">
        <v>0</v>
      </c>
    </row>
    <row r="163" spans="1:13" x14ac:dyDescent="0.3">
      <c r="A163">
        <v>19</v>
      </c>
      <c r="B163" t="s">
        <v>13</v>
      </c>
      <c r="C163">
        <v>2.4</v>
      </c>
      <c r="D163" t="s">
        <v>20</v>
      </c>
      <c r="E163">
        <v>7.4</v>
      </c>
      <c r="F163">
        <v>1.2</v>
      </c>
      <c r="G163">
        <v>2.5</v>
      </c>
      <c r="H163">
        <v>1.8</v>
      </c>
      <c r="I163" t="s">
        <v>18</v>
      </c>
      <c r="J163">
        <v>2</v>
      </c>
      <c r="K163">
        <v>5</v>
      </c>
      <c r="L163">
        <v>2</v>
      </c>
      <c r="M163">
        <v>0</v>
      </c>
    </row>
    <row r="164" spans="1:13" x14ac:dyDescent="0.3">
      <c r="A164">
        <v>19</v>
      </c>
      <c r="B164" t="s">
        <v>13</v>
      </c>
      <c r="C164">
        <v>2</v>
      </c>
      <c r="D164" t="s">
        <v>17</v>
      </c>
      <c r="E164">
        <v>5.3</v>
      </c>
      <c r="F164">
        <v>1.7</v>
      </c>
      <c r="G164">
        <v>2.91</v>
      </c>
      <c r="H164">
        <v>0.8</v>
      </c>
      <c r="I164" t="s">
        <v>15</v>
      </c>
      <c r="J164">
        <v>9</v>
      </c>
      <c r="K164">
        <v>5</v>
      </c>
      <c r="L164">
        <v>9</v>
      </c>
      <c r="M164">
        <v>0</v>
      </c>
    </row>
    <row r="165" spans="1:13" x14ac:dyDescent="0.3">
      <c r="A165">
        <v>15</v>
      </c>
      <c r="B165" t="s">
        <v>16</v>
      </c>
      <c r="C165">
        <v>7.8</v>
      </c>
      <c r="D165" t="s">
        <v>17</v>
      </c>
      <c r="E165">
        <v>5.3</v>
      </c>
      <c r="F165">
        <v>0.5</v>
      </c>
      <c r="G165">
        <v>2.3199999999999998</v>
      </c>
      <c r="H165">
        <v>0.8</v>
      </c>
      <c r="I165" t="s">
        <v>15</v>
      </c>
      <c r="J165">
        <v>8</v>
      </c>
      <c r="K165">
        <v>9</v>
      </c>
      <c r="L165">
        <v>3</v>
      </c>
      <c r="M165">
        <v>1</v>
      </c>
    </row>
    <row r="166" spans="1:13" x14ac:dyDescent="0.3">
      <c r="A166">
        <v>16</v>
      </c>
      <c r="B166" t="s">
        <v>16</v>
      </c>
      <c r="C166">
        <v>6.8</v>
      </c>
      <c r="D166" t="s">
        <v>17</v>
      </c>
      <c r="E166">
        <v>7.2</v>
      </c>
      <c r="F166">
        <v>2.5</v>
      </c>
      <c r="G166">
        <v>3.61</v>
      </c>
      <c r="H166">
        <v>0.5</v>
      </c>
      <c r="I166" t="s">
        <v>19</v>
      </c>
      <c r="J166">
        <v>10</v>
      </c>
      <c r="K166">
        <v>1</v>
      </c>
      <c r="L166">
        <v>9</v>
      </c>
      <c r="M166">
        <v>0</v>
      </c>
    </row>
    <row r="167" spans="1:13" x14ac:dyDescent="0.3">
      <c r="A167">
        <v>17</v>
      </c>
      <c r="B167" t="s">
        <v>13</v>
      </c>
      <c r="C167">
        <v>8</v>
      </c>
      <c r="D167" t="s">
        <v>14</v>
      </c>
      <c r="E167">
        <v>4.5999999999999996</v>
      </c>
      <c r="F167">
        <v>2.6</v>
      </c>
      <c r="G167">
        <v>3.06</v>
      </c>
      <c r="H167">
        <v>0.1</v>
      </c>
      <c r="I167" t="s">
        <v>18</v>
      </c>
      <c r="J167">
        <v>9</v>
      </c>
      <c r="K167">
        <v>2</v>
      </c>
      <c r="L167">
        <v>6</v>
      </c>
      <c r="M167">
        <v>0</v>
      </c>
    </row>
    <row r="168" spans="1:13" x14ac:dyDescent="0.3">
      <c r="A168">
        <v>13</v>
      </c>
      <c r="B168" t="s">
        <v>16</v>
      </c>
      <c r="C168">
        <v>7.3</v>
      </c>
      <c r="D168" t="s">
        <v>20</v>
      </c>
      <c r="E168">
        <v>8.9</v>
      </c>
      <c r="F168">
        <v>2.7</v>
      </c>
      <c r="G168">
        <v>3.68</v>
      </c>
      <c r="H168">
        <v>1.9</v>
      </c>
      <c r="I168" t="s">
        <v>15</v>
      </c>
      <c r="J168">
        <v>6</v>
      </c>
      <c r="K168">
        <v>6</v>
      </c>
      <c r="L168">
        <v>10</v>
      </c>
      <c r="M168">
        <v>0</v>
      </c>
    </row>
    <row r="169" spans="1:13" x14ac:dyDescent="0.3">
      <c r="A169">
        <v>15</v>
      </c>
      <c r="B169" t="s">
        <v>16</v>
      </c>
      <c r="C169">
        <v>1.5</v>
      </c>
      <c r="D169" t="s">
        <v>20</v>
      </c>
      <c r="E169">
        <v>8.6999999999999993</v>
      </c>
      <c r="F169">
        <v>1.2</v>
      </c>
      <c r="G169">
        <v>2.52</v>
      </c>
      <c r="H169">
        <v>0.1</v>
      </c>
      <c r="I169" t="s">
        <v>15</v>
      </c>
      <c r="J169">
        <v>9</v>
      </c>
      <c r="K169">
        <v>7</v>
      </c>
      <c r="L169">
        <v>2</v>
      </c>
      <c r="M169">
        <v>0</v>
      </c>
    </row>
    <row r="170" spans="1:13" x14ac:dyDescent="0.3">
      <c r="A170">
        <v>15</v>
      </c>
      <c r="B170" t="s">
        <v>16</v>
      </c>
      <c r="C170">
        <v>3.4</v>
      </c>
      <c r="D170" t="s">
        <v>14</v>
      </c>
      <c r="E170">
        <v>5</v>
      </c>
      <c r="F170">
        <v>1.8</v>
      </c>
      <c r="G170">
        <v>3.2</v>
      </c>
      <c r="H170">
        <v>1.5</v>
      </c>
      <c r="I170" t="s">
        <v>19</v>
      </c>
      <c r="J170">
        <v>4</v>
      </c>
      <c r="K170">
        <v>5</v>
      </c>
      <c r="L170">
        <v>1</v>
      </c>
      <c r="M170">
        <v>0</v>
      </c>
    </row>
    <row r="171" spans="1:13" x14ac:dyDescent="0.3">
      <c r="A171">
        <v>15</v>
      </c>
      <c r="B171" t="s">
        <v>13</v>
      </c>
      <c r="C171">
        <v>7.3</v>
      </c>
      <c r="D171" t="s">
        <v>20</v>
      </c>
      <c r="E171">
        <v>4.8</v>
      </c>
      <c r="F171">
        <v>2.6</v>
      </c>
      <c r="G171">
        <v>3.81</v>
      </c>
      <c r="H171">
        <v>1.5</v>
      </c>
      <c r="I171" t="s">
        <v>15</v>
      </c>
      <c r="J171">
        <v>4</v>
      </c>
      <c r="K171">
        <v>7</v>
      </c>
      <c r="L171">
        <v>4</v>
      </c>
      <c r="M171">
        <v>0</v>
      </c>
    </row>
    <row r="172" spans="1:13" x14ac:dyDescent="0.3">
      <c r="A172">
        <v>13</v>
      </c>
      <c r="B172" t="s">
        <v>16</v>
      </c>
      <c r="C172">
        <v>1.9</v>
      </c>
      <c r="D172" t="s">
        <v>17</v>
      </c>
      <c r="E172">
        <v>8.5</v>
      </c>
      <c r="F172">
        <v>0.8</v>
      </c>
      <c r="G172">
        <v>3.33</v>
      </c>
      <c r="H172">
        <v>1.3</v>
      </c>
      <c r="I172" t="s">
        <v>19</v>
      </c>
      <c r="J172">
        <v>5</v>
      </c>
      <c r="K172">
        <v>1</v>
      </c>
      <c r="L172">
        <v>3</v>
      </c>
      <c r="M172">
        <v>0</v>
      </c>
    </row>
    <row r="173" spans="1:13" x14ac:dyDescent="0.3">
      <c r="A173">
        <v>17</v>
      </c>
      <c r="B173" t="s">
        <v>16</v>
      </c>
      <c r="C173">
        <v>3.9</v>
      </c>
      <c r="D173" t="s">
        <v>14</v>
      </c>
      <c r="E173">
        <v>8.1999999999999993</v>
      </c>
      <c r="F173">
        <v>1.3</v>
      </c>
      <c r="G173">
        <v>3.21</v>
      </c>
      <c r="H173">
        <v>1.8</v>
      </c>
      <c r="I173" t="s">
        <v>19</v>
      </c>
      <c r="J173">
        <v>3</v>
      </c>
      <c r="K173">
        <v>7</v>
      </c>
      <c r="L173">
        <v>7</v>
      </c>
      <c r="M173">
        <v>0</v>
      </c>
    </row>
    <row r="174" spans="1:13" x14ac:dyDescent="0.3">
      <c r="A174">
        <v>18</v>
      </c>
      <c r="B174" t="s">
        <v>13</v>
      </c>
      <c r="C174">
        <v>1.3</v>
      </c>
      <c r="D174" t="s">
        <v>14</v>
      </c>
      <c r="E174">
        <v>5.8</v>
      </c>
      <c r="F174">
        <v>1.3</v>
      </c>
      <c r="G174">
        <v>3.35</v>
      </c>
      <c r="H174">
        <v>1.9</v>
      </c>
      <c r="I174" t="s">
        <v>19</v>
      </c>
      <c r="J174">
        <v>9</v>
      </c>
      <c r="K174">
        <v>4</v>
      </c>
      <c r="L174">
        <v>9</v>
      </c>
      <c r="M174">
        <v>0</v>
      </c>
    </row>
    <row r="175" spans="1:13" x14ac:dyDescent="0.3">
      <c r="A175">
        <v>19</v>
      </c>
      <c r="B175" t="s">
        <v>13</v>
      </c>
      <c r="C175">
        <v>4.7</v>
      </c>
      <c r="D175" t="s">
        <v>17</v>
      </c>
      <c r="E175">
        <v>8.1999999999999993</v>
      </c>
      <c r="F175">
        <v>1.8</v>
      </c>
      <c r="G175">
        <v>2.2599999999999998</v>
      </c>
      <c r="H175">
        <v>1</v>
      </c>
      <c r="I175" t="s">
        <v>15</v>
      </c>
      <c r="J175">
        <v>7</v>
      </c>
      <c r="K175">
        <v>4</v>
      </c>
      <c r="L175">
        <v>7</v>
      </c>
      <c r="M175">
        <v>0</v>
      </c>
    </row>
    <row r="176" spans="1:13" x14ac:dyDescent="0.3">
      <c r="A176">
        <v>15</v>
      </c>
      <c r="B176" t="s">
        <v>13</v>
      </c>
      <c r="C176">
        <v>1.9</v>
      </c>
      <c r="D176" t="s">
        <v>17</v>
      </c>
      <c r="E176">
        <v>5.8</v>
      </c>
      <c r="F176">
        <v>2.2999999999999998</v>
      </c>
      <c r="G176">
        <v>2.4700000000000002</v>
      </c>
      <c r="H176">
        <v>0.3</v>
      </c>
      <c r="I176" t="s">
        <v>18</v>
      </c>
      <c r="J176">
        <v>10</v>
      </c>
      <c r="K176">
        <v>9</v>
      </c>
      <c r="L176">
        <v>4</v>
      </c>
      <c r="M176">
        <v>0</v>
      </c>
    </row>
    <row r="177" spans="1:13" x14ac:dyDescent="0.3">
      <c r="A177">
        <v>18</v>
      </c>
      <c r="B177" t="s">
        <v>16</v>
      </c>
      <c r="C177">
        <v>7</v>
      </c>
      <c r="D177" t="s">
        <v>20</v>
      </c>
      <c r="E177">
        <v>6.3</v>
      </c>
      <c r="F177">
        <v>1.6</v>
      </c>
      <c r="G177">
        <v>2.5499999999999998</v>
      </c>
      <c r="H177">
        <v>0.5</v>
      </c>
      <c r="I177" t="s">
        <v>19</v>
      </c>
      <c r="J177">
        <v>10</v>
      </c>
      <c r="K177">
        <v>1</v>
      </c>
      <c r="L177">
        <v>8</v>
      </c>
      <c r="M177">
        <v>0</v>
      </c>
    </row>
    <row r="178" spans="1:13" x14ac:dyDescent="0.3">
      <c r="A178">
        <v>15</v>
      </c>
      <c r="B178" t="s">
        <v>13</v>
      </c>
      <c r="C178">
        <v>6.2</v>
      </c>
      <c r="D178" t="s">
        <v>17</v>
      </c>
      <c r="E178">
        <v>6.3</v>
      </c>
      <c r="F178">
        <v>1.7</v>
      </c>
      <c r="G178">
        <v>2.2599999999999998</v>
      </c>
      <c r="H178">
        <v>1.1000000000000001</v>
      </c>
      <c r="I178" t="s">
        <v>18</v>
      </c>
      <c r="J178">
        <v>9</v>
      </c>
      <c r="K178">
        <v>6</v>
      </c>
      <c r="L178">
        <v>2</v>
      </c>
      <c r="M178">
        <v>0</v>
      </c>
    </row>
    <row r="179" spans="1:13" x14ac:dyDescent="0.3">
      <c r="A179">
        <v>14</v>
      </c>
      <c r="B179" t="s">
        <v>13</v>
      </c>
      <c r="C179">
        <v>3.2</v>
      </c>
      <c r="D179" t="s">
        <v>17</v>
      </c>
      <c r="E179">
        <v>8</v>
      </c>
      <c r="F179">
        <v>1.3</v>
      </c>
      <c r="G179">
        <v>2.5</v>
      </c>
      <c r="H179">
        <v>1.1000000000000001</v>
      </c>
      <c r="I179" t="s">
        <v>18</v>
      </c>
      <c r="J179">
        <v>2</v>
      </c>
      <c r="K179">
        <v>7</v>
      </c>
      <c r="L179">
        <v>5</v>
      </c>
      <c r="M179">
        <v>0</v>
      </c>
    </row>
    <row r="180" spans="1:13" x14ac:dyDescent="0.3">
      <c r="A180">
        <v>18</v>
      </c>
      <c r="B180" t="s">
        <v>16</v>
      </c>
      <c r="C180">
        <v>4.5</v>
      </c>
      <c r="D180" t="s">
        <v>20</v>
      </c>
      <c r="E180">
        <v>7.9</v>
      </c>
      <c r="F180">
        <v>1.4</v>
      </c>
      <c r="G180">
        <v>2.38</v>
      </c>
      <c r="H180">
        <v>0.1</v>
      </c>
      <c r="I180" t="s">
        <v>18</v>
      </c>
      <c r="J180">
        <v>7</v>
      </c>
      <c r="K180">
        <v>9</v>
      </c>
      <c r="L180">
        <v>1</v>
      </c>
      <c r="M180">
        <v>0</v>
      </c>
    </row>
    <row r="181" spans="1:13" x14ac:dyDescent="0.3">
      <c r="A181">
        <v>14</v>
      </c>
      <c r="B181" t="s">
        <v>16</v>
      </c>
      <c r="C181">
        <v>1.1000000000000001</v>
      </c>
      <c r="D181" t="s">
        <v>20</v>
      </c>
      <c r="E181">
        <v>6.1</v>
      </c>
      <c r="F181">
        <v>2.5</v>
      </c>
      <c r="G181">
        <v>2.8</v>
      </c>
      <c r="H181">
        <v>1.8</v>
      </c>
      <c r="I181" t="s">
        <v>18</v>
      </c>
      <c r="J181">
        <v>4</v>
      </c>
      <c r="K181">
        <v>10</v>
      </c>
      <c r="L181">
        <v>3</v>
      </c>
      <c r="M181">
        <v>0</v>
      </c>
    </row>
    <row r="182" spans="1:13" x14ac:dyDescent="0.3">
      <c r="A182">
        <v>13</v>
      </c>
      <c r="B182" t="s">
        <v>13</v>
      </c>
      <c r="C182">
        <v>5.9</v>
      </c>
      <c r="D182" t="s">
        <v>14</v>
      </c>
      <c r="E182">
        <v>8</v>
      </c>
      <c r="F182">
        <v>2.8</v>
      </c>
      <c r="G182">
        <v>3.21</v>
      </c>
      <c r="H182">
        <v>1.6</v>
      </c>
      <c r="I182" t="s">
        <v>19</v>
      </c>
      <c r="J182">
        <v>2</v>
      </c>
      <c r="K182">
        <v>8</v>
      </c>
      <c r="L182">
        <v>8</v>
      </c>
      <c r="M182">
        <v>0</v>
      </c>
    </row>
    <row r="183" spans="1:13" x14ac:dyDescent="0.3">
      <c r="A183">
        <v>17</v>
      </c>
      <c r="B183" t="s">
        <v>13</v>
      </c>
      <c r="C183">
        <v>5.0999999999999996</v>
      </c>
      <c r="D183" t="s">
        <v>20</v>
      </c>
      <c r="E183">
        <v>5</v>
      </c>
      <c r="F183">
        <v>2.2000000000000002</v>
      </c>
      <c r="G183">
        <v>3.58</v>
      </c>
      <c r="H183">
        <v>1.2</v>
      </c>
      <c r="I183" t="s">
        <v>18</v>
      </c>
      <c r="J183">
        <v>6</v>
      </c>
      <c r="K183">
        <v>3</v>
      </c>
      <c r="L183">
        <v>9</v>
      </c>
      <c r="M183">
        <v>0</v>
      </c>
    </row>
    <row r="184" spans="1:13" x14ac:dyDescent="0.3">
      <c r="A184">
        <v>15</v>
      </c>
      <c r="B184" t="s">
        <v>13</v>
      </c>
      <c r="C184">
        <v>1.6</v>
      </c>
      <c r="D184" t="s">
        <v>14</v>
      </c>
      <c r="E184">
        <v>6.9</v>
      </c>
      <c r="F184">
        <v>2.2999999999999998</v>
      </c>
      <c r="G184">
        <v>3.16</v>
      </c>
      <c r="H184">
        <v>0.9</v>
      </c>
      <c r="I184" t="s">
        <v>19</v>
      </c>
      <c r="J184">
        <v>3</v>
      </c>
      <c r="K184">
        <v>1</v>
      </c>
      <c r="L184">
        <v>5</v>
      </c>
      <c r="M184">
        <v>0</v>
      </c>
    </row>
    <row r="185" spans="1:13" x14ac:dyDescent="0.3">
      <c r="A185">
        <v>15</v>
      </c>
      <c r="B185" t="s">
        <v>16</v>
      </c>
      <c r="C185">
        <v>7.2</v>
      </c>
      <c r="D185" t="s">
        <v>17</v>
      </c>
      <c r="E185">
        <v>8</v>
      </c>
      <c r="F185">
        <v>1.4</v>
      </c>
      <c r="G185">
        <v>3.64</v>
      </c>
      <c r="H185">
        <v>0.4</v>
      </c>
      <c r="I185" t="s">
        <v>19</v>
      </c>
      <c r="J185">
        <v>10</v>
      </c>
      <c r="K185">
        <v>5</v>
      </c>
      <c r="L185">
        <v>7</v>
      </c>
      <c r="M185">
        <v>0</v>
      </c>
    </row>
    <row r="186" spans="1:13" x14ac:dyDescent="0.3">
      <c r="A186">
        <v>17</v>
      </c>
      <c r="B186" t="s">
        <v>16</v>
      </c>
      <c r="C186">
        <v>1.4</v>
      </c>
      <c r="D186" t="s">
        <v>14</v>
      </c>
      <c r="E186">
        <v>6.9</v>
      </c>
      <c r="F186">
        <v>2.4</v>
      </c>
      <c r="G186">
        <v>3.06</v>
      </c>
      <c r="H186">
        <v>1.9</v>
      </c>
      <c r="I186" t="s">
        <v>19</v>
      </c>
      <c r="J186">
        <v>4</v>
      </c>
      <c r="K186">
        <v>10</v>
      </c>
      <c r="L186">
        <v>8</v>
      </c>
      <c r="M186">
        <v>0</v>
      </c>
    </row>
    <row r="187" spans="1:13" x14ac:dyDescent="0.3">
      <c r="A187">
        <v>17</v>
      </c>
      <c r="B187" t="s">
        <v>16</v>
      </c>
      <c r="C187">
        <v>6.6</v>
      </c>
      <c r="D187" t="s">
        <v>14</v>
      </c>
      <c r="E187">
        <v>8</v>
      </c>
      <c r="F187">
        <v>2.2000000000000002</v>
      </c>
      <c r="G187">
        <v>2.21</v>
      </c>
      <c r="H187">
        <v>1</v>
      </c>
      <c r="I187" t="s">
        <v>18</v>
      </c>
      <c r="J187">
        <v>10</v>
      </c>
      <c r="K187">
        <v>8</v>
      </c>
      <c r="L187">
        <v>10</v>
      </c>
      <c r="M187">
        <v>0</v>
      </c>
    </row>
    <row r="188" spans="1:13" x14ac:dyDescent="0.3">
      <c r="A188">
        <v>15</v>
      </c>
      <c r="B188" t="s">
        <v>16</v>
      </c>
      <c r="C188">
        <v>3.5</v>
      </c>
      <c r="D188" t="s">
        <v>14</v>
      </c>
      <c r="E188">
        <v>6.3</v>
      </c>
      <c r="F188">
        <v>0.8</v>
      </c>
      <c r="G188">
        <v>2.71</v>
      </c>
      <c r="H188">
        <v>1.8</v>
      </c>
      <c r="I188" t="s">
        <v>18</v>
      </c>
      <c r="J188">
        <v>7</v>
      </c>
      <c r="K188">
        <v>4</v>
      </c>
      <c r="L188">
        <v>2</v>
      </c>
      <c r="M188">
        <v>0</v>
      </c>
    </row>
    <row r="189" spans="1:13" x14ac:dyDescent="0.3">
      <c r="A189">
        <v>17</v>
      </c>
      <c r="B189" t="s">
        <v>16</v>
      </c>
      <c r="C189">
        <v>5.4</v>
      </c>
      <c r="D189" t="s">
        <v>20</v>
      </c>
      <c r="E189">
        <v>6.3</v>
      </c>
      <c r="F189">
        <v>2.8</v>
      </c>
      <c r="G189">
        <v>3.06</v>
      </c>
      <c r="H189">
        <v>0.8</v>
      </c>
      <c r="I189" t="s">
        <v>15</v>
      </c>
      <c r="J189">
        <v>3</v>
      </c>
      <c r="K189">
        <v>7</v>
      </c>
      <c r="L189">
        <v>9</v>
      </c>
      <c r="M189">
        <v>0</v>
      </c>
    </row>
    <row r="190" spans="1:13" x14ac:dyDescent="0.3">
      <c r="A190">
        <v>16</v>
      </c>
      <c r="B190" t="s">
        <v>16</v>
      </c>
      <c r="C190">
        <v>4.2</v>
      </c>
      <c r="D190" t="s">
        <v>20</v>
      </c>
      <c r="E190">
        <v>7.3</v>
      </c>
      <c r="F190">
        <v>1.1000000000000001</v>
      </c>
      <c r="G190">
        <v>3.1</v>
      </c>
      <c r="H190">
        <v>1.6</v>
      </c>
      <c r="I190" t="s">
        <v>19</v>
      </c>
      <c r="J190">
        <v>1</v>
      </c>
      <c r="K190">
        <v>6</v>
      </c>
      <c r="L190">
        <v>2</v>
      </c>
      <c r="M190">
        <v>0</v>
      </c>
    </row>
    <row r="191" spans="1:13" x14ac:dyDescent="0.3">
      <c r="A191">
        <v>13</v>
      </c>
      <c r="B191" t="s">
        <v>13</v>
      </c>
      <c r="C191">
        <v>2.5</v>
      </c>
      <c r="D191" t="s">
        <v>14</v>
      </c>
      <c r="E191">
        <v>8.3000000000000007</v>
      </c>
      <c r="F191">
        <v>1.6</v>
      </c>
      <c r="G191">
        <v>2.91</v>
      </c>
      <c r="H191">
        <v>0.6</v>
      </c>
      <c r="I191" t="s">
        <v>18</v>
      </c>
      <c r="J191">
        <v>10</v>
      </c>
      <c r="K191">
        <v>2</v>
      </c>
      <c r="L191">
        <v>6</v>
      </c>
      <c r="M191">
        <v>0</v>
      </c>
    </row>
    <row r="192" spans="1:13" x14ac:dyDescent="0.3">
      <c r="A192">
        <v>16</v>
      </c>
      <c r="B192" t="s">
        <v>16</v>
      </c>
      <c r="C192">
        <v>3.8</v>
      </c>
      <c r="D192" t="s">
        <v>17</v>
      </c>
      <c r="E192">
        <v>6</v>
      </c>
      <c r="F192">
        <v>3</v>
      </c>
      <c r="G192">
        <v>2.1</v>
      </c>
      <c r="H192">
        <v>0.2</v>
      </c>
      <c r="I192" t="s">
        <v>15</v>
      </c>
      <c r="J192">
        <v>7</v>
      </c>
      <c r="K192">
        <v>9</v>
      </c>
      <c r="L192">
        <v>1</v>
      </c>
      <c r="M192">
        <v>0</v>
      </c>
    </row>
    <row r="193" spans="1:13" x14ac:dyDescent="0.3">
      <c r="A193">
        <v>13</v>
      </c>
      <c r="B193" t="s">
        <v>13</v>
      </c>
      <c r="C193">
        <v>1.8</v>
      </c>
      <c r="D193" t="s">
        <v>14</v>
      </c>
      <c r="E193">
        <v>8.9</v>
      </c>
      <c r="F193">
        <v>1.2</v>
      </c>
      <c r="G193">
        <v>3.67</v>
      </c>
      <c r="H193">
        <v>0.1</v>
      </c>
      <c r="I193" t="s">
        <v>19</v>
      </c>
      <c r="J193">
        <v>2</v>
      </c>
      <c r="K193">
        <v>8</v>
      </c>
      <c r="L193">
        <v>9</v>
      </c>
      <c r="M193">
        <v>0</v>
      </c>
    </row>
    <row r="194" spans="1:13" x14ac:dyDescent="0.3">
      <c r="A194">
        <v>14</v>
      </c>
      <c r="B194" t="s">
        <v>13</v>
      </c>
      <c r="C194">
        <v>5.4</v>
      </c>
      <c r="D194" t="s">
        <v>14</v>
      </c>
      <c r="E194">
        <v>5.6</v>
      </c>
      <c r="F194">
        <v>1.8</v>
      </c>
      <c r="G194">
        <v>3.01</v>
      </c>
      <c r="H194">
        <v>0.9</v>
      </c>
      <c r="I194" t="s">
        <v>15</v>
      </c>
      <c r="J194">
        <v>10</v>
      </c>
      <c r="K194">
        <v>6</v>
      </c>
      <c r="L194">
        <v>8</v>
      </c>
      <c r="M194">
        <v>0</v>
      </c>
    </row>
    <row r="195" spans="1:13" x14ac:dyDescent="0.3">
      <c r="A195">
        <v>14</v>
      </c>
      <c r="B195" t="s">
        <v>16</v>
      </c>
      <c r="C195">
        <v>7.7</v>
      </c>
      <c r="D195" t="s">
        <v>14</v>
      </c>
      <c r="E195">
        <v>6.1</v>
      </c>
      <c r="F195">
        <v>0.8</v>
      </c>
      <c r="G195">
        <v>3.47</v>
      </c>
      <c r="H195">
        <v>1.5</v>
      </c>
      <c r="I195" t="s">
        <v>19</v>
      </c>
      <c r="J195">
        <v>9</v>
      </c>
      <c r="K195">
        <v>10</v>
      </c>
      <c r="L195">
        <v>9</v>
      </c>
      <c r="M195">
        <v>0</v>
      </c>
    </row>
    <row r="196" spans="1:13" x14ac:dyDescent="0.3">
      <c r="A196">
        <v>18</v>
      </c>
      <c r="B196" t="s">
        <v>16</v>
      </c>
      <c r="C196">
        <v>4.0999999999999996</v>
      </c>
      <c r="D196" t="s">
        <v>14</v>
      </c>
      <c r="E196">
        <v>8</v>
      </c>
      <c r="F196">
        <v>1.7</v>
      </c>
      <c r="G196">
        <v>2.29</v>
      </c>
      <c r="H196">
        <v>1.4</v>
      </c>
      <c r="I196" t="s">
        <v>15</v>
      </c>
      <c r="J196">
        <v>2</v>
      </c>
      <c r="K196">
        <v>1</v>
      </c>
      <c r="L196">
        <v>10</v>
      </c>
      <c r="M196">
        <v>0</v>
      </c>
    </row>
    <row r="197" spans="1:13" x14ac:dyDescent="0.3">
      <c r="A197">
        <v>15</v>
      </c>
      <c r="B197" t="s">
        <v>16</v>
      </c>
      <c r="C197">
        <v>6.6</v>
      </c>
      <c r="D197" t="s">
        <v>20</v>
      </c>
      <c r="E197">
        <v>4.9000000000000004</v>
      </c>
      <c r="F197">
        <v>3</v>
      </c>
      <c r="G197">
        <v>2.99</v>
      </c>
      <c r="H197">
        <v>0.9</v>
      </c>
      <c r="I197" t="s">
        <v>19</v>
      </c>
      <c r="J197">
        <v>4</v>
      </c>
      <c r="K197">
        <v>8</v>
      </c>
      <c r="L197">
        <v>3</v>
      </c>
      <c r="M197">
        <v>0</v>
      </c>
    </row>
    <row r="198" spans="1:13" x14ac:dyDescent="0.3">
      <c r="A198">
        <v>16</v>
      </c>
      <c r="B198" t="s">
        <v>13</v>
      </c>
      <c r="C198">
        <v>2.2999999999999998</v>
      </c>
      <c r="D198" t="s">
        <v>20</v>
      </c>
      <c r="E198">
        <v>4.0999999999999996</v>
      </c>
      <c r="F198">
        <v>0.8</v>
      </c>
      <c r="G198">
        <v>3.18</v>
      </c>
      <c r="H198">
        <v>1.7</v>
      </c>
      <c r="I198" t="s">
        <v>19</v>
      </c>
      <c r="J198">
        <v>5</v>
      </c>
      <c r="K198">
        <v>3</v>
      </c>
      <c r="L198">
        <v>8</v>
      </c>
      <c r="M198">
        <v>0</v>
      </c>
    </row>
    <row r="199" spans="1:13" x14ac:dyDescent="0.3">
      <c r="A199">
        <v>17</v>
      </c>
      <c r="B199" t="s">
        <v>16</v>
      </c>
      <c r="C199">
        <v>7.5</v>
      </c>
      <c r="D199" t="s">
        <v>14</v>
      </c>
      <c r="E199">
        <v>5.9</v>
      </c>
      <c r="F199">
        <v>2.9</v>
      </c>
      <c r="G199">
        <v>3.71</v>
      </c>
      <c r="H199">
        <v>1.7</v>
      </c>
      <c r="I199" t="s">
        <v>15</v>
      </c>
      <c r="J199">
        <v>3</v>
      </c>
      <c r="K199">
        <v>1</v>
      </c>
      <c r="L199">
        <v>10</v>
      </c>
      <c r="M199">
        <v>0</v>
      </c>
    </row>
    <row r="200" spans="1:13" x14ac:dyDescent="0.3">
      <c r="A200">
        <v>18</v>
      </c>
      <c r="B200" t="s">
        <v>13</v>
      </c>
      <c r="C200">
        <v>7.1</v>
      </c>
      <c r="D200" t="s">
        <v>14</v>
      </c>
      <c r="E200">
        <v>8</v>
      </c>
      <c r="F200">
        <v>2.9</v>
      </c>
      <c r="G200">
        <v>2.59</v>
      </c>
      <c r="H200">
        <v>1.2</v>
      </c>
      <c r="I200" t="s">
        <v>18</v>
      </c>
      <c r="J200">
        <v>10</v>
      </c>
      <c r="K200">
        <v>8</v>
      </c>
      <c r="L200">
        <v>5</v>
      </c>
      <c r="M200">
        <v>0</v>
      </c>
    </row>
    <row r="201" spans="1:13" x14ac:dyDescent="0.3">
      <c r="A201">
        <v>17</v>
      </c>
      <c r="B201" t="s">
        <v>16</v>
      </c>
      <c r="C201">
        <v>1.7</v>
      </c>
      <c r="D201" t="s">
        <v>20</v>
      </c>
      <c r="E201">
        <v>6.3</v>
      </c>
      <c r="F201">
        <v>1.5</v>
      </c>
      <c r="G201">
        <v>2.66</v>
      </c>
      <c r="H201">
        <v>1.8</v>
      </c>
      <c r="I201" t="s">
        <v>15</v>
      </c>
      <c r="J201">
        <v>1</v>
      </c>
      <c r="K201">
        <v>4</v>
      </c>
      <c r="L201">
        <v>10</v>
      </c>
      <c r="M201">
        <v>0</v>
      </c>
    </row>
    <row r="202" spans="1:13" x14ac:dyDescent="0.3">
      <c r="A202">
        <v>13</v>
      </c>
      <c r="B202" t="s">
        <v>13</v>
      </c>
      <c r="C202">
        <v>7.9</v>
      </c>
      <c r="D202" t="s">
        <v>14</v>
      </c>
      <c r="E202">
        <v>5.8</v>
      </c>
      <c r="F202">
        <v>0.8</v>
      </c>
      <c r="G202">
        <v>3.31</v>
      </c>
      <c r="H202">
        <v>1.6</v>
      </c>
      <c r="I202" t="s">
        <v>19</v>
      </c>
      <c r="J202">
        <v>3</v>
      </c>
      <c r="K202">
        <v>7</v>
      </c>
      <c r="L202">
        <v>2</v>
      </c>
      <c r="M202">
        <v>0</v>
      </c>
    </row>
    <row r="203" spans="1:13" x14ac:dyDescent="0.3">
      <c r="A203">
        <v>16</v>
      </c>
      <c r="B203" t="s">
        <v>16</v>
      </c>
      <c r="C203">
        <v>4</v>
      </c>
      <c r="D203" t="s">
        <v>14</v>
      </c>
      <c r="E203">
        <v>7.9</v>
      </c>
      <c r="F203">
        <v>1.9</v>
      </c>
      <c r="G203">
        <v>2.56</v>
      </c>
      <c r="H203">
        <v>0.1</v>
      </c>
      <c r="I203" t="s">
        <v>18</v>
      </c>
      <c r="J203">
        <v>4</v>
      </c>
      <c r="K203">
        <v>9</v>
      </c>
      <c r="L203">
        <v>9</v>
      </c>
      <c r="M203">
        <v>0</v>
      </c>
    </row>
    <row r="204" spans="1:13" x14ac:dyDescent="0.3">
      <c r="A204">
        <v>15</v>
      </c>
      <c r="B204" t="s">
        <v>16</v>
      </c>
      <c r="C204">
        <v>1.2</v>
      </c>
      <c r="D204" t="s">
        <v>17</v>
      </c>
      <c r="E204">
        <v>8.1</v>
      </c>
      <c r="F204">
        <v>2</v>
      </c>
      <c r="G204">
        <v>3.33</v>
      </c>
      <c r="H204">
        <v>1.5</v>
      </c>
      <c r="I204" t="s">
        <v>19</v>
      </c>
      <c r="J204">
        <v>7</v>
      </c>
      <c r="K204">
        <v>3</v>
      </c>
      <c r="L204">
        <v>8</v>
      </c>
      <c r="M204">
        <v>0</v>
      </c>
    </row>
    <row r="205" spans="1:13" x14ac:dyDescent="0.3">
      <c r="A205">
        <v>19</v>
      </c>
      <c r="B205" t="s">
        <v>13</v>
      </c>
      <c r="C205">
        <v>3.5</v>
      </c>
      <c r="D205" t="s">
        <v>17</v>
      </c>
      <c r="E205">
        <v>8.4</v>
      </c>
      <c r="F205">
        <v>1.7</v>
      </c>
      <c r="G205">
        <v>2.46</v>
      </c>
      <c r="H205">
        <v>0.1</v>
      </c>
      <c r="I205" t="s">
        <v>18</v>
      </c>
      <c r="J205">
        <v>6</v>
      </c>
      <c r="K205">
        <v>9</v>
      </c>
      <c r="L205">
        <v>3</v>
      </c>
      <c r="M205">
        <v>0</v>
      </c>
    </row>
    <row r="206" spans="1:13" x14ac:dyDescent="0.3">
      <c r="A206">
        <v>17</v>
      </c>
      <c r="B206" t="s">
        <v>13</v>
      </c>
      <c r="C206">
        <v>1.1000000000000001</v>
      </c>
      <c r="D206" t="s">
        <v>14</v>
      </c>
      <c r="E206">
        <v>6.8</v>
      </c>
      <c r="F206">
        <v>2</v>
      </c>
      <c r="G206">
        <v>3.45</v>
      </c>
      <c r="H206">
        <v>1.3</v>
      </c>
      <c r="I206" t="s">
        <v>19</v>
      </c>
      <c r="J206">
        <v>7</v>
      </c>
      <c r="K206">
        <v>1</v>
      </c>
      <c r="L206">
        <v>2</v>
      </c>
      <c r="M206">
        <v>0</v>
      </c>
    </row>
    <row r="207" spans="1:13" x14ac:dyDescent="0.3">
      <c r="A207">
        <v>19</v>
      </c>
      <c r="B207" t="s">
        <v>16</v>
      </c>
      <c r="C207">
        <v>1.6</v>
      </c>
      <c r="D207" t="s">
        <v>17</v>
      </c>
      <c r="E207">
        <v>4.0999999999999996</v>
      </c>
      <c r="F207">
        <v>1.6</v>
      </c>
      <c r="G207">
        <v>3.15</v>
      </c>
      <c r="H207">
        <v>0.9</v>
      </c>
      <c r="I207" t="s">
        <v>19</v>
      </c>
      <c r="J207">
        <v>2</v>
      </c>
      <c r="K207">
        <v>6</v>
      </c>
      <c r="L207">
        <v>4</v>
      </c>
      <c r="M207">
        <v>0</v>
      </c>
    </row>
    <row r="208" spans="1:13" x14ac:dyDescent="0.3">
      <c r="A208">
        <v>16</v>
      </c>
      <c r="B208" t="s">
        <v>16</v>
      </c>
      <c r="C208">
        <v>2.5</v>
      </c>
      <c r="D208" t="s">
        <v>17</v>
      </c>
      <c r="E208">
        <v>8.9</v>
      </c>
      <c r="F208">
        <v>2.9</v>
      </c>
      <c r="G208">
        <v>2.5299999999999998</v>
      </c>
      <c r="H208">
        <v>0.1</v>
      </c>
      <c r="I208" t="s">
        <v>18</v>
      </c>
      <c r="J208">
        <v>8</v>
      </c>
      <c r="K208">
        <v>7</v>
      </c>
      <c r="L208">
        <v>3</v>
      </c>
      <c r="M208">
        <v>0</v>
      </c>
    </row>
    <row r="209" spans="1:13" x14ac:dyDescent="0.3">
      <c r="A209">
        <v>15</v>
      </c>
      <c r="B209" t="s">
        <v>13</v>
      </c>
      <c r="C209">
        <v>2.8</v>
      </c>
      <c r="D209" t="s">
        <v>14</v>
      </c>
      <c r="E209">
        <v>7.2</v>
      </c>
      <c r="F209">
        <v>1.8</v>
      </c>
      <c r="G209">
        <v>2.91</v>
      </c>
      <c r="H209">
        <v>0.2</v>
      </c>
      <c r="I209" t="s">
        <v>15</v>
      </c>
      <c r="J209">
        <v>5</v>
      </c>
      <c r="K209">
        <v>5</v>
      </c>
      <c r="L209">
        <v>4</v>
      </c>
      <c r="M209">
        <v>0</v>
      </c>
    </row>
    <row r="210" spans="1:13" x14ac:dyDescent="0.3">
      <c r="A210">
        <v>15</v>
      </c>
      <c r="B210" t="s">
        <v>13</v>
      </c>
      <c r="C210">
        <v>2.2000000000000002</v>
      </c>
      <c r="D210" t="s">
        <v>14</v>
      </c>
      <c r="E210">
        <v>5.2</v>
      </c>
      <c r="F210">
        <v>1.4</v>
      </c>
      <c r="G210">
        <v>2.62</v>
      </c>
      <c r="H210">
        <v>1.5</v>
      </c>
      <c r="I210" t="s">
        <v>19</v>
      </c>
      <c r="J210">
        <v>10</v>
      </c>
      <c r="K210">
        <v>7</v>
      </c>
      <c r="L210">
        <v>5</v>
      </c>
      <c r="M210">
        <v>0</v>
      </c>
    </row>
    <row r="211" spans="1:13" x14ac:dyDescent="0.3">
      <c r="A211">
        <v>16</v>
      </c>
      <c r="B211" t="s">
        <v>13</v>
      </c>
      <c r="C211">
        <v>4.8</v>
      </c>
      <c r="D211" t="s">
        <v>20</v>
      </c>
      <c r="E211">
        <v>6.8</v>
      </c>
      <c r="F211">
        <v>1</v>
      </c>
      <c r="G211">
        <v>2.6</v>
      </c>
      <c r="H211">
        <v>1.1000000000000001</v>
      </c>
      <c r="I211" t="s">
        <v>19</v>
      </c>
      <c r="J211">
        <v>1</v>
      </c>
      <c r="K211">
        <v>5</v>
      </c>
      <c r="L211">
        <v>6</v>
      </c>
      <c r="M211">
        <v>0</v>
      </c>
    </row>
    <row r="212" spans="1:13" x14ac:dyDescent="0.3">
      <c r="A212">
        <v>18</v>
      </c>
      <c r="B212" t="s">
        <v>16</v>
      </c>
      <c r="C212">
        <v>3.7</v>
      </c>
      <c r="D212" t="s">
        <v>20</v>
      </c>
      <c r="E212">
        <v>7.9</v>
      </c>
      <c r="F212">
        <v>2.7</v>
      </c>
      <c r="G212">
        <v>3.11</v>
      </c>
      <c r="H212">
        <v>0.3</v>
      </c>
      <c r="I212" t="s">
        <v>19</v>
      </c>
      <c r="J212">
        <v>6</v>
      </c>
      <c r="K212">
        <v>6</v>
      </c>
      <c r="L212">
        <v>5</v>
      </c>
      <c r="M212">
        <v>0</v>
      </c>
    </row>
    <row r="213" spans="1:13" x14ac:dyDescent="0.3">
      <c r="A213">
        <v>16</v>
      </c>
      <c r="B213" t="s">
        <v>13</v>
      </c>
      <c r="C213">
        <v>5.5</v>
      </c>
      <c r="D213" t="s">
        <v>14</v>
      </c>
      <c r="E213">
        <v>8.3000000000000007</v>
      </c>
      <c r="F213">
        <v>2.2999999999999998</v>
      </c>
      <c r="G213">
        <v>3.47</v>
      </c>
      <c r="H213">
        <v>1.6</v>
      </c>
      <c r="I213" t="s">
        <v>19</v>
      </c>
      <c r="J213">
        <v>4</v>
      </c>
      <c r="K213">
        <v>8</v>
      </c>
      <c r="L213">
        <v>5</v>
      </c>
      <c r="M213">
        <v>0</v>
      </c>
    </row>
    <row r="214" spans="1:13" x14ac:dyDescent="0.3">
      <c r="A214">
        <v>16</v>
      </c>
      <c r="B214" t="s">
        <v>13</v>
      </c>
      <c r="C214">
        <v>2.5</v>
      </c>
      <c r="D214" t="s">
        <v>14</v>
      </c>
      <c r="E214">
        <v>6.8</v>
      </c>
      <c r="F214">
        <v>1</v>
      </c>
      <c r="G214">
        <v>3.77</v>
      </c>
      <c r="H214">
        <v>1</v>
      </c>
      <c r="I214" t="s">
        <v>18</v>
      </c>
      <c r="J214">
        <v>3</v>
      </c>
      <c r="K214">
        <v>9</v>
      </c>
      <c r="L214">
        <v>9</v>
      </c>
      <c r="M214">
        <v>0</v>
      </c>
    </row>
    <row r="215" spans="1:13" x14ac:dyDescent="0.3">
      <c r="A215">
        <v>18</v>
      </c>
      <c r="B215" t="s">
        <v>16</v>
      </c>
      <c r="C215">
        <v>1.9</v>
      </c>
      <c r="D215" t="s">
        <v>17</v>
      </c>
      <c r="E215">
        <v>5.8</v>
      </c>
      <c r="F215">
        <v>1.7</v>
      </c>
      <c r="G215">
        <v>3.52</v>
      </c>
      <c r="H215">
        <v>0.2</v>
      </c>
      <c r="I215" t="s">
        <v>15</v>
      </c>
      <c r="J215">
        <v>6</v>
      </c>
      <c r="K215">
        <v>5</v>
      </c>
      <c r="L215">
        <v>1</v>
      </c>
      <c r="M215">
        <v>0</v>
      </c>
    </row>
    <row r="216" spans="1:13" x14ac:dyDescent="0.3">
      <c r="A216">
        <v>13</v>
      </c>
      <c r="B216" t="s">
        <v>13</v>
      </c>
      <c r="C216">
        <v>5.9</v>
      </c>
      <c r="D216" t="s">
        <v>14</v>
      </c>
      <c r="E216">
        <v>7.5</v>
      </c>
      <c r="F216">
        <v>1.4</v>
      </c>
      <c r="G216">
        <v>2.58</v>
      </c>
      <c r="H216">
        <v>1.2</v>
      </c>
      <c r="I216" t="s">
        <v>15</v>
      </c>
      <c r="J216">
        <v>6</v>
      </c>
      <c r="K216">
        <v>2</v>
      </c>
      <c r="L216">
        <v>8</v>
      </c>
      <c r="M216">
        <v>0</v>
      </c>
    </row>
    <row r="217" spans="1:13" x14ac:dyDescent="0.3">
      <c r="A217">
        <v>13</v>
      </c>
      <c r="B217" t="s">
        <v>16</v>
      </c>
      <c r="C217">
        <v>6.5</v>
      </c>
      <c r="D217" t="s">
        <v>17</v>
      </c>
      <c r="E217">
        <v>8.3000000000000007</v>
      </c>
      <c r="F217">
        <v>0.6</v>
      </c>
      <c r="G217">
        <v>3.05</v>
      </c>
      <c r="H217">
        <v>0.3</v>
      </c>
      <c r="I217" t="s">
        <v>18</v>
      </c>
      <c r="J217">
        <v>2</v>
      </c>
      <c r="K217">
        <v>7</v>
      </c>
      <c r="L217">
        <v>8</v>
      </c>
      <c r="M217">
        <v>0</v>
      </c>
    </row>
    <row r="218" spans="1:13" x14ac:dyDescent="0.3">
      <c r="A218">
        <v>15</v>
      </c>
      <c r="B218" t="s">
        <v>13</v>
      </c>
      <c r="C218">
        <v>7.5</v>
      </c>
      <c r="D218" t="s">
        <v>14</v>
      </c>
      <c r="E218">
        <v>8.1</v>
      </c>
      <c r="F218">
        <v>2.5</v>
      </c>
      <c r="G218">
        <v>3.56</v>
      </c>
      <c r="H218">
        <v>1.2</v>
      </c>
      <c r="I218" t="s">
        <v>19</v>
      </c>
      <c r="J218">
        <v>6</v>
      </c>
      <c r="K218">
        <v>8</v>
      </c>
      <c r="L218">
        <v>10</v>
      </c>
      <c r="M218">
        <v>0</v>
      </c>
    </row>
    <row r="219" spans="1:13" x14ac:dyDescent="0.3">
      <c r="A219">
        <v>19</v>
      </c>
      <c r="B219" t="s">
        <v>13</v>
      </c>
      <c r="C219">
        <v>4.9000000000000004</v>
      </c>
      <c r="D219" t="s">
        <v>17</v>
      </c>
      <c r="E219">
        <v>4.5</v>
      </c>
      <c r="F219">
        <v>2.9</v>
      </c>
      <c r="G219">
        <v>3.88</v>
      </c>
      <c r="H219">
        <v>0.8</v>
      </c>
      <c r="I219" t="s">
        <v>15</v>
      </c>
      <c r="J219">
        <v>5</v>
      </c>
      <c r="K219">
        <v>5</v>
      </c>
      <c r="L219">
        <v>6</v>
      </c>
      <c r="M219">
        <v>0</v>
      </c>
    </row>
    <row r="220" spans="1:13" x14ac:dyDescent="0.3">
      <c r="A220">
        <v>13</v>
      </c>
      <c r="B220" t="s">
        <v>13</v>
      </c>
      <c r="C220">
        <v>2.2000000000000002</v>
      </c>
      <c r="D220" t="s">
        <v>17</v>
      </c>
      <c r="E220">
        <v>5.3</v>
      </c>
      <c r="F220">
        <v>1.4</v>
      </c>
      <c r="G220">
        <v>3.97</v>
      </c>
      <c r="H220">
        <v>0</v>
      </c>
      <c r="I220" t="s">
        <v>15</v>
      </c>
      <c r="J220">
        <v>1</v>
      </c>
      <c r="K220">
        <v>10</v>
      </c>
      <c r="L220">
        <v>7</v>
      </c>
      <c r="M220">
        <v>0</v>
      </c>
    </row>
    <row r="221" spans="1:13" x14ac:dyDescent="0.3">
      <c r="A221">
        <v>14</v>
      </c>
      <c r="B221" t="s">
        <v>13</v>
      </c>
      <c r="C221">
        <v>5.8</v>
      </c>
      <c r="D221" t="s">
        <v>20</v>
      </c>
      <c r="E221">
        <v>6.9</v>
      </c>
      <c r="F221">
        <v>0.7</v>
      </c>
      <c r="G221">
        <v>3.01</v>
      </c>
      <c r="H221">
        <v>1.9</v>
      </c>
      <c r="I221" t="s">
        <v>18</v>
      </c>
      <c r="J221">
        <v>9</v>
      </c>
      <c r="K221">
        <v>9</v>
      </c>
      <c r="L221">
        <v>4</v>
      </c>
      <c r="M221">
        <v>0</v>
      </c>
    </row>
    <row r="222" spans="1:13" x14ac:dyDescent="0.3">
      <c r="A222">
        <v>14</v>
      </c>
      <c r="B222" t="s">
        <v>13</v>
      </c>
      <c r="C222">
        <v>1.3</v>
      </c>
      <c r="D222" t="s">
        <v>14</v>
      </c>
      <c r="E222">
        <v>8.5</v>
      </c>
      <c r="F222">
        <v>0.9</v>
      </c>
      <c r="G222">
        <v>3.71</v>
      </c>
      <c r="H222">
        <v>0.7</v>
      </c>
      <c r="I222" t="s">
        <v>18</v>
      </c>
      <c r="J222">
        <v>3</v>
      </c>
      <c r="K222">
        <v>3</v>
      </c>
      <c r="L222">
        <v>6</v>
      </c>
      <c r="M222">
        <v>0</v>
      </c>
    </row>
    <row r="223" spans="1:13" x14ac:dyDescent="0.3">
      <c r="A223">
        <v>19</v>
      </c>
      <c r="B223" t="s">
        <v>16</v>
      </c>
      <c r="C223">
        <v>2.8</v>
      </c>
      <c r="D223" t="s">
        <v>17</v>
      </c>
      <c r="E223">
        <v>4.8</v>
      </c>
      <c r="F223">
        <v>1.7</v>
      </c>
      <c r="G223">
        <v>2.8</v>
      </c>
      <c r="H223">
        <v>0.6</v>
      </c>
      <c r="I223" t="s">
        <v>15</v>
      </c>
      <c r="J223">
        <v>5</v>
      </c>
      <c r="K223">
        <v>7</v>
      </c>
      <c r="L223">
        <v>4</v>
      </c>
      <c r="M223">
        <v>0</v>
      </c>
    </row>
    <row r="224" spans="1:13" x14ac:dyDescent="0.3">
      <c r="A224">
        <v>19</v>
      </c>
      <c r="B224" t="s">
        <v>16</v>
      </c>
      <c r="C224">
        <v>4</v>
      </c>
      <c r="D224" t="s">
        <v>17</v>
      </c>
      <c r="E224">
        <v>6.5</v>
      </c>
      <c r="F224">
        <v>2.4</v>
      </c>
      <c r="G224">
        <v>3.67</v>
      </c>
      <c r="H224">
        <v>0.6</v>
      </c>
      <c r="I224" t="s">
        <v>15</v>
      </c>
      <c r="J224">
        <v>4</v>
      </c>
      <c r="K224">
        <v>6</v>
      </c>
      <c r="L224">
        <v>4</v>
      </c>
      <c r="M224">
        <v>0</v>
      </c>
    </row>
    <row r="225" spans="1:13" x14ac:dyDescent="0.3">
      <c r="A225">
        <v>14</v>
      </c>
      <c r="B225" t="s">
        <v>16</v>
      </c>
      <c r="C225">
        <v>1.7</v>
      </c>
      <c r="D225" t="s">
        <v>17</v>
      </c>
      <c r="E225">
        <v>4.9000000000000004</v>
      </c>
      <c r="F225">
        <v>1.6</v>
      </c>
      <c r="G225">
        <v>2.36</v>
      </c>
      <c r="H225">
        <v>1.7</v>
      </c>
      <c r="I225" t="s">
        <v>18</v>
      </c>
      <c r="J225">
        <v>3</v>
      </c>
      <c r="K225">
        <v>1</v>
      </c>
      <c r="L225">
        <v>6</v>
      </c>
      <c r="M225">
        <v>0</v>
      </c>
    </row>
    <row r="226" spans="1:13" x14ac:dyDescent="0.3">
      <c r="A226">
        <v>18</v>
      </c>
      <c r="B226" t="s">
        <v>16</v>
      </c>
      <c r="C226">
        <v>1.4</v>
      </c>
      <c r="D226" t="s">
        <v>17</v>
      </c>
      <c r="E226">
        <v>6.1</v>
      </c>
      <c r="F226">
        <v>1.6</v>
      </c>
      <c r="G226">
        <v>2.56</v>
      </c>
      <c r="H226">
        <v>1.2</v>
      </c>
      <c r="I226" t="s">
        <v>18</v>
      </c>
      <c r="J226">
        <v>2</v>
      </c>
      <c r="K226">
        <v>7</v>
      </c>
      <c r="L226">
        <v>8</v>
      </c>
      <c r="M226">
        <v>0</v>
      </c>
    </row>
    <row r="227" spans="1:13" x14ac:dyDescent="0.3">
      <c r="A227">
        <v>19</v>
      </c>
      <c r="B227" t="s">
        <v>13</v>
      </c>
      <c r="C227">
        <v>2.2999999999999998</v>
      </c>
      <c r="D227" t="s">
        <v>17</v>
      </c>
      <c r="E227">
        <v>6.5</v>
      </c>
      <c r="F227">
        <v>3</v>
      </c>
      <c r="G227">
        <v>3.5</v>
      </c>
      <c r="H227">
        <v>0.1</v>
      </c>
      <c r="I227" t="s">
        <v>18</v>
      </c>
      <c r="J227">
        <v>9</v>
      </c>
      <c r="K227">
        <v>10</v>
      </c>
      <c r="L227">
        <v>8</v>
      </c>
      <c r="M227">
        <v>0</v>
      </c>
    </row>
    <row r="228" spans="1:13" x14ac:dyDescent="0.3">
      <c r="A228">
        <v>14</v>
      </c>
      <c r="B228" t="s">
        <v>13</v>
      </c>
      <c r="C228">
        <v>3.8</v>
      </c>
      <c r="D228" t="s">
        <v>14</v>
      </c>
      <c r="E228">
        <v>5.3</v>
      </c>
      <c r="F228">
        <v>1</v>
      </c>
      <c r="G228">
        <v>2.2799999999999998</v>
      </c>
      <c r="H228">
        <v>1.2</v>
      </c>
      <c r="I228" t="s">
        <v>15</v>
      </c>
      <c r="J228">
        <v>9</v>
      </c>
      <c r="K228">
        <v>3</v>
      </c>
      <c r="L228">
        <v>1</v>
      </c>
      <c r="M228">
        <v>0</v>
      </c>
    </row>
    <row r="229" spans="1:13" x14ac:dyDescent="0.3">
      <c r="A229">
        <v>13</v>
      </c>
      <c r="B229" t="s">
        <v>13</v>
      </c>
      <c r="C229">
        <v>6.4</v>
      </c>
      <c r="D229" t="s">
        <v>17</v>
      </c>
      <c r="E229">
        <v>5.0999999999999996</v>
      </c>
      <c r="F229">
        <v>2.5</v>
      </c>
      <c r="G229">
        <v>2.62</v>
      </c>
      <c r="H229">
        <v>1.3</v>
      </c>
      <c r="I229" t="s">
        <v>15</v>
      </c>
      <c r="J229">
        <v>5</v>
      </c>
      <c r="K229">
        <v>4</v>
      </c>
      <c r="L229">
        <v>7</v>
      </c>
      <c r="M229">
        <v>0</v>
      </c>
    </row>
    <row r="230" spans="1:13" x14ac:dyDescent="0.3">
      <c r="A230">
        <v>19</v>
      </c>
      <c r="B230" t="s">
        <v>13</v>
      </c>
      <c r="C230">
        <v>6</v>
      </c>
      <c r="D230" t="s">
        <v>20</v>
      </c>
      <c r="E230">
        <v>7.1</v>
      </c>
      <c r="F230">
        <v>0.9</v>
      </c>
      <c r="G230">
        <v>2.98</v>
      </c>
      <c r="H230">
        <v>0.1</v>
      </c>
      <c r="I230" t="s">
        <v>15</v>
      </c>
      <c r="J230">
        <v>1</v>
      </c>
      <c r="K230">
        <v>6</v>
      </c>
      <c r="L230">
        <v>5</v>
      </c>
      <c r="M230">
        <v>0</v>
      </c>
    </row>
    <row r="231" spans="1:13" x14ac:dyDescent="0.3">
      <c r="A231">
        <v>16</v>
      </c>
      <c r="B231" t="s">
        <v>13</v>
      </c>
      <c r="C231">
        <v>1.9</v>
      </c>
      <c r="D231" t="s">
        <v>14</v>
      </c>
      <c r="E231">
        <v>7.8</v>
      </c>
      <c r="F231">
        <v>2.1</v>
      </c>
      <c r="G231">
        <v>2.2599999999999998</v>
      </c>
      <c r="H231">
        <v>0.3</v>
      </c>
      <c r="I231" t="s">
        <v>18</v>
      </c>
      <c r="J231">
        <v>7</v>
      </c>
      <c r="K231">
        <v>7</v>
      </c>
      <c r="L231">
        <v>5</v>
      </c>
      <c r="M231">
        <v>0</v>
      </c>
    </row>
    <row r="232" spans="1:13" x14ac:dyDescent="0.3">
      <c r="A232">
        <v>17</v>
      </c>
      <c r="B232" t="s">
        <v>13</v>
      </c>
      <c r="C232">
        <v>2.4</v>
      </c>
      <c r="D232" t="s">
        <v>17</v>
      </c>
      <c r="E232">
        <v>8.5</v>
      </c>
      <c r="F232">
        <v>2.4</v>
      </c>
      <c r="G232">
        <v>2.79</v>
      </c>
      <c r="H232">
        <v>1.1000000000000001</v>
      </c>
      <c r="I232" t="s">
        <v>15</v>
      </c>
      <c r="J232">
        <v>1</v>
      </c>
      <c r="K232">
        <v>6</v>
      </c>
      <c r="L232">
        <v>7</v>
      </c>
      <c r="M232">
        <v>0</v>
      </c>
    </row>
    <row r="233" spans="1:13" x14ac:dyDescent="0.3">
      <c r="A233">
        <v>14</v>
      </c>
      <c r="B233" t="s">
        <v>16</v>
      </c>
      <c r="C233">
        <v>2.7</v>
      </c>
      <c r="D233" t="s">
        <v>14</v>
      </c>
      <c r="E233">
        <v>5.0999999999999996</v>
      </c>
      <c r="F233">
        <v>2.4</v>
      </c>
      <c r="G233">
        <v>2.17</v>
      </c>
      <c r="H233">
        <v>1.8</v>
      </c>
      <c r="I233" t="s">
        <v>18</v>
      </c>
      <c r="J233">
        <v>3</v>
      </c>
      <c r="K233">
        <v>10</v>
      </c>
      <c r="L233">
        <v>8</v>
      </c>
      <c r="M233">
        <v>0</v>
      </c>
    </row>
    <row r="234" spans="1:13" x14ac:dyDescent="0.3">
      <c r="A234">
        <v>14</v>
      </c>
      <c r="B234" t="s">
        <v>13</v>
      </c>
      <c r="C234">
        <v>1.5</v>
      </c>
      <c r="D234" t="s">
        <v>20</v>
      </c>
      <c r="E234">
        <v>7.2</v>
      </c>
      <c r="F234">
        <v>1.7</v>
      </c>
      <c r="G234">
        <v>2.76</v>
      </c>
      <c r="H234">
        <v>0</v>
      </c>
      <c r="I234" t="s">
        <v>15</v>
      </c>
      <c r="J234">
        <v>10</v>
      </c>
      <c r="K234">
        <v>7</v>
      </c>
      <c r="L234">
        <v>10</v>
      </c>
      <c r="M234">
        <v>0</v>
      </c>
    </row>
    <row r="235" spans="1:13" x14ac:dyDescent="0.3">
      <c r="A235">
        <v>18</v>
      </c>
      <c r="B235" t="s">
        <v>13</v>
      </c>
      <c r="C235">
        <v>7.7</v>
      </c>
      <c r="D235" t="s">
        <v>14</v>
      </c>
      <c r="E235">
        <v>7.3</v>
      </c>
      <c r="F235">
        <v>1.8</v>
      </c>
      <c r="G235">
        <v>3.13</v>
      </c>
      <c r="H235">
        <v>2</v>
      </c>
      <c r="I235" t="s">
        <v>19</v>
      </c>
      <c r="J235">
        <v>7</v>
      </c>
      <c r="K235">
        <v>9</v>
      </c>
      <c r="L235">
        <v>7</v>
      </c>
      <c r="M235">
        <v>0</v>
      </c>
    </row>
    <row r="236" spans="1:13" x14ac:dyDescent="0.3">
      <c r="A236">
        <v>13</v>
      </c>
      <c r="B236" t="s">
        <v>13</v>
      </c>
      <c r="C236">
        <v>2.9</v>
      </c>
      <c r="D236" t="s">
        <v>17</v>
      </c>
      <c r="E236">
        <v>5.0999999999999996</v>
      </c>
      <c r="F236">
        <v>2.2000000000000002</v>
      </c>
      <c r="G236">
        <v>3.81</v>
      </c>
      <c r="H236">
        <v>0.7</v>
      </c>
      <c r="I236" t="s">
        <v>15</v>
      </c>
      <c r="J236">
        <v>6</v>
      </c>
      <c r="K236">
        <v>6</v>
      </c>
      <c r="L236">
        <v>10</v>
      </c>
      <c r="M236">
        <v>0</v>
      </c>
    </row>
    <row r="237" spans="1:13" x14ac:dyDescent="0.3">
      <c r="A237">
        <v>16</v>
      </c>
      <c r="B237" t="s">
        <v>13</v>
      </c>
      <c r="C237">
        <v>7.6</v>
      </c>
      <c r="D237" t="s">
        <v>17</v>
      </c>
      <c r="E237">
        <v>4.3</v>
      </c>
      <c r="F237">
        <v>2.7</v>
      </c>
      <c r="G237">
        <v>2.5099999999999998</v>
      </c>
      <c r="H237">
        <v>0.3</v>
      </c>
      <c r="I237" t="s">
        <v>19</v>
      </c>
      <c r="J237">
        <v>3</v>
      </c>
      <c r="K237">
        <v>9</v>
      </c>
      <c r="L237">
        <v>10</v>
      </c>
      <c r="M237">
        <v>0</v>
      </c>
    </row>
    <row r="238" spans="1:13" x14ac:dyDescent="0.3">
      <c r="A238">
        <v>18</v>
      </c>
      <c r="B238" t="s">
        <v>13</v>
      </c>
      <c r="C238">
        <v>5.7</v>
      </c>
      <c r="D238" t="s">
        <v>20</v>
      </c>
      <c r="E238">
        <v>8.4</v>
      </c>
      <c r="F238">
        <v>2.4</v>
      </c>
      <c r="G238">
        <v>2.84</v>
      </c>
      <c r="H238">
        <v>0.7</v>
      </c>
      <c r="I238" t="s">
        <v>15</v>
      </c>
      <c r="J238">
        <v>5</v>
      </c>
      <c r="K238">
        <v>4</v>
      </c>
      <c r="L238">
        <v>9</v>
      </c>
      <c r="M238">
        <v>0</v>
      </c>
    </row>
    <row r="239" spans="1:13" x14ac:dyDescent="0.3">
      <c r="A239">
        <v>19</v>
      </c>
      <c r="B239" t="s">
        <v>13</v>
      </c>
      <c r="C239">
        <v>1.2</v>
      </c>
      <c r="D239" t="s">
        <v>17</v>
      </c>
      <c r="E239">
        <v>5</v>
      </c>
      <c r="F239">
        <v>1.5</v>
      </c>
      <c r="G239">
        <v>2.09</v>
      </c>
      <c r="H239">
        <v>0.6</v>
      </c>
      <c r="I239" t="s">
        <v>19</v>
      </c>
      <c r="J239">
        <v>5</v>
      </c>
      <c r="K239">
        <v>2</v>
      </c>
      <c r="L239">
        <v>1</v>
      </c>
      <c r="M239">
        <v>0</v>
      </c>
    </row>
    <row r="240" spans="1:13" x14ac:dyDescent="0.3">
      <c r="A240">
        <v>16</v>
      </c>
      <c r="B240" t="s">
        <v>16</v>
      </c>
      <c r="C240">
        <v>2.4</v>
      </c>
      <c r="D240" t="s">
        <v>20</v>
      </c>
      <c r="E240">
        <v>6.2</v>
      </c>
      <c r="F240">
        <v>1.6</v>
      </c>
      <c r="G240">
        <v>2.38</v>
      </c>
      <c r="H240">
        <v>0</v>
      </c>
      <c r="I240" t="s">
        <v>19</v>
      </c>
      <c r="J240">
        <v>8</v>
      </c>
      <c r="K240">
        <v>4</v>
      </c>
      <c r="L240">
        <v>10</v>
      </c>
      <c r="M240">
        <v>0</v>
      </c>
    </row>
    <row r="241" spans="1:13" x14ac:dyDescent="0.3">
      <c r="A241">
        <v>17</v>
      </c>
      <c r="B241" t="s">
        <v>16</v>
      </c>
      <c r="C241">
        <v>6.2</v>
      </c>
      <c r="D241" t="s">
        <v>20</v>
      </c>
      <c r="E241">
        <v>5.0999999999999996</v>
      </c>
      <c r="F241">
        <v>2</v>
      </c>
      <c r="G241">
        <v>3.82</v>
      </c>
      <c r="H241">
        <v>1.7</v>
      </c>
      <c r="I241" t="s">
        <v>19</v>
      </c>
      <c r="J241">
        <v>7</v>
      </c>
      <c r="K241">
        <v>3</v>
      </c>
      <c r="L241">
        <v>5</v>
      </c>
      <c r="M241">
        <v>0</v>
      </c>
    </row>
    <row r="242" spans="1:13" x14ac:dyDescent="0.3">
      <c r="A242">
        <v>14</v>
      </c>
      <c r="B242" t="s">
        <v>16</v>
      </c>
      <c r="C242">
        <v>4.7</v>
      </c>
      <c r="D242" t="s">
        <v>14</v>
      </c>
      <c r="E242">
        <v>5.0999999999999996</v>
      </c>
      <c r="F242">
        <v>2.2000000000000002</v>
      </c>
      <c r="G242">
        <v>2.0299999999999998</v>
      </c>
      <c r="H242">
        <v>1.1000000000000001</v>
      </c>
      <c r="I242" t="s">
        <v>19</v>
      </c>
      <c r="J242">
        <v>2</v>
      </c>
      <c r="K242">
        <v>10</v>
      </c>
      <c r="L242">
        <v>7</v>
      </c>
      <c r="M242">
        <v>0</v>
      </c>
    </row>
    <row r="243" spans="1:13" x14ac:dyDescent="0.3">
      <c r="A243">
        <v>19</v>
      </c>
      <c r="B243" t="s">
        <v>13</v>
      </c>
      <c r="C243">
        <v>5.3</v>
      </c>
      <c r="D243" t="s">
        <v>14</v>
      </c>
      <c r="E243">
        <v>6.7</v>
      </c>
      <c r="F243">
        <v>0.7</v>
      </c>
      <c r="G243">
        <v>3.59</v>
      </c>
      <c r="H243">
        <v>1.8</v>
      </c>
      <c r="I243" t="s">
        <v>18</v>
      </c>
      <c r="J243">
        <v>4</v>
      </c>
      <c r="K243">
        <v>8</v>
      </c>
      <c r="L243">
        <v>8</v>
      </c>
      <c r="M243">
        <v>0</v>
      </c>
    </row>
    <row r="244" spans="1:13" x14ac:dyDescent="0.3">
      <c r="A244">
        <v>19</v>
      </c>
      <c r="B244" t="s">
        <v>16</v>
      </c>
      <c r="C244">
        <v>6</v>
      </c>
      <c r="D244" t="s">
        <v>17</v>
      </c>
      <c r="E244">
        <v>6</v>
      </c>
      <c r="F244">
        <v>0.7</v>
      </c>
      <c r="G244">
        <v>3.29</v>
      </c>
      <c r="H244">
        <v>1.4</v>
      </c>
      <c r="I244" t="s">
        <v>15</v>
      </c>
      <c r="J244">
        <v>4</v>
      </c>
      <c r="K244">
        <v>5</v>
      </c>
      <c r="L244">
        <v>1</v>
      </c>
      <c r="M244">
        <v>0</v>
      </c>
    </row>
    <row r="245" spans="1:13" x14ac:dyDescent="0.3">
      <c r="A245">
        <v>16</v>
      </c>
      <c r="B245" t="s">
        <v>16</v>
      </c>
      <c r="C245">
        <v>7.8</v>
      </c>
      <c r="D245" t="s">
        <v>17</v>
      </c>
      <c r="E245">
        <v>4.7</v>
      </c>
      <c r="F245">
        <v>2.1</v>
      </c>
      <c r="G245">
        <v>2.48</v>
      </c>
      <c r="H245">
        <v>2</v>
      </c>
      <c r="I245" t="s">
        <v>15</v>
      </c>
      <c r="J245">
        <v>8</v>
      </c>
      <c r="K245">
        <v>3</v>
      </c>
      <c r="L245">
        <v>1</v>
      </c>
      <c r="M245">
        <v>0</v>
      </c>
    </row>
    <row r="246" spans="1:13" x14ac:dyDescent="0.3">
      <c r="A246">
        <v>14</v>
      </c>
      <c r="B246" t="s">
        <v>16</v>
      </c>
      <c r="C246">
        <v>4.4000000000000004</v>
      </c>
      <c r="D246" t="s">
        <v>20</v>
      </c>
      <c r="E246">
        <v>4.2</v>
      </c>
      <c r="F246">
        <v>2.6</v>
      </c>
      <c r="G246">
        <v>2.2799999999999998</v>
      </c>
      <c r="H246">
        <v>1.3</v>
      </c>
      <c r="I246" t="s">
        <v>19</v>
      </c>
      <c r="J246">
        <v>8</v>
      </c>
      <c r="K246">
        <v>10</v>
      </c>
      <c r="L246">
        <v>4</v>
      </c>
      <c r="M246">
        <v>0</v>
      </c>
    </row>
    <row r="247" spans="1:13" x14ac:dyDescent="0.3">
      <c r="A247">
        <v>17</v>
      </c>
      <c r="B247" t="s">
        <v>13</v>
      </c>
      <c r="C247">
        <v>6.7</v>
      </c>
      <c r="D247" t="s">
        <v>14</v>
      </c>
      <c r="E247">
        <v>7.6</v>
      </c>
      <c r="F247">
        <v>2.4</v>
      </c>
      <c r="G247">
        <v>3.59</v>
      </c>
      <c r="H247">
        <v>0.4</v>
      </c>
      <c r="I247" t="s">
        <v>19</v>
      </c>
      <c r="J247">
        <v>9</v>
      </c>
      <c r="K247">
        <v>5</v>
      </c>
      <c r="L247">
        <v>5</v>
      </c>
      <c r="M247">
        <v>0</v>
      </c>
    </row>
    <row r="248" spans="1:13" x14ac:dyDescent="0.3">
      <c r="A248">
        <v>13</v>
      </c>
      <c r="B248" t="s">
        <v>16</v>
      </c>
      <c r="C248">
        <v>7.2</v>
      </c>
      <c r="D248" t="s">
        <v>17</v>
      </c>
      <c r="E248">
        <v>7.4</v>
      </c>
      <c r="F248">
        <v>2.2000000000000002</v>
      </c>
      <c r="G248">
        <v>3.42</v>
      </c>
      <c r="H248">
        <v>0.1</v>
      </c>
      <c r="I248" t="s">
        <v>15</v>
      </c>
      <c r="J248">
        <v>8</v>
      </c>
      <c r="K248">
        <v>9</v>
      </c>
      <c r="L248">
        <v>6</v>
      </c>
      <c r="M248">
        <v>0</v>
      </c>
    </row>
    <row r="249" spans="1:13" x14ac:dyDescent="0.3">
      <c r="A249">
        <v>18</v>
      </c>
      <c r="B249" t="s">
        <v>13</v>
      </c>
      <c r="C249">
        <v>6.1</v>
      </c>
      <c r="D249" t="s">
        <v>20</v>
      </c>
      <c r="E249">
        <v>4.4000000000000004</v>
      </c>
      <c r="F249">
        <v>2.1</v>
      </c>
      <c r="G249">
        <v>2.23</v>
      </c>
      <c r="H249">
        <v>1</v>
      </c>
      <c r="I249" t="s">
        <v>15</v>
      </c>
      <c r="J249">
        <v>8</v>
      </c>
      <c r="K249">
        <v>2</v>
      </c>
      <c r="L249">
        <v>5</v>
      </c>
      <c r="M249">
        <v>0</v>
      </c>
    </row>
    <row r="250" spans="1:13" x14ac:dyDescent="0.3">
      <c r="A250">
        <v>16</v>
      </c>
      <c r="B250" t="s">
        <v>13</v>
      </c>
      <c r="C250">
        <v>5.4</v>
      </c>
      <c r="D250" t="s">
        <v>17</v>
      </c>
      <c r="E250">
        <v>8.6999999999999993</v>
      </c>
      <c r="F250">
        <v>1.9</v>
      </c>
      <c r="G250">
        <v>2.67</v>
      </c>
      <c r="H250">
        <v>1.3</v>
      </c>
      <c r="I250" t="s">
        <v>15</v>
      </c>
      <c r="J250">
        <v>1</v>
      </c>
      <c r="K250">
        <v>5</v>
      </c>
      <c r="L250">
        <v>7</v>
      </c>
      <c r="M250">
        <v>0</v>
      </c>
    </row>
    <row r="251" spans="1:13" x14ac:dyDescent="0.3">
      <c r="A251">
        <v>19</v>
      </c>
      <c r="B251" t="s">
        <v>13</v>
      </c>
      <c r="C251">
        <v>2.7</v>
      </c>
      <c r="D251" t="s">
        <v>20</v>
      </c>
      <c r="E251">
        <v>7.7</v>
      </c>
      <c r="F251">
        <v>0.7</v>
      </c>
      <c r="G251">
        <v>2.2200000000000002</v>
      </c>
      <c r="H251">
        <v>0.4</v>
      </c>
      <c r="I251" t="s">
        <v>19</v>
      </c>
      <c r="J251">
        <v>10</v>
      </c>
      <c r="K251">
        <v>8</v>
      </c>
      <c r="L251">
        <v>7</v>
      </c>
      <c r="M251">
        <v>0</v>
      </c>
    </row>
    <row r="252" spans="1:13" x14ac:dyDescent="0.3">
      <c r="A252">
        <v>13</v>
      </c>
      <c r="B252" t="s">
        <v>16</v>
      </c>
      <c r="C252">
        <v>7.9</v>
      </c>
      <c r="D252" t="s">
        <v>14</v>
      </c>
      <c r="E252">
        <v>7.2</v>
      </c>
      <c r="F252">
        <v>1.5</v>
      </c>
      <c r="G252">
        <v>2.36</v>
      </c>
      <c r="H252">
        <v>0.2</v>
      </c>
      <c r="I252" t="s">
        <v>19</v>
      </c>
      <c r="J252">
        <v>2</v>
      </c>
      <c r="K252">
        <v>6</v>
      </c>
      <c r="L252">
        <v>8</v>
      </c>
      <c r="M252">
        <v>0</v>
      </c>
    </row>
    <row r="253" spans="1:13" x14ac:dyDescent="0.3">
      <c r="A253">
        <v>13</v>
      </c>
      <c r="B253" t="s">
        <v>13</v>
      </c>
      <c r="C253">
        <v>4.5999999999999996</v>
      </c>
      <c r="D253" t="s">
        <v>17</v>
      </c>
      <c r="E253">
        <v>7.3</v>
      </c>
      <c r="F253">
        <v>1.6</v>
      </c>
      <c r="G253">
        <v>2.91</v>
      </c>
      <c r="H253">
        <v>0.4</v>
      </c>
      <c r="I253" t="s">
        <v>15</v>
      </c>
      <c r="J253">
        <v>10</v>
      </c>
      <c r="K253">
        <v>5</v>
      </c>
      <c r="L253">
        <v>7</v>
      </c>
      <c r="M253">
        <v>0</v>
      </c>
    </row>
    <row r="254" spans="1:13" x14ac:dyDescent="0.3">
      <c r="A254">
        <v>13</v>
      </c>
      <c r="B254" t="s">
        <v>13</v>
      </c>
      <c r="C254">
        <v>5.6</v>
      </c>
      <c r="D254" t="s">
        <v>14</v>
      </c>
      <c r="E254">
        <v>4.5999999999999996</v>
      </c>
      <c r="F254">
        <v>1.9</v>
      </c>
      <c r="G254">
        <v>2.54</v>
      </c>
      <c r="H254">
        <v>0.1</v>
      </c>
      <c r="I254" t="s">
        <v>15</v>
      </c>
      <c r="J254">
        <v>5</v>
      </c>
      <c r="K254">
        <v>5</v>
      </c>
      <c r="L254">
        <v>6</v>
      </c>
      <c r="M254">
        <v>0</v>
      </c>
    </row>
    <row r="255" spans="1:13" x14ac:dyDescent="0.3">
      <c r="A255">
        <v>17</v>
      </c>
      <c r="B255" t="s">
        <v>16</v>
      </c>
      <c r="C255">
        <v>6.5</v>
      </c>
      <c r="D255" t="s">
        <v>17</v>
      </c>
      <c r="E255">
        <v>6.4</v>
      </c>
      <c r="F255">
        <v>0.7</v>
      </c>
      <c r="G255">
        <v>3.57</v>
      </c>
      <c r="H255">
        <v>1.1000000000000001</v>
      </c>
      <c r="I255" t="s">
        <v>15</v>
      </c>
      <c r="J255">
        <v>2</v>
      </c>
      <c r="K255">
        <v>9</v>
      </c>
      <c r="L255">
        <v>6</v>
      </c>
      <c r="M255">
        <v>0</v>
      </c>
    </row>
    <row r="256" spans="1:13" x14ac:dyDescent="0.3">
      <c r="A256">
        <v>19</v>
      </c>
      <c r="B256" t="s">
        <v>13</v>
      </c>
      <c r="C256">
        <v>5.9</v>
      </c>
      <c r="D256" t="s">
        <v>20</v>
      </c>
      <c r="E256">
        <v>7.2</v>
      </c>
      <c r="F256">
        <v>0.9</v>
      </c>
      <c r="G256">
        <v>3.99</v>
      </c>
      <c r="H256">
        <v>1.7</v>
      </c>
      <c r="I256" t="s">
        <v>15</v>
      </c>
      <c r="J256">
        <v>7</v>
      </c>
      <c r="K256">
        <v>9</v>
      </c>
      <c r="L256">
        <v>3</v>
      </c>
      <c r="M256">
        <v>0</v>
      </c>
    </row>
    <row r="257" spans="1:13" x14ac:dyDescent="0.3">
      <c r="A257">
        <v>19</v>
      </c>
      <c r="B257" t="s">
        <v>16</v>
      </c>
      <c r="C257">
        <v>1.1000000000000001</v>
      </c>
      <c r="D257" t="s">
        <v>17</v>
      </c>
      <c r="E257">
        <v>5.0999999999999996</v>
      </c>
      <c r="F257">
        <v>2.2000000000000002</v>
      </c>
      <c r="G257">
        <v>2.13</v>
      </c>
      <c r="H257">
        <v>0.9</v>
      </c>
      <c r="I257" t="s">
        <v>15</v>
      </c>
      <c r="J257">
        <v>7</v>
      </c>
      <c r="K257">
        <v>7</v>
      </c>
      <c r="L257">
        <v>2</v>
      </c>
      <c r="M257">
        <v>0</v>
      </c>
    </row>
    <row r="258" spans="1:13" x14ac:dyDescent="0.3">
      <c r="A258">
        <v>18</v>
      </c>
      <c r="B258" t="s">
        <v>13</v>
      </c>
      <c r="C258">
        <v>3.2</v>
      </c>
      <c r="D258" t="s">
        <v>17</v>
      </c>
      <c r="E258">
        <v>5.0999999999999996</v>
      </c>
      <c r="F258">
        <v>1.2</v>
      </c>
      <c r="G258">
        <v>3.54</v>
      </c>
      <c r="H258">
        <v>1.3</v>
      </c>
      <c r="I258" t="s">
        <v>15</v>
      </c>
      <c r="J258">
        <v>6</v>
      </c>
      <c r="K258">
        <v>2</v>
      </c>
      <c r="L258">
        <v>8</v>
      </c>
      <c r="M258">
        <v>0</v>
      </c>
    </row>
    <row r="259" spans="1:13" x14ac:dyDescent="0.3">
      <c r="A259">
        <v>14</v>
      </c>
      <c r="B259" t="s">
        <v>13</v>
      </c>
      <c r="C259">
        <v>6.5</v>
      </c>
      <c r="D259" t="s">
        <v>14</v>
      </c>
      <c r="E259">
        <v>5.3</v>
      </c>
      <c r="F259">
        <v>2.7</v>
      </c>
      <c r="G259">
        <v>3.79</v>
      </c>
      <c r="H259">
        <v>0.8</v>
      </c>
      <c r="I259" t="s">
        <v>15</v>
      </c>
      <c r="J259">
        <v>8</v>
      </c>
      <c r="K259">
        <v>6</v>
      </c>
      <c r="L259">
        <v>4</v>
      </c>
      <c r="M259">
        <v>0</v>
      </c>
    </row>
    <row r="260" spans="1:13" x14ac:dyDescent="0.3">
      <c r="A260">
        <v>17</v>
      </c>
      <c r="B260" t="s">
        <v>16</v>
      </c>
      <c r="C260">
        <v>7.3</v>
      </c>
      <c r="D260" t="s">
        <v>14</v>
      </c>
      <c r="E260">
        <v>6.2</v>
      </c>
      <c r="F260">
        <v>1</v>
      </c>
      <c r="G260">
        <v>2.02</v>
      </c>
      <c r="H260">
        <v>0.2</v>
      </c>
      <c r="I260" t="s">
        <v>15</v>
      </c>
      <c r="J260">
        <v>1</v>
      </c>
      <c r="K260">
        <v>6</v>
      </c>
      <c r="L260">
        <v>3</v>
      </c>
      <c r="M260">
        <v>0</v>
      </c>
    </row>
    <row r="261" spans="1:13" x14ac:dyDescent="0.3">
      <c r="A261">
        <v>17</v>
      </c>
      <c r="B261" t="s">
        <v>13</v>
      </c>
      <c r="C261">
        <v>1.5</v>
      </c>
      <c r="D261" t="s">
        <v>17</v>
      </c>
      <c r="E261">
        <v>5.5</v>
      </c>
      <c r="F261">
        <v>1.7</v>
      </c>
      <c r="G261">
        <v>2.93</v>
      </c>
      <c r="H261">
        <v>0.7</v>
      </c>
      <c r="I261" t="s">
        <v>15</v>
      </c>
      <c r="J261">
        <v>4</v>
      </c>
      <c r="K261">
        <v>9</v>
      </c>
      <c r="L261">
        <v>9</v>
      </c>
      <c r="M261">
        <v>0</v>
      </c>
    </row>
    <row r="262" spans="1:13" x14ac:dyDescent="0.3">
      <c r="A262">
        <v>16</v>
      </c>
      <c r="B262" t="s">
        <v>13</v>
      </c>
      <c r="C262">
        <v>3.8</v>
      </c>
      <c r="D262" t="s">
        <v>14</v>
      </c>
      <c r="E262">
        <v>6.8</v>
      </c>
      <c r="F262">
        <v>2.4</v>
      </c>
      <c r="G262">
        <v>3.1</v>
      </c>
      <c r="H262">
        <v>1.6</v>
      </c>
      <c r="I262" t="s">
        <v>15</v>
      </c>
      <c r="J262">
        <v>6</v>
      </c>
      <c r="K262">
        <v>10</v>
      </c>
      <c r="L262">
        <v>4</v>
      </c>
      <c r="M262">
        <v>0</v>
      </c>
    </row>
    <row r="263" spans="1:13" x14ac:dyDescent="0.3">
      <c r="A263">
        <v>13</v>
      </c>
      <c r="B263" t="s">
        <v>16</v>
      </c>
      <c r="C263">
        <v>3.6</v>
      </c>
      <c r="D263" t="s">
        <v>17</v>
      </c>
      <c r="E263">
        <v>8.6</v>
      </c>
      <c r="F263">
        <v>2.8</v>
      </c>
      <c r="G263">
        <v>3.28</v>
      </c>
      <c r="H263">
        <v>0.7</v>
      </c>
      <c r="I263" t="s">
        <v>18</v>
      </c>
      <c r="J263">
        <v>10</v>
      </c>
      <c r="K263">
        <v>3</v>
      </c>
      <c r="L263">
        <v>5</v>
      </c>
      <c r="M263">
        <v>0</v>
      </c>
    </row>
    <row r="264" spans="1:13" x14ac:dyDescent="0.3">
      <c r="A264">
        <v>15</v>
      </c>
      <c r="B264" t="s">
        <v>13</v>
      </c>
      <c r="C264">
        <v>3.6</v>
      </c>
      <c r="D264" t="s">
        <v>17</v>
      </c>
      <c r="E264">
        <v>4.3</v>
      </c>
      <c r="F264">
        <v>2.9</v>
      </c>
      <c r="G264">
        <v>2.2000000000000002</v>
      </c>
      <c r="H264">
        <v>1</v>
      </c>
      <c r="I264" t="s">
        <v>18</v>
      </c>
      <c r="J264">
        <v>10</v>
      </c>
      <c r="K264">
        <v>9</v>
      </c>
      <c r="L264">
        <v>7</v>
      </c>
      <c r="M264">
        <v>0</v>
      </c>
    </row>
    <row r="265" spans="1:13" x14ac:dyDescent="0.3">
      <c r="A265">
        <v>17</v>
      </c>
      <c r="B265" t="s">
        <v>16</v>
      </c>
      <c r="C265">
        <v>5.3</v>
      </c>
      <c r="D265" t="s">
        <v>14</v>
      </c>
      <c r="E265">
        <v>7.4</v>
      </c>
      <c r="F265">
        <v>1.2</v>
      </c>
      <c r="G265">
        <v>3.41</v>
      </c>
      <c r="H265">
        <v>1.1000000000000001</v>
      </c>
      <c r="I265" t="s">
        <v>18</v>
      </c>
      <c r="J265">
        <v>6</v>
      </c>
      <c r="K265">
        <v>3</v>
      </c>
      <c r="L265">
        <v>7</v>
      </c>
      <c r="M265">
        <v>0</v>
      </c>
    </row>
    <row r="266" spans="1:13" x14ac:dyDescent="0.3">
      <c r="A266">
        <v>19</v>
      </c>
      <c r="B266" t="s">
        <v>13</v>
      </c>
      <c r="C266">
        <v>4.4000000000000004</v>
      </c>
      <c r="D266" t="s">
        <v>17</v>
      </c>
      <c r="E266">
        <v>4.3</v>
      </c>
      <c r="F266">
        <v>0.8</v>
      </c>
      <c r="G266">
        <v>2.44</v>
      </c>
      <c r="H266">
        <v>1</v>
      </c>
      <c r="I266" t="s">
        <v>18</v>
      </c>
      <c r="J266">
        <v>9</v>
      </c>
      <c r="K266">
        <v>9</v>
      </c>
      <c r="L266">
        <v>7</v>
      </c>
      <c r="M266">
        <v>0</v>
      </c>
    </row>
    <row r="267" spans="1:13" x14ac:dyDescent="0.3">
      <c r="A267">
        <v>18</v>
      </c>
      <c r="B267" t="s">
        <v>13</v>
      </c>
      <c r="C267">
        <v>7.7</v>
      </c>
      <c r="D267" t="s">
        <v>17</v>
      </c>
      <c r="E267">
        <v>4.7</v>
      </c>
      <c r="F267">
        <v>1.4</v>
      </c>
      <c r="G267">
        <v>3.04</v>
      </c>
      <c r="H267">
        <v>0.6</v>
      </c>
      <c r="I267" t="s">
        <v>19</v>
      </c>
      <c r="J267">
        <v>9</v>
      </c>
      <c r="K267">
        <v>6</v>
      </c>
      <c r="L267">
        <v>6</v>
      </c>
      <c r="M267">
        <v>0</v>
      </c>
    </row>
    <row r="268" spans="1:13" x14ac:dyDescent="0.3">
      <c r="A268">
        <v>14</v>
      </c>
      <c r="B268" t="s">
        <v>16</v>
      </c>
      <c r="C268">
        <v>7.1</v>
      </c>
      <c r="D268" t="s">
        <v>17</v>
      </c>
      <c r="E268">
        <v>4.5</v>
      </c>
      <c r="F268">
        <v>2.4</v>
      </c>
      <c r="G268">
        <v>3.53</v>
      </c>
      <c r="H268">
        <v>0.4</v>
      </c>
      <c r="I268" t="s">
        <v>18</v>
      </c>
      <c r="J268">
        <v>3</v>
      </c>
      <c r="K268">
        <v>4</v>
      </c>
      <c r="L268">
        <v>4</v>
      </c>
      <c r="M268">
        <v>0</v>
      </c>
    </row>
    <row r="269" spans="1:13" x14ac:dyDescent="0.3">
      <c r="A269">
        <v>16</v>
      </c>
      <c r="B269" t="s">
        <v>13</v>
      </c>
      <c r="C269">
        <v>4.9000000000000004</v>
      </c>
      <c r="D269" t="s">
        <v>14</v>
      </c>
      <c r="E269">
        <v>6.8</v>
      </c>
      <c r="F269">
        <v>1</v>
      </c>
      <c r="G269">
        <v>3.18</v>
      </c>
      <c r="H269">
        <v>1.9</v>
      </c>
      <c r="I269" t="s">
        <v>18</v>
      </c>
      <c r="J269">
        <v>7</v>
      </c>
      <c r="K269">
        <v>4</v>
      </c>
      <c r="L269">
        <v>8</v>
      </c>
      <c r="M269">
        <v>0</v>
      </c>
    </row>
    <row r="270" spans="1:13" x14ac:dyDescent="0.3">
      <c r="A270">
        <v>19</v>
      </c>
      <c r="B270" t="s">
        <v>13</v>
      </c>
      <c r="C270">
        <v>4.5999999999999996</v>
      </c>
      <c r="D270" t="s">
        <v>20</v>
      </c>
      <c r="E270">
        <v>8.9</v>
      </c>
      <c r="F270">
        <v>1.9</v>
      </c>
      <c r="G270">
        <v>2.5</v>
      </c>
      <c r="H270">
        <v>0.4</v>
      </c>
      <c r="I270" t="s">
        <v>19</v>
      </c>
      <c r="J270">
        <v>8</v>
      </c>
      <c r="K270">
        <v>1</v>
      </c>
      <c r="L270">
        <v>3</v>
      </c>
      <c r="M270">
        <v>0</v>
      </c>
    </row>
    <row r="271" spans="1:13" x14ac:dyDescent="0.3">
      <c r="A271">
        <v>19</v>
      </c>
      <c r="B271" t="s">
        <v>13</v>
      </c>
      <c r="C271">
        <v>1.8</v>
      </c>
      <c r="D271" t="s">
        <v>14</v>
      </c>
      <c r="E271">
        <v>6.5</v>
      </c>
      <c r="F271">
        <v>2.6</v>
      </c>
      <c r="G271">
        <v>2.75</v>
      </c>
      <c r="H271">
        <v>1.7</v>
      </c>
      <c r="I271" t="s">
        <v>18</v>
      </c>
      <c r="J271">
        <v>7</v>
      </c>
      <c r="K271">
        <v>6</v>
      </c>
      <c r="L271">
        <v>1</v>
      </c>
      <c r="M271">
        <v>0</v>
      </c>
    </row>
    <row r="272" spans="1:13" x14ac:dyDescent="0.3">
      <c r="A272">
        <v>16</v>
      </c>
      <c r="B272" t="s">
        <v>13</v>
      </c>
      <c r="C272">
        <v>4.2</v>
      </c>
      <c r="D272" t="s">
        <v>20</v>
      </c>
      <c r="E272">
        <v>5.7</v>
      </c>
      <c r="F272">
        <v>1</v>
      </c>
      <c r="G272">
        <v>2.77</v>
      </c>
      <c r="H272">
        <v>0.1</v>
      </c>
      <c r="I272" t="s">
        <v>18</v>
      </c>
      <c r="J272">
        <v>10</v>
      </c>
      <c r="K272">
        <v>5</v>
      </c>
      <c r="L272">
        <v>9</v>
      </c>
      <c r="M272">
        <v>0</v>
      </c>
    </row>
    <row r="273" spans="1:13" x14ac:dyDescent="0.3">
      <c r="A273">
        <v>16</v>
      </c>
      <c r="B273" t="s">
        <v>13</v>
      </c>
      <c r="C273">
        <v>1.5</v>
      </c>
      <c r="D273" t="s">
        <v>17</v>
      </c>
      <c r="E273">
        <v>6.7</v>
      </c>
      <c r="F273">
        <v>0.5</v>
      </c>
      <c r="G273">
        <v>2.78</v>
      </c>
      <c r="H273">
        <v>1.2</v>
      </c>
      <c r="I273" t="s">
        <v>15</v>
      </c>
      <c r="J273">
        <v>1</v>
      </c>
      <c r="K273">
        <v>9</v>
      </c>
      <c r="L273">
        <v>6</v>
      </c>
      <c r="M273">
        <v>0</v>
      </c>
    </row>
    <row r="274" spans="1:13" x14ac:dyDescent="0.3">
      <c r="A274">
        <v>19</v>
      </c>
      <c r="B274" t="s">
        <v>13</v>
      </c>
      <c r="C274">
        <v>7</v>
      </c>
      <c r="D274" t="s">
        <v>14</v>
      </c>
      <c r="E274">
        <v>8.9</v>
      </c>
      <c r="F274">
        <v>2.8</v>
      </c>
      <c r="G274">
        <v>2.84</v>
      </c>
      <c r="H274">
        <v>0.4</v>
      </c>
      <c r="I274" t="s">
        <v>18</v>
      </c>
      <c r="J274">
        <v>6</v>
      </c>
      <c r="K274">
        <v>8</v>
      </c>
      <c r="L274">
        <v>6</v>
      </c>
      <c r="M274">
        <v>0</v>
      </c>
    </row>
    <row r="275" spans="1:13" x14ac:dyDescent="0.3">
      <c r="A275">
        <v>14</v>
      </c>
      <c r="B275" t="s">
        <v>16</v>
      </c>
      <c r="C275">
        <v>6.5</v>
      </c>
      <c r="D275" t="s">
        <v>20</v>
      </c>
      <c r="E275">
        <v>7.8</v>
      </c>
      <c r="F275">
        <v>1.5</v>
      </c>
      <c r="G275">
        <v>3.26</v>
      </c>
      <c r="H275">
        <v>0.8</v>
      </c>
      <c r="I275" t="s">
        <v>19</v>
      </c>
      <c r="J275">
        <v>9</v>
      </c>
      <c r="K275">
        <v>2</v>
      </c>
      <c r="L275">
        <v>3</v>
      </c>
      <c r="M275">
        <v>0</v>
      </c>
    </row>
    <row r="276" spans="1:13" x14ac:dyDescent="0.3">
      <c r="A276">
        <v>19</v>
      </c>
      <c r="B276" t="s">
        <v>16</v>
      </c>
      <c r="C276">
        <v>4.3</v>
      </c>
      <c r="D276" t="s">
        <v>14</v>
      </c>
      <c r="E276">
        <v>5.9</v>
      </c>
      <c r="F276">
        <v>2.1</v>
      </c>
      <c r="G276">
        <v>2.85</v>
      </c>
      <c r="H276">
        <v>1.7</v>
      </c>
      <c r="I276" t="s">
        <v>18</v>
      </c>
      <c r="J276">
        <v>9</v>
      </c>
      <c r="K276">
        <v>9</v>
      </c>
      <c r="L276">
        <v>8</v>
      </c>
      <c r="M276">
        <v>0</v>
      </c>
    </row>
    <row r="277" spans="1:13" x14ac:dyDescent="0.3">
      <c r="A277">
        <v>16</v>
      </c>
      <c r="B277" t="s">
        <v>13</v>
      </c>
      <c r="C277">
        <v>7.2</v>
      </c>
      <c r="D277" t="s">
        <v>20</v>
      </c>
      <c r="E277">
        <v>7.7</v>
      </c>
      <c r="F277">
        <v>2.5</v>
      </c>
      <c r="G277">
        <v>2.56</v>
      </c>
      <c r="H277">
        <v>1.7</v>
      </c>
      <c r="I277" t="s">
        <v>18</v>
      </c>
      <c r="J277">
        <v>8</v>
      </c>
      <c r="K277">
        <v>7</v>
      </c>
      <c r="L277">
        <v>6</v>
      </c>
      <c r="M277">
        <v>0</v>
      </c>
    </row>
    <row r="278" spans="1:13" x14ac:dyDescent="0.3">
      <c r="A278">
        <v>13</v>
      </c>
      <c r="B278" t="s">
        <v>13</v>
      </c>
      <c r="C278">
        <v>7</v>
      </c>
      <c r="D278" t="s">
        <v>20</v>
      </c>
      <c r="E278">
        <v>4.0999999999999996</v>
      </c>
      <c r="F278">
        <v>1.9</v>
      </c>
      <c r="G278">
        <v>2.2999999999999998</v>
      </c>
      <c r="H278">
        <v>0.3</v>
      </c>
      <c r="I278" t="s">
        <v>19</v>
      </c>
      <c r="J278">
        <v>3</v>
      </c>
      <c r="K278">
        <v>10</v>
      </c>
      <c r="L278">
        <v>6</v>
      </c>
      <c r="M278">
        <v>0</v>
      </c>
    </row>
    <row r="279" spans="1:13" x14ac:dyDescent="0.3">
      <c r="A279">
        <v>18</v>
      </c>
      <c r="B279" t="s">
        <v>16</v>
      </c>
      <c r="C279">
        <v>3.8</v>
      </c>
      <c r="D279" t="s">
        <v>20</v>
      </c>
      <c r="E279">
        <v>5.4</v>
      </c>
      <c r="F279">
        <v>1.7</v>
      </c>
      <c r="G279">
        <v>3.06</v>
      </c>
      <c r="H279">
        <v>1.9</v>
      </c>
      <c r="I279" t="s">
        <v>19</v>
      </c>
      <c r="J279">
        <v>5</v>
      </c>
      <c r="K279">
        <v>10</v>
      </c>
      <c r="L279">
        <v>3</v>
      </c>
      <c r="M279">
        <v>0</v>
      </c>
    </row>
    <row r="280" spans="1:13" x14ac:dyDescent="0.3">
      <c r="A280">
        <v>17</v>
      </c>
      <c r="B280" t="s">
        <v>16</v>
      </c>
      <c r="C280">
        <v>3</v>
      </c>
      <c r="D280" t="s">
        <v>14</v>
      </c>
      <c r="E280">
        <v>6.9</v>
      </c>
      <c r="F280">
        <v>2.2999999999999998</v>
      </c>
      <c r="G280">
        <v>3.34</v>
      </c>
      <c r="H280">
        <v>0.6</v>
      </c>
      <c r="I280" t="s">
        <v>15</v>
      </c>
      <c r="J280">
        <v>5</v>
      </c>
      <c r="K280">
        <v>2</v>
      </c>
      <c r="L280">
        <v>9</v>
      </c>
      <c r="M280">
        <v>0</v>
      </c>
    </row>
    <row r="281" spans="1:13" x14ac:dyDescent="0.3">
      <c r="A281">
        <v>14</v>
      </c>
      <c r="B281" t="s">
        <v>16</v>
      </c>
      <c r="C281">
        <v>7</v>
      </c>
      <c r="D281" t="s">
        <v>17</v>
      </c>
      <c r="E281">
        <v>7.8</v>
      </c>
      <c r="F281">
        <v>1.1000000000000001</v>
      </c>
      <c r="G281">
        <v>3.81</v>
      </c>
      <c r="H281">
        <v>1.4</v>
      </c>
      <c r="I281" t="s">
        <v>19</v>
      </c>
      <c r="J281">
        <v>10</v>
      </c>
      <c r="K281">
        <v>4</v>
      </c>
      <c r="L281">
        <v>2</v>
      </c>
      <c r="M281">
        <v>0</v>
      </c>
    </row>
    <row r="282" spans="1:13" x14ac:dyDescent="0.3">
      <c r="A282">
        <v>13</v>
      </c>
      <c r="B282" t="s">
        <v>13</v>
      </c>
      <c r="C282">
        <v>4.5999999999999996</v>
      </c>
      <c r="D282" t="s">
        <v>17</v>
      </c>
      <c r="E282">
        <v>5.3</v>
      </c>
      <c r="F282">
        <v>2.2999999999999998</v>
      </c>
      <c r="G282">
        <v>2.42</v>
      </c>
      <c r="H282">
        <v>0.2</v>
      </c>
      <c r="I282" t="s">
        <v>15</v>
      </c>
      <c r="J282">
        <v>5</v>
      </c>
      <c r="K282">
        <v>9</v>
      </c>
      <c r="L282">
        <v>5</v>
      </c>
      <c r="M282">
        <v>0</v>
      </c>
    </row>
    <row r="283" spans="1:13" x14ac:dyDescent="0.3">
      <c r="A283">
        <v>16</v>
      </c>
      <c r="B283" t="s">
        <v>13</v>
      </c>
      <c r="C283">
        <v>3.4</v>
      </c>
      <c r="D283" t="s">
        <v>20</v>
      </c>
      <c r="E283">
        <v>8.9</v>
      </c>
      <c r="F283">
        <v>2.6</v>
      </c>
      <c r="G283">
        <v>2.54</v>
      </c>
      <c r="H283">
        <v>1.8</v>
      </c>
      <c r="I283" t="s">
        <v>18</v>
      </c>
      <c r="J283">
        <v>6</v>
      </c>
      <c r="K283">
        <v>2</v>
      </c>
      <c r="L283">
        <v>5</v>
      </c>
      <c r="M283">
        <v>0</v>
      </c>
    </row>
    <row r="284" spans="1:13" x14ac:dyDescent="0.3">
      <c r="A284">
        <v>19</v>
      </c>
      <c r="B284" t="s">
        <v>16</v>
      </c>
      <c r="C284">
        <v>3.5</v>
      </c>
      <c r="D284" t="s">
        <v>17</v>
      </c>
      <c r="E284">
        <v>6.7</v>
      </c>
      <c r="F284">
        <v>2.7</v>
      </c>
      <c r="G284">
        <v>3.4</v>
      </c>
      <c r="H284">
        <v>1.2</v>
      </c>
      <c r="I284" t="s">
        <v>15</v>
      </c>
      <c r="J284">
        <v>4</v>
      </c>
      <c r="K284">
        <v>6</v>
      </c>
      <c r="L284">
        <v>7</v>
      </c>
      <c r="M284">
        <v>0</v>
      </c>
    </row>
    <row r="285" spans="1:13" x14ac:dyDescent="0.3">
      <c r="A285">
        <v>14</v>
      </c>
      <c r="B285" t="s">
        <v>16</v>
      </c>
      <c r="C285">
        <v>4.4000000000000004</v>
      </c>
      <c r="D285" t="s">
        <v>20</v>
      </c>
      <c r="E285">
        <v>7.3</v>
      </c>
      <c r="F285">
        <v>2.7</v>
      </c>
      <c r="G285">
        <v>3.3</v>
      </c>
      <c r="H285">
        <v>1.1000000000000001</v>
      </c>
      <c r="I285" t="s">
        <v>15</v>
      </c>
      <c r="J285">
        <v>2</v>
      </c>
      <c r="K285">
        <v>1</v>
      </c>
      <c r="L285">
        <v>9</v>
      </c>
      <c r="M285">
        <v>0</v>
      </c>
    </row>
    <row r="286" spans="1:13" x14ac:dyDescent="0.3">
      <c r="A286">
        <v>14</v>
      </c>
      <c r="B286" t="s">
        <v>16</v>
      </c>
      <c r="C286">
        <v>1.8</v>
      </c>
      <c r="D286" t="s">
        <v>20</v>
      </c>
      <c r="E286">
        <v>8.1999999999999993</v>
      </c>
      <c r="F286">
        <v>2.2000000000000002</v>
      </c>
      <c r="G286">
        <v>3.36</v>
      </c>
      <c r="H286">
        <v>1.7</v>
      </c>
      <c r="I286" t="s">
        <v>18</v>
      </c>
      <c r="J286">
        <v>9</v>
      </c>
      <c r="K286">
        <v>5</v>
      </c>
      <c r="L286">
        <v>10</v>
      </c>
      <c r="M286">
        <v>0</v>
      </c>
    </row>
    <row r="287" spans="1:13" x14ac:dyDescent="0.3">
      <c r="A287">
        <v>17</v>
      </c>
      <c r="B287" t="s">
        <v>13</v>
      </c>
      <c r="C287">
        <v>3.9</v>
      </c>
      <c r="D287" t="s">
        <v>20</v>
      </c>
      <c r="E287">
        <v>7.7</v>
      </c>
      <c r="F287">
        <v>1</v>
      </c>
      <c r="G287">
        <v>2.1</v>
      </c>
      <c r="H287">
        <v>1.8</v>
      </c>
      <c r="I287" t="s">
        <v>18</v>
      </c>
      <c r="J287">
        <v>7</v>
      </c>
      <c r="K287">
        <v>4</v>
      </c>
      <c r="L287">
        <v>5</v>
      </c>
      <c r="M287">
        <v>0</v>
      </c>
    </row>
    <row r="288" spans="1:13" x14ac:dyDescent="0.3">
      <c r="A288">
        <v>14</v>
      </c>
      <c r="B288" t="s">
        <v>16</v>
      </c>
      <c r="C288">
        <v>4.4000000000000004</v>
      </c>
      <c r="D288" t="s">
        <v>17</v>
      </c>
      <c r="E288">
        <v>5.7</v>
      </c>
      <c r="F288">
        <v>1</v>
      </c>
      <c r="G288">
        <v>3.2</v>
      </c>
      <c r="H288">
        <v>1.9</v>
      </c>
      <c r="I288" t="s">
        <v>18</v>
      </c>
      <c r="J288">
        <v>4</v>
      </c>
      <c r="K288">
        <v>2</v>
      </c>
      <c r="L288">
        <v>2</v>
      </c>
      <c r="M288">
        <v>0</v>
      </c>
    </row>
    <row r="289" spans="1:13" x14ac:dyDescent="0.3">
      <c r="A289">
        <v>13</v>
      </c>
      <c r="B289" t="s">
        <v>16</v>
      </c>
      <c r="C289">
        <v>2</v>
      </c>
      <c r="D289" t="s">
        <v>14</v>
      </c>
      <c r="E289">
        <v>8.6999999999999993</v>
      </c>
      <c r="F289">
        <v>1.9</v>
      </c>
      <c r="G289">
        <v>2.2799999999999998</v>
      </c>
      <c r="H289">
        <v>1.2</v>
      </c>
      <c r="I289" t="s">
        <v>19</v>
      </c>
      <c r="J289">
        <v>7</v>
      </c>
      <c r="K289">
        <v>7</v>
      </c>
      <c r="L289">
        <v>9</v>
      </c>
      <c r="M289">
        <v>0</v>
      </c>
    </row>
    <row r="290" spans="1:13" x14ac:dyDescent="0.3">
      <c r="A290">
        <v>17</v>
      </c>
      <c r="B290" t="s">
        <v>13</v>
      </c>
      <c r="C290">
        <v>7.2</v>
      </c>
      <c r="D290" t="s">
        <v>17</v>
      </c>
      <c r="E290">
        <v>8.8000000000000007</v>
      </c>
      <c r="F290">
        <v>2.5</v>
      </c>
      <c r="G290">
        <v>3.97</v>
      </c>
      <c r="H290">
        <v>1.9</v>
      </c>
      <c r="I290" t="s">
        <v>15</v>
      </c>
      <c r="J290">
        <v>1</v>
      </c>
      <c r="K290">
        <v>3</v>
      </c>
      <c r="L290">
        <v>9</v>
      </c>
      <c r="M290">
        <v>0</v>
      </c>
    </row>
    <row r="291" spans="1:13" x14ac:dyDescent="0.3">
      <c r="A291">
        <v>19</v>
      </c>
      <c r="B291" t="s">
        <v>13</v>
      </c>
      <c r="C291">
        <v>4.4000000000000004</v>
      </c>
      <c r="D291" t="s">
        <v>20</v>
      </c>
      <c r="E291">
        <v>6.4</v>
      </c>
      <c r="F291">
        <v>0.9</v>
      </c>
      <c r="G291">
        <v>2.72</v>
      </c>
      <c r="H291">
        <v>0.2</v>
      </c>
      <c r="I291" t="s">
        <v>19</v>
      </c>
      <c r="J291">
        <v>6</v>
      </c>
      <c r="K291">
        <v>9</v>
      </c>
      <c r="L291">
        <v>8</v>
      </c>
      <c r="M291">
        <v>0</v>
      </c>
    </row>
    <row r="292" spans="1:13" x14ac:dyDescent="0.3">
      <c r="A292">
        <v>14</v>
      </c>
      <c r="B292" t="s">
        <v>13</v>
      </c>
      <c r="C292">
        <v>7.2</v>
      </c>
      <c r="D292" t="s">
        <v>17</v>
      </c>
      <c r="E292">
        <v>4.8</v>
      </c>
      <c r="F292">
        <v>1.4</v>
      </c>
      <c r="G292">
        <v>2.36</v>
      </c>
      <c r="H292">
        <v>0.1</v>
      </c>
      <c r="I292" t="s">
        <v>15</v>
      </c>
      <c r="J292">
        <v>5</v>
      </c>
      <c r="K292">
        <v>7</v>
      </c>
      <c r="L292">
        <v>1</v>
      </c>
      <c r="M292">
        <v>0</v>
      </c>
    </row>
    <row r="293" spans="1:13" x14ac:dyDescent="0.3">
      <c r="A293">
        <v>13</v>
      </c>
      <c r="B293" t="s">
        <v>13</v>
      </c>
      <c r="C293">
        <v>5.4</v>
      </c>
      <c r="D293" t="s">
        <v>14</v>
      </c>
      <c r="E293">
        <v>6.5</v>
      </c>
      <c r="F293">
        <v>0.8</v>
      </c>
      <c r="G293">
        <v>3.17</v>
      </c>
      <c r="H293">
        <v>0.3</v>
      </c>
      <c r="I293" t="s">
        <v>19</v>
      </c>
      <c r="J293">
        <v>10</v>
      </c>
      <c r="K293">
        <v>3</v>
      </c>
      <c r="L293">
        <v>3</v>
      </c>
      <c r="M293">
        <v>0</v>
      </c>
    </row>
    <row r="294" spans="1:13" x14ac:dyDescent="0.3">
      <c r="A294">
        <v>16</v>
      </c>
      <c r="B294" t="s">
        <v>13</v>
      </c>
      <c r="C294">
        <v>1.5</v>
      </c>
      <c r="D294" t="s">
        <v>17</v>
      </c>
      <c r="E294">
        <v>4.0999999999999996</v>
      </c>
      <c r="F294">
        <v>1.3</v>
      </c>
      <c r="G294">
        <v>3.67</v>
      </c>
      <c r="H294">
        <v>1.2</v>
      </c>
      <c r="I294" t="s">
        <v>18</v>
      </c>
      <c r="J294">
        <v>10</v>
      </c>
      <c r="K294">
        <v>6</v>
      </c>
      <c r="L294">
        <v>6</v>
      </c>
      <c r="M294">
        <v>0</v>
      </c>
    </row>
    <row r="295" spans="1:13" x14ac:dyDescent="0.3">
      <c r="A295">
        <v>15</v>
      </c>
      <c r="B295" t="s">
        <v>16</v>
      </c>
      <c r="C295">
        <v>1.8</v>
      </c>
      <c r="D295" t="s">
        <v>14</v>
      </c>
      <c r="E295">
        <v>8</v>
      </c>
      <c r="F295">
        <v>2.8</v>
      </c>
      <c r="G295">
        <v>3.49</v>
      </c>
      <c r="H295">
        <v>0.6</v>
      </c>
      <c r="I295" t="s">
        <v>15</v>
      </c>
      <c r="J295">
        <v>9</v>
      </c>
      <c r="K295">
        <v>8</v>
      </c>
      <c r="L295">
        <v>8</v>
      </c>
      <c r="M295">
        <v>0</v>
      </c>
    </row>
    <row r="296" spans="1:13" x14ac:dyDescent="0.3">
      <c r="A296">
        <v>17</v>
      </c>
      <c r="B296" t="s">
        <v>16</v>
      </c>
      <c r="C296">
        <v>3.7</v>
      </c>
      <c r="D296" t="s">
        <v>17</v>
      </c>
      <c r="E296">
        <v>5.3</v>
      </c>
      <c r="F296">
        <v>0.7</v>
      </c>
      <c r="G296">
        <v>2.09</v>
      </c>
      <c r="H296">
        <v>0.8</v>
      </c>
      <c r="I296" t="s">
        <v>18</v>
      </c>
      <c r="J296">
        <v>8</v>
      </c>
      <c r="K296">
        <v>8</v>
      </c>
      <c r="L296">
        <v>10</v>
      </c>
      <c r="M296">
        <v>0</v>
      </c>
    </row>
    <row r="297" spans="1:13" x14ac:dyDescent="0.3">
      <c r="A297">
        <v>13</v>
      </c>
      <c r="B297" t="s">
        <v>13</v>
      </c>
      <c r="C297">
        <v>6.4</v>
      </c>
      <c r="D297" t="s">
        <v>20</v>
      </c>
      <c r="E297">
        <v>8.3000000000000007</v>
      </c>
      <c r="F297">
        <v>1.3</v>
      </c>
      <c r="G297">
        <v>2.21</v>
      </c>
      <c r="H297">
        <v>1.2</v>
      </c>
      <c r="I297" t="s">
        <v>18</v>
      </c>
      <c r="J297">
        <v>4</v>
      </c>
      <c r="K297">
        <v>5</v>
      </c>
      <c r="L297">
        <v>9</v>
      </c>
      <c r="M297">
        <v>0</v>
      </c>
    </row>
    <row r="298" spans="1:13" x14ac:dyDescent="0.3">
      <c r="A298">
        <v>19</v>
      </c>
      <c r="B298" t="s">
        <v>13</v>
      </c>
      <c r="C298">
        <v>6.4</v>
      </c>
      <c r="D298" t="s">
        <v>20</v>
      </c>
      <c r="E298">
        <v>6.7</v>
      </c>
      <c r="F298">
        <v>2.4</v>
      </c>
      <c r="G298">
        <v>2.2000000000000002</v>
      </c>
      <c r="H298">
        <v>1.3</v>
      </c>
      <c r="I298" t="s">
        <v>15</v>
      </c>
      <c r="J298">
        <v>5</v>
      </c>
      <c r="K298">
        <v>2</v>
      </c>
      <c r="L298">
        <v>2</v>
      </c>
      <c r="M298">
        <v>0</v>
      </c>
    </row>
    <row r="299" spans="1:13" x14ac:dyDescent="0.3">
      <c r="A299">
        <v>17</v>
      </c>
      <c r="B299" t="s">
        <v>16</v>
      </c>
      <c r="C299">
        <v>1.1000000000000001</v>
      </c>
      <c r="D299" t="s">
        <v>14</v>
      </c>
      <c r="E299">
        <v>9</v>
      </c>
      <c r="F299">
        <v>2.9</v>
      </c>
      <c r="G299">
        <v>2.74</v>
      </c>
      <c r="H299">
        <v>1</v>
      </c>
      <c r="I299" t="s">
        <v>19</v>
      </c>
      <c r="J299">
        <v>2</v>
      </c>
      <c r="K299">
        <v>8</v>
      </c>
      <c r="L299">
        <v>2</v>
      </c>
      <c r="M299">
        <v>0</v>
      </c>
    </row>
    <row r="300" spans="1:13" x14ac:dyDescent="0.3">
      <c r="A300">
        <v>13</v>
      </c>
      <c r="B300" t="s">
        <v>13</v>
      </c>
      <c r="C300">
        <v>1.3</v>
      </c>
      <c r="D300" t="s">
        <v>17</v>
      </c>
      <c r="E300">
        <v>7.8</v>
      </c>
      <c r="F300">
        <v>2.6</v>
      </c>
      <c r="G300">
        <v>3.01</v>
      </c>
      <c r="H300">
        <v>0.3</v>
      </c>
      <c r="I300" t="s">
        <v>15</v>
      </c>
      <c r="J300">
        <v>2</v>
      </c>
      <c r="K300">
        <v>9</v>
      </c>
      <c r="L300">
        <v>10</v>
      </c>
      <c r="M300">
        <v>0</v>
      </c>
    </row>
    <row r="301" spans="1:13" x14ac:dyDescent="0.3">
      <c r="A301">
        <v>17</v>
      </c>
      <c r="B301" t="s">
        <v>16</v>
      </c>
      <c r="C301">
        <v>4.4000000000000004</v>
      </c>
      <c r="D301" t="s">
        <v>14</v>
      </c>
      <c r="E301">
        <v>6</v>
      </c>
      <c r="F301">
        <v>1.2</v>
      </c>
      <c r="G301">
        <v>2.48</v>
      </c>
      <c r="H301">
        <v>0.9</v>
      </c>
      <c r="I301" t="s">
        <v>19</v>
      </c>
      <c r="J301">
        <v>6</v>
      </c>
      <c r="K301">
        <v>2</v>
      </c>
      <c r="L301">
        <v>6</v>
      </c>
      <c r="M301">
        <v>0</v>
      </c>
    </row>
    <row r="302" spans="1:13" x14ac:dyDescent="0.3">
      <c r="A302">
        <v>13</v>
      </c>
      <c r="B302" t="s">
        <v>13</v>
      </c>
      <c r="C302">
        <v>7.8</v>
      </c>
      <c r="D302" t="s">
        <v>14</v>
      </c>
      <c r="E302">
        <v>5</v>
      </c>
      <c r="F302">
        <v>1.8</v>
      </c>
      <c r="G302">
        <v>3.57</v>
      </c>
      <c r="H302">
        <v>1.5</v>
      </c>
      <c r="I302" t="s">
        <v>19</v>
      </c>
      <c r="J302">
        <v>8</v>
      </c>
      <c r="K302">
        <v>10</v>
      </c>
      <c r="L302">
        <v>3</v>
      </c>
      <c r="M302">
        <v>1</v>
      </c>
    </row>
    <row r="303" spans="1:13" x14ac:dyDescent="0.3">
      <c r="A303">
        <v>14</v>
      </c>
      <c r="B303" t="s">
        <v>16</v>
      </c>
      <c r="C303">
        <v>6.9</v>
      </c>
      <c r="D303" t="s">
        <v>17</v>
      </c>
      <c r="E303">
        <v>6.4</v>
      </c>
      <c r="F303">
        <v>0.9</v>
      </c>
      <c r="G303">
        <v>2.04</v>
      </c>
      <c r="H303">
        <v>1.3</v>
      </c>
      <c r="I303" t="s">
        <v>19</v>
      </c>
      <c r="J303">
        <v>5</v>
      </c>
      <c r="K303">
        <v>5</v>
      </c>
      <c r="L303">
        <v>9</v>
      </c>
      <c r="M303">
        <v>0</v>
      </c>
    </row>
    <row r="304" spans="1:13" x14ac:dyDescent="0.3">
      <c r="A304">
        <v>14</v>
      </c>
      <c r="B304" t="s">
        <v>16</v>
      </c>
      <c r="C304">
        <v>4.8</v>
      </c>
      <c r="D304" t="s">
        <v>14</v>
      </c>
      <c r="E304">
        <v>6.8</v>
      </c>
      <c r="F304">
        <v>0.8</v>
      </c>
      <c r="G304">
        <v>3</v>
      </c>
      <c r="H304">
        <v>0.9</v>
      </c>
      <c r="I304" t="s">
        <v>15</v>
      </c>
      <c r="J304">
        <v>4</v>
      </c>
      <c r="K304">
        <v>3</v>
      </c>
      <c r="L304">
        <v>4</v>
      </c>
      <c r="M304">
        <v>0</v>
      </c>
    </row>
    <row r="305" spans="1:13" x14ac:dyDescent="0.3">
      <c r="A305">
        <v>13</v>
      </c>
      <c r="B305" t="s">
        <v>13</v>
      </c>
      <c r="C305">
        <v>7.5</v>
      </c>
      <c r="D305" t="s">
        <v>14</v>
      </c>
      <c r="E305">
        <v>8.6</v>
      </c>
      <c r="F305">
        <v>1.9</v>
      </c>
      <c r="G305">
        <v>3.33</v>
      </c>
      <c r="H305">
        <v>0.9</v>
      </c>
      <c r="I305" t="s">
        <v>19</v>
      </c>
      <c r="J305">
        <v>7</v>
      </c>
      <c r="K305">
        <v>3</v>
      </c>
      <c r="L305">
        <v>10</v>
      </c>
      <c r="M305">
        <v>0</v>
      </c>
    </row>
    <row r="306" spans="1:13" x14ac:dyDescent="0.3">
      <c r="A306">
        <v>15</v>
      </c>
      <c r="B306" t="s">
        <v>16</v>
      </c>
      <c r="C306">
        <v>6.7</v>
      </c>
      <c r="D306" t="s">
        <v>14</v>
      </c>
      <c r="E306">
        <v>7</v>
      </c>
      <c r="F306">
        <v>2.2000000000000002</v>
      </c>
      <c r="G306">
        <v>2.61</v>
      </c>
      <c r="H306">
        <v>0.7</v>
      </c>
      <c r="I306" t="s">
        <v>18</v>
      </c>
      <c r="J306">
        <v>2</v>
      </c>
      <c r="K306">
        <v>7</v>
      </c>
      <c r="L306">
        <v>8</v>
      </c>
      <c r="M306">
        <v>0</v>
      </c>
    </row>
    <row r="307" spans="1:13" x14ac:dyDescent="0.3">
      <c r="A307">
        <v>14</v>
      </c>
      <c r="B307" t="s">
        <v>13</v>
      </c>
      <c r="C307">
        <v>3.8</v>
      </c>
      <c r="D307" t="s">
        <v>14</v>
      </c>
      <c r="E307">
        <v>4.8</v>
      </c>
      <c r="F307">
        <v>1.9</v>
      </c>
      <c r="G307">
        <v>3.97</v>
      </c>
      <c r="H307">
        <v>0.2</v>
      </c>
      <c r="I307" t="s">
        <v>18</v>
      </c>
      <c r="J307">
        <v>4</v>
      </c>
      <c r="K307">
        <v>6</v>
      </c>
      <c r="L307">
        <v>6</v>
      </c>
      <c r="M307">
        <v>0</v>
      </c>
    </row>
    <row r="308" spans="1:13" x14ac:dyDescent="0.3">
      <c r="A308">
        <v>15</v>
      </c>
      <c r="B308" t="s">
        <v>13</v>
      </c>
      <c r="C308">
        <v>3</v>
      </c>
      <c r="D308" t="s">
        <v>14</v>
      </c>
      <c r="E308">
        <v>8.6</v>
      </c>
      <c r="F308">
        <v>1.5</v>
      </c>
      <c r="G308">
        <v>3.27</v>
      </c>
      <c r="H308">
        <v>0.8</v>
      </c>
      <c r="I308" t="s">
        <v>19</v>
      </c>
      <c r="J308">
        <v>10</v>
      </c>
      <c r="K308">
        <v>10</v>
      </c>
      <c r="L308">
        <v>4</v>
      </c>
      <c r="M308">
        <v>0</v>
      </c>
    </row>
    <row r="309" spans="1:13" x14ac:dyDescent="0.3">
      <c r="A309">
        <v>17</v>
      </c>
      <c r="B309" t="s">
        <v>13</v>
      </c>
      <c r="C309">
        <v>7.8</v>
      </c>
      <c r="D309" t="s">
        <v>17</v>
      </c>
      <c r="E309">
        <v>7.1</v>
      </c>
      <c r="F309">
        <v>0.8</v>
      </c>
      <c r="G309">
        <v>2.79</v>
      </c>
      <c r="H309">
        <v>1.4</v>
      </c>
      <c r="I309" t="s">
        <v>19</v>
      </c>
      <c r="J309">
        <v>9</v>
      </c>
      <c r="K309">
        <v>4</v>
      </c>
      <c r="L309">
        <v>2</v>
      </c>
      <c r="M309">
        <v>0</v>
      </c>
    </row>
    <row r="310" spans="1:13" x14ac:dyDescent="0.3">
      <c r="A310">
        <v>14</v>
      </c>
      <c r="B310" t="s">
        <v>16</v>
      </c>
      <c r="C310">
        <v>7.8</v>
      </c>
      <c r="D310" t="s">
        <v>14</v>
      </c>
      <c r="E310">
        <v>4.3</v>
      </c>
      <c r="F310">
        <v>2.6</v>
      </c>
      <c r="G310">
        <v>3.33</v>
      </c>
      <c r="H310">
        <v>2</v>
      </c>
      <c r="I310" t="s">
        <v>18</v>
      </c>
      <c r="J310">
        <v>3</v>
      </c>
      <c r="K310">
        <v>7</v>
      </c>
      <c r="L310">
        <v>3</v>
      </c>
      <c r="M310">
        <v>0</v>
      </c>
    </row>
    <row r="311" spans="1:13" x14ac:dyDescent="0.3">
      <c r="A311">
        <v>15</v>
      </c>
      <c r="B311" t="s">
        <v>16</v>
      </c>
      <c r="C311">
        <v>6.6</v>
      </c>
      <c r="D311" t="s">
        <v>17</v>
      </c>
      <c r="E311">
        <v>9</v>
      </c>
      <c r="F311">
        <v>1.5</v>
      </c>
      <c r="G311">
        <v>3.04</v>
      </c>
      <c r="H311">
        <v>1.5</v>
      </c>
      <c r="I311" t="s">
        <v>15</v>
      </c>
      <c r="J311">
        <v>4</v>
      </c>
      <c r="K311">
        <v>2</v>
      </c>
      <c r="L311">
        <v>7</v>
      </c>
      <c r="M311">
        <v>0</v>
      </c>
    </row>
    <row r="312" spans="1:13" x14ac:dyDescent="0.3">
      <c r="A312">
        <v>13</v>
      </c>
      <c r="B312" t="s">
        <v>16</v>
      </c>
      <c r="C312">
        <v>7.3</v>
      </c>
      <c r="D312" t="s">
        <v>14</v>
      </c>
      <c r="E312">
        <v>6.4</v>
      </c>
      <c r="F312">
        <v>2.2999999999999998</v>
      </c>
      <c r="G312">
        <v>2.5299999999999998</v>
      </c>
      <c r="H312">
        <v>0.7</v>
      </c>
      <c r="I312" t="s">
        <v>15</v>
      </c>
      <c r="J312">
        <v>9</v>
      </c>
      <c r="K312">
        <v>9</v>
      </c>
      <c r="L312">
        <v>4</v>
      </c>
      <c r="M312">
        <v>0</v>
      </c>
    </row>
    <row r="313" spans="1:13" x14ac:dyDescent="0.3">
      <c r="A313">
        <v>19</v>
      </c>
      <c r="B313" t="s">
        <v>13</v>
      </c>
      <c r="C313">
        <v>6.6</v>
      </c>
      <c r="D313" t="s">
        <v>14</v>
      </c>
      <c r="E313">
        <v>4.4000000000000004</v>
      </c>
      <c r="F313">
        <v>1.1000000000000001</v>
      </c>
      <c r="G313">
        <v>2.29</v>
      </c>
      <c r="H313">
        <v>1</v>
      </c>
      <c r="I313" t="s">
        <v>15</v>
      </c>
      <c r="J313">
        <v>6</v>
      </c>
      <c r="K313">
        <v>8</v>
      </c>
      <c r="L313">
        <v>5</v>
      </c>
      <c r="M313">
        <v>0</v>
      </c>
    </row>
    <row r="314" spans="1:13" x14ac:dyDescent="0.3">
      <c r="A314">
        <v>19</v>
      </c>
      <c r="B314" t="s">
        <v>16</v>
      </c>
      <c r="C314">
        <v>5.6</v>
      </c>
      <c r="D314" t="s">
        <v>17</v>
      </c>
      <c r="E314">
        <v>8.1</v>
      </c>
      <c r="F314">
        <v>3</v>
      </c>
      <c r="G314">
        <v>2.75</v>
      </c>
      <c r="H314">
        <v>0.7</v>
      </c>
      <c r="I314" t="s">
        <v>19</v>
      </c>
      <c r="J314">
        <v>6</v>
      </c>
      <c r="K314">
        <v>3</v>
      </c>
      <c r="L314">
        <v>4</v>
      </c>
      <c r="M314">
        <v>0</v>
      </c>
    </row>
    <row r="315" spans="1:13" x14ac:dyDescent="0.3">
      <c r="A315">
        <v>13</v>
      </c>
      <c r="B315" t="s">
        <v>16</v>
      </c>
      <c r="C315">
        <v>8</v>
      </c>
      <c r="D315" t="s">
        <v>14</v>
      </c>
      <c r="E315">
        <v>5.4</v>
      </c>
      <c r="F315">
        <v>2.8</v>
      </c>
      <c r="G315">
        <v>3.1</v>
      </c>
      <c r="H315">
        <v>1.9</v>
      </c>
      <c r="I315" t="s">
        <v>18</v>
      </c>
      <c r="J315">
        <v>6</v>
      </c>
      <c r="K315">
        <v>10</v>
      </c>
      <c r="L315">
        <v>10</v>
      </c>
      <c r="M315">
        <v>0</v>
      </c>
    </row>
    <row r="316" spans="1:13" x14ac:dyDescent="0.3">
      <c r="A316">
        <v>13</v>
      </c>
      <c r="B316" t="s">
        <v>16</v>
      </c>
      <c r="C316">
        <v>1.3</v>
      </c>
      <c r="D316" t="s">
        <v>14</v>
      </c>
      <c r="E316">
        <v>8.9</v>
      </c>
      <c r="F316">
        <v>2.6</v>
      </c>
      <c r="G316">
        <v>3.54</v>
      </c>
      <c r="H316">
        <v>1.2</v>
      </c>
      <c r="I316" t="s">
        <v>18</v>
      </c>
      <c r="J316">
        <v>8</v>
      </c>
      <c r="K316">
        <v>5</v>
      </c>
      <c r="L316">
        <v>2</v>
      </c>
      <c r="M316">
        <v>0</v>
      </c>
    </row>
    <row r="317" spans="1:13" x14ac:dyDescent="0.3">
      <c r="A317">
        <v>15</v>
      </c>
      <c r="B317" t="s">
        <v>16</v>
      </c>
      <c r="C317">
        <v>5.9</v>
      </c>
      <c r="D317" t="s">
        <v>20</v>
      </c>
      <c r="E317">
        <v>6.9</v>
      </c>
      <c r="F317">
        <v>1.4</v>
      </c>
      <c r="G317">
        <v>3.62</v>
      </c>
      <c r="H317">
        <v>1.5</v>
      </c>
      <c r="I317" t="s">
        <v>19</v>
      </c>
      <c r="J317">
        <v>3</v>
      </c>
      <c r="K317">
        <v>9</v>
      </c>
      <c r="L317">
        <v>1</v>
      </c>
      <c r="M317">
        <v>0</v>
      </c>
    </row>
    <row r="318" spans="1:13" x14ac:dyDescent="0.3">
      <c r="A318">
        <v>14</v>
      </c>
      <c r="B318" t="s">
        <v>16</v>
      </c>
      <c r="C318">
        <v>2</v>
      </c>
      <c r="D318" t="s">
        <v>14</v>
      </c>
      <c r="E318">
        <v>8.8000000000000007</v>
      </c>
      <c r="F318">
        <v>0.9</v>
      </c>
      <c r="G318">
        <v>3.61</v>
      </c>
      <c r="H318">
        <v>0.7</v>
      </c>
      <c r="I318" t="s">
        <v>18</v>
      </c>
      <c r="J318">
        <v>10</v>
      </c>
      <c r="K318">
        <v>2</v>
      </c>
      <c r="L318">
        <v>3</v>
      </c>
      <c r="M318">
        <v>0</v>
      </c>
    </row>
    <row r="319" spans="1:13" x14ac:dyDescent="0.3">
      <c r="A319">
        <v>19</v>
      </c>
      <c r="B319" t="s">
        <v>16</v>
      </c>
      <c r="C319">
        <v>1.4</v>
      </c>
      <c r="D319" t="s">
        <v>14</v>
      </c>
      <c r="E319">
        <v>6.6</v>
      </c>
      <c r="F319">
        <v>1.8</v>
      </c>
      <c r="G319">
        <v>3.07</v>
      </c>
      <c r="H319">
        <v>0</v>
      </c>
      <c r="I319" t="s">
        <v>15</v>
      </c>
      <c r="J319">
        <v>5</v>
      </c>
      <c r="K319">
        <v>2</v>
      </c>
      <c r="L319">
        <v>6</v>
      </c>
      <c r="M319">
        <v>0</v>
      </c>
    </row>
    <row r="320" spans="1:13" x14ac:dyDescent="0.3">
      <c r="A320">
        <v>13</v>
      </c>
      <c r="B320" t="s">
        <v>16</v>
      </c>
      <c r="C320">
        <v>6.4</v>
      </c>
      <c r="D320" t="s">
        <v>20</v>
      </c>
      <c r="E320">
        <v>6.7</v>
      </c>
      <c r="F320">
        <v>0.8</v>
      </c>
      <c r="G320">
        <v>3.9</v>
      </c>
      <c r="H320">
        <v>1.9</v>
      </c>
      <c r="I320" t="s">
        <v>18</v>
      </c>
      <c r="J320">
        <v>3</v>
      </c>
      <c r="K320">
        <v>3</v>
      </c>
      <c r="L320">
        <v>10</v>
      </c>
      <c r="M320">
        <v>0</v>
      </c>
    </row>
    <row r="321" spans="1:13" x14ac:dyDescent="0.3">
      <c r="A321">
        <v>15</v>
      </c>
      <c r="B321" t="s">
        <v>13</v>
      </c>
      <c r="C321">
        <v>7.6</v>
      </c>
      <c r="D321" t="s">
        <v>17</v>
      </c>
      <c r="E321">
        <v>7.9</v>
      </c>
      <c r="F321">
        <v>0.8</v>
      </c>
      <c r="G321">
        <v>3.55</v>
      </c>
      <c r="H321">
        <v>1.9</v>
      </c>
      <c r="I321" t="s">
        <v>18</v>
      </c>
      <c r="J321">
        <v>10</v>
      </c>
      <c r="K321">
        <v>8</v>
      </c>
      <c r="L321">
        <v>6</v>
      </c>
      <c r="M321">
        <v>0</v>
      </c>
    </row>
    <row r="322" spans="1:13" x14ac:dyDescent="0.3">
      <c r="A322">
        <v>16</v>
      </c>
      <c r="B322" t="s">
        <v>13</v>
      </c>
      <c r="C322">
        <v>7.9</v>
      </c>
      <c r="D322" t="s">
        <v>20</v>
      </c>
      <c r="E322">
        <v>5.5</v>
      </c>
      <c r="F322">
        <v>0.6</v>
      </c>
      <c r="G322">
        <v>3.65</v>
      </c>
      <c r="H322">
        <v>1.4</v>
      </c>
      <c r="I322" t="s">
        <v>15</v>
      </c>
      <c r="J322">
        <v>1</v>
      </c>
      <c r="K322">
        <v>4</v>
      </c>
      <c r="L322">
        <v>1</v>
      </c>
      <c r="M322">
        <v>0</v>
      </c>
    </row>
    <row r="323" spans="1:13" x14ac:dyDescent="0.3">
      <c r="A323">
        <v>15</v>
      </c>
      <c r="B323" t="s">
        <v>13</v>
      </c>
      <c r="C323">
        <v>5.0999999999999996</v>
      </c>
      <c r="D323" t="s">
        <v>14</v>
      </c>
      <c r="E323">
        <v>4.0999999999999996</v>
      </c>
      <c r="F323">
        <v>2.8</v>
      </c>
      <c r="G323">
        <v>3.79</v>
      </c>
      <c r="H323">
        <v>0.8</v>
      </c>
      <c r="I323" t="s">
        <v>19</v>
      </c>
      <c r="J323">
        <v>9</v>
      </c>
      <c r="K323">
        <v>7</v>
      </c>
      <c r="L323">
        <v>3</v>
      </c>
      <c r="M323">
        <v>1</v>
      </c>
    </row>
    <row r="324" spans="1:13" x14ac:dyDescent="0.3">
      <c r="A324">
        <v>18</v>
      </c>
      <c r="B324" t="s">
        <v>13</v>
      </c>
      <c r="C324">
        <v>6.4</v>
      </c>
      <c r="D324" t="s">
        <v>17</v>
      </c>
      <c r="E324">
        <v>7.4</v>
      </c>
      <c r="F324">
        <v>1.5</v>
      </c>
      <c r="G324">
        <v>2.92</v>
      </c>
      <c r="H324">
        <v>0.6</v>
      </c>
      <c r="I324" t="s">
        <v>15</v>
      </c>
      <c r="J324">
        <v>9</v>
      </c>
      <c r="K324">
        <v>2</v>
      </c>
      <c r="L324">
        <v>5</v>
      </c>
      <c r="M324">
        <v>0</v>
      </c>
    </row>
    <row r="325" spans="1:13" x14ac:dyDescent="0.3">
      <c r="A325">
        <v>13</v>
      </c>
      <c r="B325" t="s">
        <v>16</v>
      </c>
      <c r="C325">
        <v>7.2</v>
      </c>
      <c r="D325" t="s">
        <v>20</v>
      </c>
      <c r="E325">
        <v>6.7</v>
      </c>
      <c r="F325">
        <v>0.9</v>
      </c>
      <c r="G325">
        <v>2.36</v>
      </c>
      <c r="H325">
        <v>0.6</v>
      </c>
      <c r="I325" t="s">
        <v>15</v>
      </c>
      <c r="J325">
        <v>8</v>
      </c>
      <c r="K325">
        <v>8</v>
      </c>
      <c r="L325">
        <v>1</v>
      </c>
      <c r="M325">
        <v>0</v>
      </c>
    </row>
    <row r="326" spans="1:13" x14ac:dyDescent="0.3">
      <c r="A326">
        <v>18</v>
      </c>
      <c r="B326" t="s">
        <v>16</v>
      </c>
      <c r="C326">
        <v>2.9</v>
      </c>
      <c r="D326" t="s">
        <v>20</v>
      </c>
      <c r="E326">
        <v>4.5999999999999996</v>
      </c>
      <c r="F326">
        <v>2.2999999999999998</v>
      </c>
      <c r="G326">
        <v>3.03</v>
      </c>
      <c r="H326">
        <v>0.3</v>
      </c>
      <c r="I326" t="s">
        <v>15</v>
      </c>
      <c r="J326">
        <v>6</v>
      </c>
      <c r="K326">
        <v>1</v>
      </c>
      <c r="L326">
        <v>9</v>
      </c>
      <c r="M326">
        <v>0</v>
      </c>
    </row>
    <row r="327" spans="1:13" x14ac:dyDescent="0.3">
      <c r="A327">
        <v>19</v>
      </c>
      <c r="B327" t="s">
        <v>13</v>
      </c>
      <c r="C327">
        <v>1.5</v>
      </c>
      <c r="D327" t="s">
        <v>14</v>
      </c>
      <c r="E327">
        <v>7.3</v>
      </c>
      <c r="F327">
        <v>2.7</v>
      </c>
      <c r="G327">
        <v>2.61</v>
      </c>
      <c r="H327">
        <v>0.9</v>
      </c>
      <c r="I327" t="s">
        <v>15</v>
      </c>
      <c r="J327">
        <v>5</v>
      </c>
      <c r="K327">
        <v>7</v>
      </c>
      <c r="L327">
        <v>10</v>
      </c>
      <c r="M327">
        <v>0</v>
      </c>
    </row>
    <row r="328" spans="1:13" x14ac:dyDescent="0.3">
      <c r="A328">
        <v>14</v>
      </c>
      <c r="B328" t="s">
        <v>13</v>
      </c>
      <c r="C328">
        <v>5.4</v>
      </c>
      <c r="D328" t="s">
        <v>20</v>
      </c>
      <c r="E328">
        <v>8.1</v>
      </c>
      <c r="F328">
        <v>1.8</v>
      </c>
      <c r="G328">
        <v>2.5299999999999998</v>
      </c>
      <c r="H328">
        <v>0.9</v>
      </c>
      <c r="I328" t="s">
        <v>19</v>
      </c>
      <c r="J328">
        <v>5</v>
      </c>
      <c r="K328">
        <v>8</v>
      </c>
      <c r="L328">
        <v>8</v>
      </c>
      <c r="M328">
        <v>0</v>
      </c>
    </row>
    <row r="329" spans="1:13" x14ac:dyDescent="0.3">
      <c r="A329">
        <v>13</v>
      </c>
      <c r="B329" t="s">
        <v>13</v>
      </c>
      <c r="C329">
        <v>7.2</v>
      </c>
      <c r="D329" t="s">
        <v>17</v>
      </c>
      <c r="E329">
        <v>4.0999999999999996</v>
      </c>
      <c r="F329">
        <v>1.3</v>
      </c>
      <c r="G329">
        <v>2.4900000000000002</v>
      </c>
      <c r="H329">
        <v>1.8</v>
      </c>
      <c r="I329" t="s">
        <v>19</v>
      </c>
      <c r="J329">
        <v>5</v>
      </c>
      <c r="K329">
        <v>5</v>
      </c>
      <c r="L329">
        <v>4</v>
      </c>
      <c r="M329">
        <v>0</v>
      </c>
    </row>
    <row r="330" spans="1:13" x14ac:dyDescent="0.3">
      <c r="A330">
        <v>15</v>
      </c>
      <c r="B330" t="s">
        <v>16</v>
      </c>
      <c r="C330">
        <v>7</v>
      </c>
      <c r="D330" t="s">
        <v>14</v>
      </c>
      <c r="E330">
        <v>5.9</v>
      </c>
      <c r="F330">
        <v>1.3</v>
      </c>
      <c r="G330">
        <v>2.91</v>
      </c>
      <c r="H330">
        <v>1.2</v>
      </c>
      <c r="I330" t="s">
        <v>15</v>
      </c>
      <c r="J330">
        <v>10</v>
      </c>
      <c r="K330">
        <v>2</v>
      </c>
      <c r="L330">
        <v>6</v>
      </c>
      <c r="M330">
        <v>0</v>
      </c>
    </row>
    <row r="331" spans="1:13" x14ac:dyDescent="0.3">
      <c r="A331">
        <v>17</v>
      </c>
      <c r="B331" t="s">
        <v>16</v>
      </c>
      <c r="C331">
        <v>7.5</v>
      </c>
      <c r="D331" t="s">
        <v>17</v>
      </c>
      <c r="E331">
        <v>6.7</v>
      </c>
      <c r="F331">
        <v>1.1000000000000001</v>
      </c>
      <c r="G331">
        <v>3.77</v>
      </c>
      <c r="H331">
        <v>0.6</v>
      </c>
      <c r="I331" t="s">
        <v>18</v>
      </c>
      <c r="J331">
        <v>3</v>
      </c>
      <c r="K331">
        <v>8</v>
      </c>
      <c r="L331">
        <v>6</v>
      </c>
      <c r="M331">
        <v>0</v>
      </c>
    </row>
    <row r="332" spans="1:13" x14ac:dyDescent="0.3">
      <c r="A332">
        <v>14</v>
      </c>
      <c r="B332" t="s">
        <v>13</v>
      </c>
      <c r="C332">
        <v>1.4</v>
      </c>
      <c r="D332" t="s">
        <v>20</v>
      </c>
      <c r="E332">
        <v>7</v>
      </c>
      <c r="F332">
        <v>1.8</v>
      </c>
      <c r="G332">
        <v>2.69</v>
      </c>
      <c r="H332">
        <v>0.9</v>
      </c>
      <c r="I332" t="s">
        <v>15</v>
      </c>
      <c r="J332">
        <v>10</v>
      </c>
      <c r="K332">
        <v>4</v>
      </c>
      <c r="L332">
        <v>2</v>
      </c>
      <c r="M332">
        <v>0</v>
      </c>
    </row>
    <row r="333" spans="1:13" x14ac:dyDescent="0.3">
      <c r="A333">
        <v>16</v>
      </c>
      <c r="B333" t="s">
        <v>16</v>
      </c>
      <c r="C333">
        <v>6.1</v>
      </c>
      <c r="D333" t="s">
        <v>14</v>
      </c>
      <c r="E333">
        <v>8.1</v>
      </c>
      <c r="F333">
        <v>1.4</v>
      </c>
      <c r="G333">
        <v>3.27</v>
      </c>
      <c r="H333">
        <v>1.6</v>
      </c>
      <c r="I333" t="s">
        <v>15</v>
      </c>
      <c r="J333">
        <v>10</v>
      </c>
      <c r="K333">
        <v>1</v>
      </c>
      <c r="L333">
        <v>4</v>
      </c>
      <c r="M333">
        <v>0</v>
      </c>
    </row>
    <row r="334" spans="1:13" x14ac:dyDescent="0.3">
      <c r="A334">
        <v>16</v>
      </c>
      <c r="B334" t="s">
        <v>16</v>
      </c>
      <c r="C334">
        <v>1.4</v>
      </c>
      <c r="D334" t="s">
        <v>20</v>
      </c>
      <c r="E334">
        <v>5.2</v>
      </c>
      <c r="F334">
        <v>1.7</v>
      </c>
      <c r="G334">
        <v>3.82</v>
      </c>
      <c r="H334">
        <v>0.7</v>
      </c>
      <c r="I334" t="s">
        <v>15</v>
      </c>
      <c r="J334">
        <v>10</v>
      </c>
      <c r="K334">
        <v>4</v>
      </c>
      <c r="L334">
        <v>3</v>
      </c>
      <c r="M334">
        <v>0</v>
      </c>
    </row>
    <row r="335" spans="1:13" x14ac:dyDescent="0.3">
      <c r="A335">
        <v>13</v>
      </c>
      <c r="B335" t="s">
        <v>13</v>
      </c>
      <c r="C335">
        <v>5.4</v>
      </c>
      <c r="D335" t="s">
        <v>14</v>
      </c>
      <c r="E335">
        <v>4.0999999999999996</v>
      </c>
      <c r="F335">
        <v>2</v>
      </c>
      <c r="G335">
        <v>3.82</v>
      </c>
      <c r="H335">
        <v>1.9</v>
      </c>
      <c r="I335" t="s">
        <v>19</v>
      </c>
      <c r="J335">
        <v>6</v>
      </c>
      <c r="K335">
        <v>10</v>
      </c>
      <c r="L335">
        <v>8</v>
      </c>
      <c r="M335">
        <v>0</v>
      </c>
    </row>
    <row r="336" spans="1:13" x14ac:dyDescent="0.3">
      <c r="A336">
        <v>13</v>
      </c>
      <c r="B336" t="s">
        <v>16</v>
      </c>
      <c r="C336">
        <v>2.1</v>
      </c>
      <c r="D336" t="s">
        <v>14</v>
      </c>
      <c r="E336">
        <v>8.1999999999999993</v>
      </c>
      <c r="F336">
        <v>0.9</v>
      </c>
      <c r="G336">
        <v>2.48</v>
      </c>
      <c r="H336">
        <v>0.5</v>
      </c>
      <c r="I336" t="s">
        <v>18</v>
      </c>
      <c r="J336">
        <v>2</v>
      </c>
      <c r="K336">
        <v>7</v>
      </c>
      <c r="L336">
        <v>6</v>
      </c>
      <c r="M336">
        <v>0</v>
      </c>
    </row>
    <row r="337" spans="1:13" x14ac:dyDescent="0.3">
      <c r="A337">
        <v>14</v>
      </c>
      <c r="B337" t="s">
        <v>13</v>
      </c>
      <c r="C337">
        <v>5</v>
      </c>
      <c r="D337" t="s">
        <v>20</v>
      </c>
      <c r="E337">
        <v>4.3</v>
      </c>
      <c r="F337">
        <v>1.1000000000000001</v>
      </c>
      <c r="G337">
        <v>3.8</v>
      </c>
      <c r="H337">
        <v>0.4</v>
      </c>
      <c r="I337" t="s">
        <v>19</v>
      </c>
      <c r="J337">
        <v>9</v>
      </c>
      <c r="K337">
        <v>4</v>
      </c>
      <c r="L337">
        <v>10</v>
      </c>
      <c r="M337">
        <v>0</v>
      </c>
    </row>
    <row r="338" spans="1:13" x14ac:dyDescent="0.3">
      <c r="A338">
        <v>13</v>
      </c>
      <c r="B338" t="s">
        <v>16</v>
      </c>
      <c r="C338">
        <v>4.4000000000000004</v>
      </c>
      <c r="D338" t="s">
        <v>14</v>
      </c>
      <c r="E338">
        <v>4.3</v>
      </c>
      <c r="F338">
        <v>1.9</v>
      </c>
      <c r="G338">
        <v>3.51</v>
      </c>
      <c r="H338">
        <v>0.9</v>
      </c>
      <c r="I338" t="s">
        <v>19</v>
      </c>
      <c r="J338">
        <v>8</v>
      </c>
      <c r="K338">
        <v>4</v>
      </c>
      <c r="L338">
        <v>3</v>
      </c>
      <c r="M338">
        <v>0</v>
      </c>
    </row>
    <row r="339" spans="1:13" x14ac:dyDescent="0.3">
      <c r="A339">
        <v>13</v>
      </c>
      <c r="B339" t="s">
        <v>13</v>
      </c>
      <c r="C339">
        <v>3.4</v>
      </c>
      <c r="D339" t="s">
        <v>20</v>
      </c>
      <c r="E339">
        <v>8.6</v>
      </c>
      <c r="F339">
        <v>0.8</v>
      </c>
      <c r="G339">
        <v>3.08</v>
      </c>
      <c r="H339">
        <v>0.4</v>
      </c>
      <c r="I339" t="s">
        <v>15</v>
      </c>
      <c r="J339">
        <v>7</v>
      </c>
      <c r="K339">
        <v>10</v>
      </c>
      <c r="L339">
        <v>6</v>
      </c>
      <c r="M339">
        <v>0</v>
      </c>
    </row>
    <row r="340" spans="1:13" x14ac:dyDescent="0.3">
      <c r="A340">
        <v>18</v>
      </c>
      <c r="B340" t="s">
        <v>13</v>
      </c>
      <c r="C340">
        <v>1.2</v>
      </c>
      <c r="D340" t="s">
        <v>14</v>
      </c>
      <c r="E340">
        <v>6.4</v>
      </c>
      <c r="F340">
        <v>1.3</v>
      </c>
      <c r="G340">
        <v>3.03</v>
      </c>
      <c r="H340">
        <v>1</v>
      </c>
      <c r="I340" t="s">
        <v>15</v>
      </c>
      <c r="J340">
        <v>5</v>
      </c>
      <c r="K340">
        <v>9</v>
      </c>
      <c r="L340">
        <v>10</v>
      </c>
      <c r="M340">
        <v>0</v>
      </c>
    </row>
    <row r="341" spans="1:13" x14ac:dyDescent="0.3">
      <c r="A341">
        <v>14</v>
      </c>
      <c r="B341" t="s">
        <v>13</v>
      </c>
      <c r="C341">
        <v>5.5</v>
      </c>
      <c r="D341" t="s">
        <v>17</v>
      </c>
      <c r="E341">
        <v>7.3</v>
      </c>
      <c r="F341">
        <v>1.4</v>
      </c>
      <c r="G341">
        <v>2.61</v>
      </c>
      <c r="H341">
        <v>1.2</v>
      </c>
      <c r="I341" t="s">
        <v>18</v>
      </c>
      <c r="J341">
        <v>5</v>
      </c>
      <c r="K341">
        <v>7</v>
      </c>
      <c r="L341">
        <v>1</v>
      </c>
      <c r="M341">
        <v>0</v>
      </c>
    </row>
    <row r="342" spans="1:13" x14ac:dyDescent="0.3">
      <c r="A342">
        <v>15</v>
      </c>
      <c r="B342" t="s">
        <v>13</v>
      </c>
      <c r="C342">
        <v>2.2999999999999998</v>
      </c>
      <c r="D342" t="s">
        <v>20</v>
      </c>
      <c r="E342">
        <v>7.8</v>
      </c>
      <c r="F342">
        <v>3</v>
      </c>
      <c r="G342">
        <v>2.2999999999999998</v>
      </c>
      <c r="H342">
        <v>1.4</v>
      </c>
      <c r="I342" t="s">
        <v>19</v>
      </c>
      <c r="J342">
        <v>4</v>
      </c>
      <c r="K342">
        <v>9</v>
      </c>
      <c r="L342">
        <v>10</v>
      </c>
      <c r="M342">
        <v>0</v>
      </c>
    </row>
    <row r="343" spans="1:13" x14ac:dyDescent="0.3">
      <c r="A343">
        <v>13</v>
      </c>
      <c r="B343" t="s">
        <v>16</v>
      </c>
      <c r="C343">
        <v>1.4</v>
      </c>
      <c r="D343" t="s">
        <v>20</v>
      </c>
      <c r="E343">
        <v>7.4</v>
      </c>
      <c r="F343">
        <v>0.5</v>
      </c>
      <c r="G343">
        <v>2.3199999999999998</v>
      </c>
      <c r="H343">
        <v>1.3</v>
      </c>
      <c r="I343" t="s">
        <v>15</v>
      </c>
      <c r="J343">
        <v>3</v>
      </c>
      <c r="K343">
        <v>2</v>
      </c>
      <c r="L343">
        <v>6</v>
      </c>
      <c r="M343">
        <v>0</v>
      </c>
    </row>
    <row r="344" spans="1:13" x14ac:dyDescent="0.3">
      <c r="A344">
        <v>13</v>
      </c>
      <c r="B344" t="s">
        <v>16</v>
      </c>
      <c r="C344">
        <v>3</v>
      </c>
      <c r="D344" t="s">
        <v>14</v>
      </c>
      <c r="E344">
        <v>7</v>
      </c>
      <c r="F344">
        <v>0.9</v>
      </c>
      <c r="G344">
        <v>2.73</v>
      </c>
      <c r="H344">
        <v>1.7</v>
      </c>
      <c r="I344" t="s">
        <v>18</v>
      </c>
      <c r="J344">
        <v>5</v>
      </c>
      <c r="K344">
        <v>6</v>
      </c>
      <c r="L344">
        <v>9</v>
      </c>
      <c r="M344">
        <v>0</v>
      </c>
    </row>
    <row r="345" spans="1:13" x14ac:dyDescent="0.3">
      <c r="A345">
        <v>14</v>
      </c>
      <c r="B345" t="s">
        <v>13</v>
      </c>
      <c r="C345">
        <v>2.8</v>
      </c>
      <c r="D345" t="s">
        <v>14</v>
      </c>
      <c r="E345">
        <v>5</v>
      </c>
      <c r="F345">
        <v>2.5</v>
      </c>
      <c r="G345">
        <v>3.92</v>
      </c>
      <c r="H345">
        <v>1.8</v>
      </c>
      <c r="I345" t="s">
        <v>18</v>
      </c>
      <c r="J345">
        <v>1</v>
      </c>
      <c r="K345">
        <v>3</v>
      </c>
      <c r="L345">
        <v>4</v>
      </c>
      <c r="M345">
        <v>0</v>
      </c>
    </row>
    <row r="346" spans="1:13" x14ac:dyDescent="0.3">
      <c r="A346">
        <v>14</v>
      </c>
      <c r="B346" t="s">
        <v>13</v>
      </c>
      <c r="C346">
        <v>7</v>
      </c>
      <c r="D346" t="s">
        <v>17</v>
      </c>
      <c r="E346">
        <v>6.9</v>
      </c>
      <c r="F346">
        <v>1</v>
      </c>
      <c r="G346">
        <v>3.93</v>
      </c>
      <c r="H346">
        <v>1.1000000000000001</v>
      </c>
      <c r="I346" t="s">
        <v>18</v>
      </c>
      <c r="J346">
        <v>9</v>
      </c>
      <c r="K346">
        <v>3</v>
      </c>
      <c r="L346">
        <v>7</v>
      </c>
      <c r="M346">
        <v>0</v>
      </c>
    </row>
    <row r="347" spans="1:13" x14ac:dyDescent="0.3">
      <c r="A347">
        <v>13</v>
      </c>
      <c r="B347" t="s">
        <v>16</v>
      </c>
      <c r="C347">
        <v>1.6</v>
      </c>
      <c r="D347" t="s">
        <v>20</v>
      </c>
      <c r="E347">
        <v>8.4</v>
      </c>
      <c r="F347">
        <v>1.4</v>
      </c>
      <c r="G347">
        <v>3.47</v>
      </c>
      <c r="H347">
        <v>0.1</v>
      </c>
      <c r="I347" t="s">
        <v>19</v>
      </c>
      <c r="J347">
        <v>1</v>
      </c>
      <c r="K347">
        <v>6</v>
      </c>
      <c r="L347">
        <v>6</v>
      </c>
      <c r="M347">
        <v>0</v>
      </c>
    </row>
    <row r="348" spans="1:13" x14ac:dyDescent="0.3">
      <c r="A348">
        <v>15</v>
      </c>
      <c r="B348" t="s">
        <v>16</v>
      </c>
      <c r="C348">
        <v>4.2</v>
      </c>
      <c r="D348" t="s">
        <v>14</v>
      </c>
      <c r="E348">
        <v>8.4</v>
      </c>
      <c r="F348">
        <v>1.2</v>
      </c>
      <c r="G348">
        <v>2.61</v>
      </c>
      <c r="H348">
        <v>0</v>
      </c>
      <c r="I348" t="s">
        <v>19</v>
      </c>
      <c r="J348">
        <v>3</v>
      </c>
      <c r="K348">
        <v>10</v>
      </c>
      <c r="L348">
        <v>2</v>
      </c>
      <c r="M348">
        <v>0</v>
      </c>
    </row>
    <row r="349" spans="1:13" x14ac:dyDescent="0.3">
      <c r="A349">
        <v>17</v>
      </c>
      <c r="B349" t="s">
        <v>13</v>
      </c>
      <c r="C349">
        <v>4.9000000000000004</v>
      </c>
      <c r="D349" t="s">
        <v>14</v>
      </c>
      <c r="E349">
        <v>8.6</v>
      </c>
      <c r="F349">
        <v>3</v>
      </c>
      <c r="G349">
        <v>3.62</v>
      </c>
      <c r="H349">
        <v>1.2</v>
      </c>
      <c r="I349" t="s">
        <v>15</v>
      </c>
      <c r="J349">
        <v>6</v>
      </c>
      <c r="K349">
        <v>6</v>
      </c>
      <c r="L349">
        <v>9</v>
      </c>
      <c r="M349">
        <v>0</v>
      </c>
    </row>
    <row r="350" spans="1:13" x14ac:dyDescent="0.3">
      <c r="A350">
        <v>14</v>
      </c>
      <c r="B350" t="s">
        <v>16</v>
      </c>
      <c r="C350">
        <v>3.6</v>
      </c>
      <c r="D350" t="s">
        <v>14</v>
      </c>
      <c r="E350">
        <v>4.0999999999999996</v>
      </c>
      <c r="F350">
        <v>2.9</v>
      </c>
      <c r="G350">
        <v>2.83</v>
      </c>
      <c r="H350">
        <v>0.5</v>
      </c>
      <c r="I350" t="s">
        <v>19</v>
      </c>
      <c r="J350">
        <v>10</v>
      </c>
      <c r="K350">
        <v>6</v>
      </c>
      <c r="L350">
        <v>7</v>
      </c>
      <c r="M350">
        <v>0</v>
      </c>
    </row>
    <row r="351" spans="1:13" x14ac:dyDescent="0.3">
      <c r="A351">
        <v>19</v>
      </c>
      <c r="B351" t="s">
        <v>13</v>
      </c>
      <c r="C351">
        <v>1.8</v>
      </c>
      <c r="D351" t="s">
        <v>17</v>
      </c>
      <c r="E351">
        <v>6</v>
      </c>
      <c r="F351">
        <v>2.2999999999999998</v>
      </c>
      <c r="G351">
        <v>3.22</v>
      </c>
      <c r="H351">
        <v>1</v>
      </c>
      <c r="I351" t="s">
        <v>19</v>
      </c>
      <c r="J351">
        <v>5</v>
      </c>
      <c r="K351">
        <v>6</v>
      </c>
      <c r="L351">
        <v>8</v>
      </c>
      <c r="M351">
        <v>0</v>
      </c>
    </row>
    <row r="352" spans="1:13" x14ac:dyDescent="0.3">
      <c r="A352">
        <v>17</v>
      </c>
      <c r="B352" t="s">
        <v>16</v>
      </c>
      <c r="C352">
        <v>2.7</v>
      </c>
      <c r="D352" t="s">
        <v>14</v>
      </c>
      <c r="E352">
        <v>5.4</v>
      </c>
      <c r="F352">
        <v>2.6</v>
      </c>
      <c r="G352">
        <v>2.0699999999999998</v>
      </c>
      <c r="H352">
        <v>0</v>
      </c>
      <c r="I352" t="s">
        <v>19</v>
      </c>
      <c r="J352">
        <v>6</v>
      </c>
      <c r="K352">
        <v>5</v>
      </c>
      <c r="L352">
        <v>6</v>
      </c>
      <c r="M352">
        <v>0</v>
      </c>
    </row>
    <row r="353" spans="1:13" x14ac:dyDescent="0.3">
      <c r="A353">
        <v>15</v>
      </c>
      <c r="B353" t="s">
        <v>16</v>
      </c>
      <c r="C353">
        <v>1.2</v>
      </c>
      <c r="D353" t="s">
        <v>14</v>
      </c>
      <c r="E353">
        <v>5.2</v>
      </c>
      <c r="F353">
        <v>1</v>
      </c>
      <c r="G353">
        <v>2.78</v>
      </c>
      <c r="H353">
        <v>1.3</v>
      </c>
      <c r="I353" t="s">
        <v>18</v>
      </c>
      <c r="J353">
        <v>5</v>
      </c>
      <c r="K353">
        <v>8</v>
      </c>
      <c r="L353">
        <v>10</v>
      </c>
      <c r="M353">
        <v>0</v>
      </c>
    </row>
    <row r="354" spans="1:13" x14ac:dyDescent="0.3">
      <c r="A354">
        <v>18</v>
      </c>
      <c r="B354" t="s">
        <v>16</v>
      </c>
      <c r="C354">
        <v>6.2</v>
      </c>
      <c r="D354" t="s">
        <v>20</v>
      </c>
      <c r="E354">
        <v>6.7</v>
      </c>
      <c r="F354">
        <v>1.4</v>
      </c>
      <c r="G354">
        <v>3.42</v>
      </c>
      <c r="H354">
        <v>0.9</v>
      </c>
      <c r="I354" t="s">
        <v>15</v>
      </c>
      <c r="J354">
        <v>6</v>
      </c>
      <c r="K354">
        <v>8</v>
      </c>
      <c r="L354">
        <v>6</v>
      </c>
      <c r="M354">
        <v>0</v>
      </c>
    </row>
    <row r="355" spans="1:13" x14ac:dyDescent="0.3">
      <c r="A355">
        <v>18</v>
      </c>
      <c r="B355" t="s">
        <v>13</v>
      </c>
      <c r="C355">
        <v>1.6</v>
      </c>
      <c r="D355" t="s">
        <v>17</v>
      </c>
      <c r="E355">
        <v>6.2</v>
      </c>
      <c r="F355">
        <v>1.9</v>
      </c>
      <c r="G355">
        <v>2.0499999999999998</v>
      </c>
      <c r="H355">
        <v>0.3</v>
      </c>
      <c r="I355" t="s">
        <v>15</v>
      </c>
      <c r="J355">
        <v>8</v>
      </c>
      <c r="K355">
        <v>9</v>
      </c>
      <c r="L355">
        <v>9</v>
      </c>
      <c r="M355">
        <v>0</v>
      </c>
    </row>
    <row r="356" spans="1:13" x14ac:dyDescent="0.3">
      <c r="A356">
        <v>18</v>
      </c>
      <c r="B356" t="s">
        <v>16</v>
      </c>
      <c r="C356">
        <v>5.0999999999999996</v>
      </c>
      <c r="D356" t="s">
        <v>17</v>
      </c>
      <c r="E356">
        <v>7.4</v>
      </c>
      <c r="F356">
        <v>1.3</v>
      </c>
      <c r="G356">
        <v>3.5</v>
      </c>
      <c r="H356">
        <v>1.6</v>
      </c>
      <c r="I356" t="s">
        <v>18</v>
      </c>
      <c r="J356">
        <v>1</v>
      </c>
      <c r="K356">
        <v>5</v>
      </c>
      <c r="L356">
        <v>5</v>
      </c>
      <c r="M356">
        <v>0</v>
      </c>
    </row>
    <row r="357" spans="1:13" x14ac:dyDescent="0.3">
      <c r="A357">
        <v>13</v>
      </c>
      <c r="B357" t="s">
        <v>16</v>
      </c>
      <c r="C357">
        <v>5.2</v>
      </c>
      <c r="D357" t="s">
        <v>17</v>
      </c>
      <c r="E357">
        <v>8.1999999999999993</v>
      </c>
      <c r="F357">
        <v>2.8</v>
      </c>
      <c r="G357">
        <v>2.12</v>
      </c>
      <c r="H357">
        <v>1.4</v>
      </c>
      <c r="I357" t="s">
        <v>19</v>
      </c>
      <c r="J357">
        <v>1</v>
      </c>
      <c r="K357">
        <v>8</v>
      </c>
      <c r="L357">
        <v>1</v>
      </c>
      <c r="M357">
        <v>0</v>
      </c>
    </row>
    <row r="358" spans="1:13" x14ac:dyDescent="0.3">
      <c r="A358">
        <v>14</v>
      </c>
      <c r="B358" t="s">
        <v>13</v>
      </c>
      <c r="C358">
        <v>4.0999999999999996</v>
      </c>
      <c r="D358" t="s">
        <v>17</v>
      </c>
      <c r="E358">
        <v>5.0999999999999996</v>
      </c>
      <c r="F358">
        <v>2</v>
      </c>
      <c r="G358">
        <v>3.51</v>
      </c>
      <c r="H358">
        <v>0.7</v>
      </c>
      <c r="I358" t="s">
        <v>18</v>
      </c>
      <c r="J358">
        <v>2</v>
      </c>
      <c r="K358">
        <v>9</v>
      </c>
      <c r="L358">
        <v>1</v>
      </c>
      <c r="M358">
        <v>0</v>
      </c>
    </row>
    <row r="359" spans="1:13" x14ac:dyDescent="0.3">
      <c r="A359">
        <v>19</v>
      </c>
      <c r="B359" t="s">
        <v>16</v>
      </c>
      <c r="C359">
        <v>5.4</v>
      </c>
      <c r="D359" t="s">
        <v>17</v>
      </c>
      <c r="E359">
        <v>4.4000000000000004</v>
      </c>
      <c r="F359">
        <v>2.2999999999999998</v>
      </c>
      <c r="G359">
        <v>3.34</v>
      </c>
      <c r="H359">
        <v>0.4</v>
      </c>
      <c r="I359" t="s">
        <v>18</v>
      </c>
      <c r="J359">
        <v>3</v>
      </c>
      <c r="K359">
        <v>3</v>
      </c>
      <c r="L359">
        <v>8</v>
      </c>
      <c r="M359">
        <v>0</v>
      </c>
    </row>
    <row r="360" spans="1:13" x14ac:dyDescent="0.3">
      <c r="A360">
        <v>13</v>
      </c>
      <c r="B360" t="s">
        <v>13</v>
      </c>
      <c r="C360">
        <v>2.4</v>
      </c>
      <c r="D360" t="s">
        <v>17</v>
      </c>
      <c r="E360">
        <v>8.4</v>
      </c>
      <c r="F360">
        <v>1.6</v>
      </c>
      <c r="G360">
        <v>2.82</v>
      </c>
      <c r="H360">
        <v>1.1000000000000001</v>
      </c>
      <c r="I360" t="s">
        <v>15</v>
      </c>
      <c r="J360">
        <v>1</v>
      </c>
      <c r="K360">
        <v>3</v>
      </c>
      <c r="L360">
        <v>2</v>
      </c>
      <c r="M360">
        <v>0</v>
      </c>
    </row>
    <row r="361" spans="1:13" x14ac:dyDescent="0.3">
      <c r="A361">
        <v>18</v>
      </c>
      <c r="B361" t="s">
        <v>13</v>
      </c>
      <c r="C361">
        <v>1.7</v>
      </c>
      <c r="D361" t="s">
        <v>20</v>
      </c>
      <c r="E361">
        <v>5.6</v>
      </c>
      <c r="F361">
        <v>1.4</v>
      </c>
      <c r="G361">
        <v>2.85</v>
      </c>
      <c r="H361">
        <v>1</v>
      </c>
      <c r="I361" t="s">
        <v>18</v>
      </c>
      <c r="J361">
        <v>3</v>
      </c>
      <c r="K361">
        <v>3</v>
      </c>
      <c r="L361">
        <v>7</v>
      </c>
      <c r="M361">
        <v>0</v>
      </c>
    </row>
    <row r="362" spans="1:13" x14ac:dyDescent="0.3">
      <c r="A362">
        <v>18</v>
      </c>
      <c r="B362" t="s">
        <v>13</v>
      </c>
      <c r="C362">
        <v>6</v>
      </c>
      <c r="D362" t="s">
        <v>20</v>
      </c>
      <c r="E362">
        <v>6.1</v>
      </c>
      <c r="F362">
        <v>0.9</v>
      </c>
      <c r="G362">
        <v>2.68</v>
      </c>
      <c r="H362">
        <v>0.3</v>
      </c>
      <c r="I362" t="s">
        <v>19</v>
      </c>
      <c r="J362">
        <v>2</v>
      </c>
      <c r="K362">
        <v>10</v>
      </c>
      <c r="L362">
        <v>10</v>
      </c>
      <c r="M362">
        <v>0</v>
      </c>
    </row>
    <row r="363" spans="1:13" x14ac:dyDescent="0.3">
      <c r="A363">
        <v>17</v>
      </c>
      <c r="B363" t="s">
        <v>13</v>
      </c>
      <c r="C363">
        <v>7.2</v>
      </c>
      <c r="D363" t="s">
        <v>20</v>
      </c>
      <c r="E363">
        <v>6.1</v>
      </c>
      <c r="F363">
        <v>0.8</v>
      </c>
      <c r="G363">
        <v>3.9</v>
      </c>
      <c r="H363">
        <v>0.2</v>
      </c>
      <c r="I363" t="s">
        <v>15</v>
      </c>
      <c r="J363">
        <v>8</v>
      </c>
      <c r="K363">
        <v>3</v>
      </c>
      <c r="L363">
        <v>7</v>
      </c>
      <c r="M363">
        <v>0</v>
      </c>
    </row>
    <row r="364" spans="1:13" x14ac:dyDescent="0.3">
      <c r="A364">
        <v>18</v>
      </c>
      <c r="B364" t="s">
        <v>13</v>
      </c>
      <c r="C364">
        <v>3.5</v>
      </c>
      <c r="D364" t="s">
        <v>17</v>
      </c>
      <c r="E364">
        <v>6.3</v>
      </c>
      <c r="F364">
        <v>2.9</v>
      </c>
      <c r="G364">
        <v>3.35</v>
      </c>
      <c r="H364">
        <v>1.6</v>
      </c>
      <c r="I364" t="s">
        <v>18</v>
      </c>
      <c r="J364">
        <v>1</v>
      </c>
      <c r="K364">
        <v>4</v>
      </c>
      <c r="L364">
        <v>2</v>
      </c>
      <c r="M364">
        <v>0</v>
      </c>
    </row>
    <row r="365" spans="1:13" x14ac:dyDescent="0.3">
      <c r="A365">
        <v>15</v>
      </c>
      <c r="B365" t="s">
        <v>16</v>
      </c>
      <c r="C365">
        <v>3.8</v>
      </c>
      <c r="D365" t="s">
        <v>14</v>
      </c>
      <c r="E365">
        <v>4.4000000000000004</v>
      </c>
      <c r="F365">
        <v>1.9</v>
      </c>
      <c r="G365">
        <v>2.04</v>
      </c>
      <c r="H365">
        <v>0.5</v>
      </c>
      <c r="I365" t="s">
        <v>19</v>
      </c>
      <c r="J365">
        <v>4</v>
      </c>
      <c r="K365">
        <v>9</v>
      </c>
      <c r="L365">
        <v>7</v>
      </c>
      <c r="M365">
        <v>0</v>
      </c>
    </row>
    <row r="366" spans="1:13" x14ac:dyDescent="0.3">
      <c r="A366">
        <v>18</v>
      </c>
      <c r="B366" t="s">
        <v>16</v>
      </c>
      <c r="C366">
        <v>4.5</v>
      </c>
      <c r="D366" t="s">
        <v>20</v>
      </c>
      <c r="E366">
        <v>8</v>
      </c>
      <c r="F366">
        <v>1.5</v>
      </c>
      <c r="G366">
        <v>3.45</v>
      </c>
      <c r="H366">
        <v>1</v>
      </c>
      <c r="I366" t="s">
        <v>15</v>
      </c>
      <c r="J366">
        <v>4</v>
      </c>
      <c r="K366">
        <v>3</v>
      </c>
      <c r="L366">
        <v>9</v>
      </c>
      <c r="M366">
        <v>0</v>
      </c>
    </row>
    <row r="367" spans="1:13" x14ac:dyDescent="0.3">
      <c r="A367">
        <v>16</v>
      </c>
      <c r="B367" t="s">
        <v>16</v>
      </c>
      <c r="C367">
        <v>7.3</v>
      </c>
      <c r="D367" t="s">
        <v>20</v>
      </c>
      <c r="E367">
        <v>7.2</v>
      </c>
      <c r="F367">
        <v>0.5</v>
      </c>
      <c r="G367">
        <v>2.78</v>
      </c>
      <c r="H367">
        <v>1.9</v>
      </c>
      <c r="I367" t="s">
        <v>15</v>
      </c>
      <c r="J367">
        <v>7</v>
      </c>
      <c r="K367">
        <v>3</v>
      </c>
      <c r="L367">
        <v>9</v>
      </c>
      <c r="M367">
        <v>0</v>
      </c>
    </row>
    <row r="368" spans="1:13" x14ac:dyDescent="0.3">
      <c r="A368">
        <v>18</v>
      </c>
      <c r="B368" t="s">
        <v>16</v>
      </c>
      <c r="C368">
        <v>6.4</v>
      </c>
      <c r="D368" t="s">
        <v>14</v>
      </c>
      <c r="E368">
        <v>7.7</v>
      </c>
      <c r="F368">
        <v>0.5</v>
      </c>
      <c r="G368">
        <v>3.05</v>
      </c>
      <c r="H368">
        <v>1.2</v>
      </c>
      <c r="I368" t="s">
        <v>15</v>
      </c>
      <c r="J368">
        <v>3</v>
      </c>
      <c r="K368">
        <v>1</v>
      </c>
      <c r="L368">
        <v>2</v>
      </c>
      <c r="M368">
        <v>0</v>
      </c>
    </row>
    <row r="369" spans="1:13" x14ac:dyDescent="0.3">
      <c r="A369">
        <v>16</v>
      </c>
      <c r="B369" t="s">
        <v>13</v>
      </c>
      <c r="C369">
        <v>5.3</v>
      </c>
      <c r="D369" t="s">
        <v>17</v>
      </c>
      <c r="E369">
        <v>8.4</v>
      </c>
      <c r="F369">
        <v>2.2000000000000002</v>
      </c>
      <c r="G369">
        <v>2.81</v>
      </c>
      <c r="H369">
        <v>0.6</v>
      </c>
      <c r="I369" t="s">
        <v>18</v>
      </c>
      <c r="J369">
        <v>2</v>
      </c>
      <c r="K369">
        <v>8</v>
      </c>
      <c r="L369">
        <v>8</v>
      </c>
      <c r="M369">
        <v>0</v>
      </c>
    </row>
    <row r="370" spans="1:13" x14ac:dyDescent="0.3">
      <c r="A370">
        <v>13</v>
      </c>
      <c r="B370" t="s">
        <v>13</v>
      </c>
      <c r="C370">
        <v>2.4</v>
      </c>
      <c r="D370" t="s">
        <v>14</v>
      </c>
      <c r="E370">
        <v>7.1</v>
      </c>
      <c r="F370">
        <v>0.7</v>
      </c>
      <c r="G370">
        <v>3.64</v>
      </c>
      <c r="H370">
        <v>1.1000000000000001</v>
      </c>
      <c r="I370" t="s">
        <v>18</v>
      </c>
      <c r="J370">
        <v>6</v>
      </c>
      <c r="K370">
        <v>5</v>
      </c>
      <c r="L370">
        <v>5</v>
      </c>
      <c r="M370">
        <v>0</v>
      </c>
    </row>
    <row r="371" spans="1:13" x14ac:dyDescent="0.3">
      <c r="A371">
        <v>13</v>
      </c>
      <c r="B371" t="s">
        <v>13</v>
      </c>
      <c r="C371">
        <v>8</v>
      </c>
      <c r="D371" t="s">
        <v>20</v>
      </c>
      <c r="E371">
        <v>8.9</v>
      </c>
      <c r="F371">
        <v>2.2000000000000002</v>
      </c>
      <c r="G371">
        <v>3.82</v>
      </c>
      <c r="H371">
        <v>1.2</v>
      </c>
      <c r="I371" t="s">
        <v>15</v>
      </c>
      <c r="J371">
        <v>8</v>
      </c>
      <c r="K371">
        <v>8</v>
      </c>
      <c r="L371">
        <v>4</v>
      </c>
      <c r="M371">
        <v>0</v>
      </c>
    </row>
    <row r="372" spans="1:13" x14ac:dyDescent="0.3">
      <c r="A372">
        <v>15</v>
      </c>
      <c r="B372" t="s">
        <v>13</v>
      </c>
      <c r="C372">
        <v>7.3</v>
      </c>
      <c r="D372" t="s">
        <v>20</v>
      </c>
      <c r="E372">
        <v>4.4000000000000004</v>
      </c>
      <c r="F372">
        <v>2.2999999999999998</v>
      </c>
      <c r="G372">
        <v>2.76</v>
      </c>
      <c r="H372">
        <v>1.8</v>
      </c>
      <c r="I372" t="s">
        <v>19</v>
      </c>
      <c r="J372">
        <v>4</v>
      </c>
      <c r="K372">
        <v>6</v>
      </c>
      <c r="L372">
        <v>9</v>
      </c>
      <c r="M372">
        <v>0</v>
      </c>
    </row>
    <row r="373" spans="1:13" x14ac:dyDescent="0.3">
      <c r="A373">
        <v>17</v>
      </c>
      <c r="B373" t="s">
        <v>16</v>
      </c>
      <c r="C373">
        <v>4.5</v>
      </c>
      <c r="D373" t="s">
        <v>20</v>
      </c>
      <c r="E373">
        <v>7.3</v>
      </c>
      <c r="F373">
        <v>0.9</v>
      </c>
      <c r="G373">
        <v>2.34</v>
      </c>
      <c r="H373">
        <v>0.9</v>
      </c>
      <c r="I373" t="s">
        <v>19</v>
      </c>
      <c r="J373">
        <v>7</v>
      </c>
      <c r="K373">
        <v>3</v>
      </c>
      <c r="L373">
        <v>8</v>
      </c>
      <c r="M373">
        <v>0</v>
      </c>
    </row>
    <row r="374" spans="1:13" x14ac:dyDescent="0.3">
      <c r="A374">
        <v>19</v>
      </c>
      <c r="B374" t="s">
        <v>13</v>
      </c>
      <c r="C374">
        <v>5</v>
      </c>
      <c r="D374" t="s">
        <v>20</v>
      </c>
      <c r="E374">
        <v>9</v>
      </c>
      <c r="F374">
        <v>2.4</v>
      </c>
      <c r="G374">
        <v>2.5299999999999998</v>
      </c>
      <c r="H374">
        <v>0.4</v>
      </c>
      <c r="I374" t="s">
        <v>19</v>
      </c>
      <c r="J374">
        <v>7</v>
      </c>
      <c r="K374">
        <v>2</v>
      </c>
      <c r="L374">
        <v>10</v>
      </c>
      <c r="M374">
        <v>0</v>
      </c>
    </row>
    <row r="375" spans="1:13" x14ac:dyDescent="0.3">
      <c r="A375">
        <v>16</v>
      </c>
      <c r="B375" t="s">
        <v>16</v>
      </c>
      <c r="C375">
        <v>5.7</v>
      </c>
      <c r="D375" t="s">
        <v>20</v>
      </c>
      <c r="E375">
        <v>4.2</v>
      </c>
      <c r="F375">
        <v>1.4</v>
      </c>
      <c r="G375">
        <v>2.56</v>
      </c>
      <c r="H375">
        <v>0.1</v>
      </c>
      <c r="I375" t="s">
        <v>18</v>
      </c>
      <c r="J375">
        <v>4</v>
      </c>
      <c r="K375">
        <v>3</v>
      </c>
      <c r="L375">
        <v>1</v>
      </c>
      <c r="M375">
        <v>0</v>
      </c>
    </row>
    <row r="376" spans="1:13" x14ac:dyDescent="0.3">
      <c r="A376">
        <v>18</v>
      </c>
      <c r="B376" t="s">
        <v>16</v>
      </c>
      <c r="C376">
        <v>2.9</v>
      </c>
      <c r="D376" t="s">
        <v>14</v>
      </c>
      <c r="E376">
        <v>8.4</v>
      </c>
      <c r="F376">
        <v>2.6</v>
      </c>
      <c r="G376">
        <v>2.57</v>
      </c>
      <c r="H376">
        <v>1.8</v>
      </c>
      <c r="I376" t="s">
        <v>19</v>
      </c>
      <c r="J376">
        <v>4</v>
      </c>
      <c r="K376">
        <v>1</v>
      </c>
      <c r="L376">
        <v>3</v>
      </c>
      <c r="M376">
        <v>0</v>
      </c>
    </row>
    <row r="377" spans="1:13" x14ac:dyDescent="0.3">
      <c r="A377">
        <v>13</v>
      </c>
      <c r="B377" t="s">
        <v>13</v>
      </c>
      <c r="C377">
        <v>7.9</v>
      </c>
      <c r="D377" t="s">
        <v>14</v>
      </c>
      <c r="E377">
        <v>8.8000000000000007</v>
      </c>
      <c r="F377">
        <v>2.2999999999999998</v>
      </c>
      <c r="G377">
        <v>3.39</v>
      </c>
      <c r="H377">
        <v>0.5</v>
      </c>
      <c r="I377" t="s">
        <v>15</v>
      </c>
      <c r="J377">
        <v>1</v>
      </c>
      <c r="K377">
        <v>9</v>
      </c>
      <c r="L377">
        <v>3</v>
      </c>
      <c r="M377">
        <v>0</v>
      </c>
    </row>
    <row r="378" spans="1:13" x14ac:dyDescent="0.3">
      <c r="A378">
        <v>19</v>
      </c>
      <c r="B378" t="s">
        <v>13</v>
      </c>
      <c r="C378">
        <v>4.8</v>
      </c>
      <c r="D378" t="s">
        <v>17</v>
      </c>
      <c r="E378">
        <v>5</v>
      </c>
      <c r="F378">
        <v>2.6</v>
      </c>
      <c r="G378">
        <v>3.25</v>
      </c>
      <c r="H378">
        <v>1.6</v>
      </c>
      <c r="I378" t="s">
        <v>15</v>
      </c>
      <c r="J378">
        <v>4</v>
      </c>
      <c r="K378">
        <v>6</v>
      </c>
      <c r="L378">
        <v>1</v>
      </c>
      <c r="M378">
        <v>0</v>
      </c>
    </row>
    <row r="379" spans="1:13" x14ac:dyDescent="0.3">
      <c r="A379">
        <v>13</v>
      </c>
      <c r="B379" t="s">
        <v>16</v>
      </c>
      <c r="C379">
        <v>3</v>
      </c>
      <c r="D379" t="s">
        <v>20</v>
      </c>
      <c r="E379">
        <v>6</v>
      </c>
      <c r="F379">
        <v>1</v>
      </c>
      <c r="G379">
        <v>2.63</v>
      </c>
      <c r="H379">
        <v>0.1</v>
      </c>
      <c r="I379" t="s">
        <v>15</v>
      </c>
      <c r="J379">
        <v>5</v>
      </c>
      <c r="K379">
        <v>10</v>
      </c>
      <c r="L379">
        <v>9</v>
      </c>
      <c r="M379">
        <v>0</v>
      </c>
    </row>
    <row r="380" spans="1:13" x14ac:dyDescent="0.3">
      <c r="A380">
        <v>14</v>
      </c>
      <c r="B380" t="s">
        <v>16</v>
      </c>
      <c r="C380">
        <v>4.0999999999999996</v>
      </c>
      <c r="D380" t="s">
        <v>20</v>
      </c>
      <c r="E380">
        <v>6.4</v>
      </c>
      <c r="F380">
        <v>2</v>
      </c>
      <c r="G380">
        <v>3.69</v>
      </c>
      <c r="H380">
        <v>1.5</v>
      </c>
      <c r="I380" t="s">
        <v>19</v>
      </c>
      <c r="J380">
        <v>7</v>
      </c>
      <c r="K380">
        <v>7</v>
      </c>
      <c r="L380">
        <v>9</v>
      </c>
      <c r="M380">
        <v>0</v>
      </c>
    </row>
    <row r="381" spans="1:13" x14ac:dyDescent="0.3">
      <c r="A381">
        <v>19</v>
      </c>
      <c r="B381" t="s">
        <v>13</v>
      </c>
      <c r="C381">
        <v>6.9</v>
      </c>
      <c r="D381" t="s">
        <v>14</v>
      </c>
      <c r="E381">
        <v>5</v>
      </c>
      <c r="F381">
        <v>1.2</v>
      </c>
      <c r="G381">
        <v>2.56</v>
      </c>
      <c r="H381">
        <v>1.6</v>
      </c>
      <c r="I381" t="s">
        <v>18</v>
      </c>
      <c r="J381">
        <v>3</v>
      </c>
      <c r="K381">
        <v>10</v>
      </c>
      <c r="L381">
        <v>8</v>
      </c>
      <c r="M381">
        <v>0</v>
      </c>
    </row>
    <row r="382" spans="1:13" x14ac:dyDescent="0.3">
      <c r="A382">
        <v>17</v>
      </c>
      <c r="B382" t="s">
        <v>16</v>
      </c>
      <c r="C382">
        <v>3.2</v>
      </c>
      <c r="D382" t="s">
        <v>14</v>
      </c>
      <c r="E382">
        <v>6.2</v>
      </c>
      <c r="F382">
        <v>2.2000000000000002</v>
      </c>
      <c r="G382">
        <v>2.96</v>
      </c>
      <c r="H382">
        <v>1.6</v>
      </c>
      <c r="I382" t="s">
        <v>15</v>
      </c>
      <c r="J382">
        <v>8</v>
      </c>
      <c r="K382">
        <v>10</v>
      </c>
      <c r="L382">
        <v>9</v>
      </c>
      <c r="M382">
        <v>0</v>
      </c>
    </row>
    <row r="383" spans="1:13" x14ac:dyDescent="0.3">
      <c r="A383">
        <v>18</v>
      </c>
      <c r="B383" t="s">
        <v>16</v>
      </c>
      <c r="C383">
        <v>1.3</v>
      </c>
      <c r="D383" t="s">
        <v>20</v>
      </c>
      <c r="E383">
        <v>4.9000000000000004</v>
      </c>
      <c r="F383">
        <v>0.9</v>
      </c>
      <c r="G383">
        <v>3.86</v>
      </c>
      <c r="H383">
        <v>0</v>
      </c>
      <c r="I383" t="s">
        <v>19</v>
      </c>
      <c r="J383">
        <v>4</v>
      </c>
      <c r="K383">
        <v>9</v>
      </c>
      <c r="L383">
        <v>8</v>
      </c>
      <c r="M383">
        <v>0</v>
      </c>
    </row>
    <row r="384" spans="1:13" x14ac:dyDescent="0.3">
      <c r="A384">
        <v>15</v>
      </c>
      <c r="B384" t="s">
        <v>16</v>
      </c>
      <c r="C384">
        <v>4.2</v>
      </c>
      <c r="D384" t="s">
        <v>17</v>
      </c>
      <c r="E384">
        <v>6.8</v>
      </c>
      <c r="F384">
        <v>1.1000000000000001</v>
      </c>
      <c r="G384">
        <v>3.37</v>
      </c>
      <c r="H384">
        <v>0.7</v>
      </c>
      <c r="I384" t="s">
        <v>18</v>
      </c>
      <c r="J384">
        <v>3</v>
      </c>
      <c r="K384">
        <v>6</v>
      </c>
      <c r="L384">
        <v>8</v>
      </c>
      <c r="M384">
        <v>0</v>
      </c>
    </row>
    <row r="385" spans="1:13" x14ac:dyDescent="0.3">
      <c r="A385">
        <v>19</v>
      </c>
      <c r="B385" t="s">
        <v>13</v>
      </c>
      <c r="C385">
        <v>6.6</v>
      </c>
      <c r="D385" t="s">
        <v>20</v>
      </c>
      <c r="E385">
        <v>6</v>
      </c>
      <c r="F385">
        <v>2.1</v>
      </c>
      <c r="G385">
        <v>2.84</v>
      </c>
      <c r="H385">
        <v>1.5</v>
      </c>
      <c r="I385" t="s">
        <v>15</v>
      </c>
      <c r="J385">
        <v>9</v>
      </c>
      <c r="K385">
        <v>4</v>
      </c>
      <c r="L385">
        <v>5</v>
      </c>
      <c r="M385">
        <v>0</v>
      </c>
    </row>
    <row r="386" spans="1:13" x14ac:dyDescent="0.3">
      <c r="A386">
        <v>13</v>
      </c>
      <c r="B386" t="s">
        <v>13</v>
      </c>
      <c r="C386">
        <v>7.5</v>
      </c>
      <c r="D386" t="s">
        <v>17</v>
      </c>
      <c r="E386">
        <v>4.8</v>
      </c>
      <c r="F386">
        <v>0.7</v>
      </c>
      <c r="G386">
        <v>2.91</v>
      </c>
      <c r="H386">
        <v>2</v>
      </c>
      <c r="I386" t="s">
        <v>18</v>
      </c>
      <c r="J386">
        <v>10</v>
      </c>
      <c r="K386">
        <v>9</v>
      </c>
      <c r="L386">
        <v>1</v>
      </c>
      <c r="M386">
        <v>1</v>
      </c>
    </row>
    <row r="387" spans="1:13" x14ac:dyDescent="0.3">
      <c r="A387">
        <v>15</v>
      </c>
      <c r="B387" t="s">
        <v>13</v>
      </c>
      <c r="C387">
        <v>7</v>
      </c>
      <c r="D387" t="s">
        <v>20</v>
      </c>
      <c r="E387">
        <v>8.6999999999999993</v>
      </c>
      <c r="F387">
        <v>3</v>
      </c>
      <c r="G387">
        <v>2.84</v>
      </c>
      <c r="H387">
        <v>1.4</v>
      </c>
      <c r="I387" t="s">
        <v>19</v>
      </c>
      <c r="J387">
        <v>5</v>
      </c>
      <c r="K387">
        <v>3</v>
      </c>
      <c r="L387">
        <v>2</v>
      </c>
      <c r="M387">
        <v>0</v>
      </c>
    </row>
    <row r="388" spans="1:13" x14ac:dyDescent="0.3">
      <c r="A388">
        <v>15</v>
      </c>
      <c r="B388" t="s">
        <v>16</v>
      </c>
      <c r="C388">
        <v>6.7</v>
      </c>
      <c r="D388" t="s">
        <v>20</v>
      </c>
      <c r="E388">
        <v>5</v>
      </c>
      <c r="F388">
        <v>0.6</v>
      </c>
      <c r="G388">
        <v>2.75</v>
      </c>
      <c r="H388">
        <v>1.5</v>
      </c>
      <c r="I388" t="s">
        <v>19</v>
      </c>
      <c r="J388">
        <v>7</v>
      </c>
      <c r="K388">
        <v>4</v>
      </c>
      <c r="L388">
        <v>8</v>
      </c>
      <c r="M388">
        <v>0</v>
      </c>
    </row>
    <row r="389" spans="1:13" x14ac:dyDescent="0.3">
      <c r="A389">
        <v>15</v>
      </c>
      <c r="B389" t="s">
        <v>16</v>
      </c>
      <c r="C389">
        <v>2.2999999999999998</v>
      </c>
      <c r="D389" t="s">
        <v>14</v>
      </c>
      <c r="E389">
        <v>5.6</v>
      </c>
      <c r="F389">
        <v>2.9</v>
      </c>
      <c r="G389">
        <v>2.72</v>
      </c>
      <c r="H389">
        <v>1</v>
      </c>
      <c r="I389" t="s">
        <v>18</v>
      </c>
      <c r="J389">
        <v>6</v>
      </c>
      <c r="K389">
        <v>6</v>
      </c>
      <c r="L389">
        <v>2</v>
      </c>
      <c r="M389">
        <v>0</v>
      </c>
    </row>
    <row r="390" spans="1:13" x14ac:dyDescent="0.3">
      <c r="A390">
        <v>14</v>
      </c>
      <c r="B390" t="s">
        <v>13</v>
      </c>
      <c r="C390">
        <v>5.3</v>
      </c>
      <c r="D390" t="s">
        <v>20</v>
      </c>
      <c r="E390">
        <v>9</v>
      </c>
      <c r="F390">
        <v>2.8</v>
      </c>
      <c r="G390">
        <v>3.1</v>
      </c>
      <c r="H390">
        <v>1.6</v>
      </c>
      <c r="I390" t="s">
        <v>18</v>
      </c>
      <c r="J390">
        <v>10</v>
      </c>
      <c r="K390">
        <v>7</v>
      </c>
      <c r="L390">
        <v>6</v>
      </c>
      <c r="M390">
        <v>0</v>
      </c>
    </row>
    <row r="391" spans="1:13" x14ac:dyDescent="0.3">
      <c r="A391">
        <v>13</v>
      </c>
      <c r="B391" t="s">
        <v>16</v>
      </c>
      <c r="C391">
        <v>2.7</v>
      </c>
      <c r="D391" t="s">
        <v>17</v>
      </c>
      <c r="E391">
        <v>6.5</v>
      </c>
      <c r="F391">
        <v>1.5</v>
      </c>
      <c r="G391">
        <v>2.58</v>
      </c>
      <c r="H391">
        <v>0.4</v>
      </c>
      <c r="I391" t="s">
        <v>18</v>
      </c>
      <c r="J391">
        <v>1</v>
      </c>
      <c r="K391">
        <v>1</v>
      </c>
      <c r="L391">
        <v>6</v>
      </c>
      <c r="M391">
        <v>0</v>
      </c>
    </row>
    <row r="392" spans="1:13" x14ac:dyDescent="0.3">
      <c r="A392">
        <v>13</v>
      </c>
      <c r="B392" t="s">
        <v>13</v>
      </c>
      <c r="C392">
        <v>5.4</v>
      </c>
      <c r="D392" t="s">
        <v>14</v>
      </c>
      <c r="E392">
        <v>7.8</v>
      </c>
      <c r="F392">
        <v>1.8</v>
      </c>
      <c r="G392">
        <v>3.46</v>
      </c>
      <c r="H392">
        <v>1</v>
      </c>
      <c r="I392" t="s">
        <v>18</v>
      </c>
      <c r="J392">
        <v>4</v>
      </c>
      <c r="K392">
        <v>7</v>
      </c>
      <c r="L392">
        <v>7</v>
      </c>
      <c r="M392">
        <v>0</v>
      </c>
    </row>
    <row r="393" spans="1:13" x14ac:dyDescent="0.3">
      <c r="A393">
        <v>17</v>
      </c>
      <c r="B393" t="s">
        <v>13</v>
      </c>
      <c r="C393">
        <v>7.2</v>
      </c>
      <c r="D393" t="s">
        <v>14</v>
      </c>
      <c r="E393">
        <v>8</v>
      </c>
      <c r="F393">
        <v>1.9</v>
      </c>
      <c r="G393">
        <v>2.66</v>
      </c>
      <c r="H393">
        <v>1.4</v>
      </c>
      <c r="I393" t="s">
        <v>19</v>
      </c>
      <c r="J393">
        <v>5</v>
      </c>
      <c r="K393">
        <v>8</v>
      </c>
      <c r="L393">
        <v>6</v>
      </c>
      <c r="M393">
        <v>0</v>
      </c>
    </row>
    <row r="394" spans="1:13" x14ac:dyDescent="0.3">
      <c r="A394">
        <v>19</v>
      </c>
      <c r="B394" t="s">
        <v>13</v>
      </c>
      <c r="C394">
        <v>1.5</v>
      </c>
      <c r="D394" t="s">
        <v>17</v>
      </c>
      <c r="E394">
        <v>6.8</v>
      </c>
      <c r="F394">
        <v>2.5</v>
      </c>
      <c r="G394">
        <v>2.13</v>
      </c>
      <c r="H394">
        <v>0.2</v>
      </c>
      <c r="I394" t="s">
        <v>19</v>
      </c>
      <c r="J394">
        <v>9</v>
      </c>
      <c r="K394">
        <v>8</v>
      </c>
      <c r="L394">
        <v>10</v>
      </c>
      <c r="M394">
        <v>0</v>
      </c>
    </row>
    <row r="395" spans="1:13" x14ac:dyDescent="0.3">
      <c r="A395">
        <v>13</v>
      </c>
      <c r="B395" t="s">
        <v>13</v>
      </c>
      <c r="C395">
        <v>4</v>
      </c>
      <c r="D395" t="s">
        <v>20</v>
      </c>
      <c r="E395">
        <v>4.2</v>
      </c>
      <c r="F395">
        <v>0.5</v>
      </c>
      <c r="G395">
        <v>2.46</v>
      </c>
      <c r="H395">
        <v>0.6</v>
      </c>
      <c r="I395" t="s">
        <v>15</v>
      </c>
      <c r="J395">
        <v>2</v>
      </c>
      <c r="K395">
        <v>9</v>
      </c>
      <c r="L395">
        <v>9</v>
      </c>
      <c r="M395">
        <v>0</v>
      </c>
    </row>
    <row r="396" spans="1:13" x14ac:dyDescent="0.3">
      <c r="A396">
        <v>15</v>
      </c>
      <c r="B396" t="s">
        <v>16</v>
      </c>
      <c r="C396">
        <v>4.2</v>
      </c>
      <c r="D396" t="s">
        <v>20</v>
      </c>
      <c r="E396">
        <v>7.1</v>
      </c>
      <c r="F396">
        <v>2.1</v>
      </c>
      <c r="G396">
        <v>2.21</v>
      </c>
      <c r="H396">
        <v>1.8</v>
      </c>
      <c r="I396" t="s">
        <v>19</v>
      </c>
      <c r="J396">
        <v>4</v>
      </c>
      <c r="K396">
        <v>1</v>
      </c>
      <c r="L396">
        <v>3</v>
      </c>
      <c r="M396">
        <v>0</v>
      </c>
    </row>
    <row r="397" spans="1:13" x14ac:dyDescent="0.3">
      <c r="A397">
        <v>19</v>
      </c>
      <c r="B397" t="s">
        <v>13</v>
      </c>
      <c r="C397">
        <v>1.8</v>
      </c>
      <c r="D397" t="s">
        <v>17</v>
      </c>
      <c r="E397">
        <v>7.7</v>
      </c>
      <c r="F397">
        <v>2.2000000000000002</v>
      </c>
      <c r="G397">
        <v>3.77</v>
      </c>
      <c r="H397">
        <v>0.3</v>
      </c>
      <c r="I397" t="s">
        <v>19</v>
      </c>
      <c r="J397">
        <v>4</v>
      </c>
      <c r="K397">
        <v>6</v>
      </c>
      <c r="L397">
        <v>7</v>
      </c>
      <c r="M397">
        <v>0</v>
      </c>
    </row>
    <row r="398" spans="1:13" x14ac:dyDescent="0.3">
      <c r="A398">
        <v>17</v>
      </c>
      <c r="B398" t="s">
        <v>16</v>
      </c>
      <c r="C398">
        <v>3.3</v>
      </c>
      <c r="D398" t="s">
        <v>14</v>
      </c>
      <c r="E398">
        <v>8.6</v>
      </c>
      <c r="F398">
        <v>1.1000000000000001</v>
      </c>
      <c r="G398">
        <v>2.62</v>
      </c>
      <c r="H398">
        <v>0.4</v>
      </c>
      <c r="I398" t="s">
        <v>15</v>
      </c>
      <c r="J398">
        <v>4</v>
      </c>
      <c r="K398">
        <v>7</v>
      </c>
      <c r="L398">
        <v>9</v>
      </c>
      <c r="M398">
        <v>0</v>
      </c>
    </row>
    <row r="399" spans="1:13" x14ac:dyDescent="0.3">
      <c r="A399">
        <v>14</v>
      </c>
      <c r="B399" t="s">
        <v>16</v>
      </c>
      <c r="C399">
        <v>1</v>
      </c>
      <c r="D399" t="s">
        <v>20</v>
      </c>
      <c r="E399">
        <v>6.6</v>
      </c>
      <c r="F399">
        <v>1.4</v>
      </c>
      <c r="G399">
        <v>2.02</v>
      </c>
      <c r="H399">
        <v>1.9</v>
      </c>
      <c r="I399" t="s">
        <v>15</v>
      </c>
      <c r="J399">
        <v>6</v>
      </c>
      <c r="K399">
        <v>5</v>
      </c>
      <c r="L399">
        <v>5</v>
      </c>
      <c r="M399">
        <v>0</v>
      </c>
    </row>
    <row r="400" spans="1:13" x14ac:dyDescent="0.3">
      <c r="A400">
        <v>13</v>
      </c>
      <c r="B400" t="s">
        <v>16</v>
      </c>
      <c r="C400">
        <v>1.2</v>
      </c>
      <c r="D400" t="s">
        <v>17</v>
      </c>
      <c r="E400">
        <v>8</v>
      </c>
      <c r="F400">
        <v>2.8</v>
      </c>
      <c r="G400">
        <v>2.1800000000000002</v>
      </c>
      <c r="H400">
        <v>1.1000000000000001</v>
      </c>
      <c r="I400" t="s">
        <v>18</v>
      </c>
      <c r="J400">
        <v>5</v>
      </c>
      <c r="K400">
        <v>8</v>
      </c>
      <c r="L400">
        <v>5</v>
      </c>
      <c r="M400">
        <v>0</v>
      </c>
    </row>
    <row r="401" spans="1:13" x14ac:dyDescent="0.3">
      <c r="A401">
        <v>19</v>
      </c>
      <c r="B401" t="s">
        <v>13</v>
      </c>
      <c r="C401">
        <v>2</v>
      </c>
      <c r="D401" t="s">
        <v>14</v>
      </c>
      <c r="E401">
        <v>4.0999999999999996</v>
      </c>
      <c r="F401">
        <v>1.3</v>
      </c>
      <c r="G401">
        <v>3.71</v>
      </c>
      <c r="H401">
        <v>1.6</v>
      </c>
      <c r="I401" t="s">
        <v>15</v>
      </c>
      <c r="J401">
        <v>7</v>
      </c>
      <c r="K401">
        <v>7</v>
      </c>
      <c r="L401">
        <v>8</v>
      </c>
      <c r="M401">
        <v>0</v>
      </c>
    </row>
    <row r="402" spans="1:13" x14ac:dyDescent="0.3">
      <c r="A402">
        <v>13</v>
      </c>
      <c r="B402" t="s">
        <v>16</v>
      </c>
      <c r="C402">
        <v>7.1</v>
      </c>
      <c r="D402" t="s">
        <v>20</v>
      </c>
      <c r="E402">
        <v>6.5</v>
      </c>
      <c r="F402">
        <v>1.6</v>
      </c>
      <c r="G402">
        <v>2.0299999999999998</v>
      </c>
      <c r="H402">
        <v>0.3</v>
      </c>
      <c r="I402" t="s">
        <v>19</v>
      </c>
      <c r="J402">
        <v>1</v>
      </c>
      <c r="K402">
        <v>10</v>
      </c>
      <c r="L402">
        <v>6</v>
      </c>
      <c r="M402">
        <v>0</v>
      </c>
    </row>
    <row r="403" spans="1:13" x14ac:dyDescent="0.3">
      <c r="A403">
        <v>15</v>
      </c>
      <c r="B403" t="s">
        <v>16</v>
      </c>
      <c r="C403">
        <v>5.5</v>
      </c>
      <c r="D403" t="s">
        <v>17</v>
      </c>
      <c r="E403">
        <v>7.8</v>
      </c>
      <c r="F403">
        <v>1.5</v>
      </c>
      <c r="G403">
        <v>2.79</v>
      </c>
      <c r="H403">
        <v>0.7</v>
      </c>
      <c r="I403" t="s">
        <v>18</v>
      </c>
      <c r="J403">
        <v>9</v>
      </c>
      <c r="K403">
        <v>10</v>
      </c>
      <c r="L403">
        <v>7</v>
      </c>
      <c r="M403">
        <v>0</v>
      </c>
    </row>
    <row r="404" spans="1:13" x14ac:dyDescent="0.3">
      <c r="A404">
        <v>17</v>
      </c>
      <c r="B404" t="s">
        <v>13</v>
      </c>
      <c r="C404">
        <v>7.7</v>
      </c>
      <c r="D404" t="s">
        <v>17</v>
      </c>
      <c r="E404">
        <v>4.7</v>
      </c>
      <c r="F404">
        <v>2.8</v>
      </c>
      <c r="G404">
        <v>3.5</v>
      </c>
      <c r="H404">
        <v>1.5</v>
      </c>
      <c r="I404" t="s">
        <v>15</v>
      </c>
      <c r="J404">
        <v>8</v>
      </c>
      <c r="K404">
        <v>4</v>
      </c>
      <c r="L404">
        <v>8</v>
      </c>
      <c r="M404">
        <v>0</v>
      </c>
    </row>
    <row r="405" spans="1:13" x14ac:dyDescent="0.3">
      <c r="A405">
        <v>17</v>
      </c>
      <c r="B405" t="s">
        <v>16</v>
      </c>
      <c r="C405">
        <v>7.6</v>
      </c>
      <c r="D405" t="s">
        <v>14</v>
      </c>
      <c r="E405">
        <v>5.9</v>
      </c>
      <c r="F405">
        <v>2</v>
      </c>
      <c r="G405">
        <v>2.52</v>
      </c>
      <c r="H405">
        <v>1.5</v>
      </c>
      <c r="I405" t="s">
        <v>19</v>
      </c>
      <c r="J405">
        <v>1</v>
      </c>
      <c r="K405">
        <v>5</v>
      </c>
      <c r="L405">
        <v>1</v>
      </c>
      <c r="M405">
        <v>0</v>
      </c>
    </row>
    <row r="406" spans="1:13" x14ac:dyDescent="0.3">
      <c r="A406">
        <v>13</v>
      </c>
      <c r="B406" t="s">
        <v>13</v>
      </c>
      <c r="C406">
        <v>8</v>
      </c>
      <c r="D406" t="s">
        <v>14</v>
      </c>
      <c r="E406">
        <v>6.9</v>
      </c>
      <c r="F406">
        <v>2.5</v>
      </c>
      <c r="G406">
        <v>2.4500000000000002</v>
      </c>
      <c r="H406">
        <v>1.7</v>
      </c>
      <c r="I406" t="s">
        <v>19</v>
      </c>
      <c r="J406">
        <v>10</v>
      </c>
      <c r="K406">
        <v>1</v>
      </c>
      <c r="L406">
        <v>3</v>
      </c>
      <c r="M406">
        <v>0</v>
      </c>
    </row>
    <row r="407" spans="1:13" x14ac:dyDescent="0.3">
      <c r="A407">
        <v>16</v>
      </c>
      <c r="B407" t="s">
        <v>16</v>
      </c>
      <c r="C407">
        <v>4.3</v>
      </c>
      <c r="D407" t="s">
        <v>14</v>
      </c>
      <c r="E407">
        <v>6</v>
      </c>
      <c r="F407">
        <v>1.4</v>
      </c>
      <c r="G407">
        <v>2.98</v>
      </c>
      <c r="H407">
        <v>1.7</v>
      </c>
      <c r="I407" t="s">
        <v>15</v>
      </c>
      <c r="J407">
        <v>8</v>
      </c>
      <c r="K407">
        <v>7</v>
      </c>
      <c r="L407">
        <v>4</v>
      </c>
      <c r="M407">
        <v>0</v>
      </c>
    </row>
    <row r="408" spans="1:13" x14ac:dyDescent="0.3">
      <c r="A408">
        <v>13</v>
      </c>
      <c r="B408" t="s">
        <v>13</v>
      </c>
      <c r="C408">
        <v>3.8</v>
      </c>
      <c r="D408" t="s">
        <v>20</v>
      </c>
      <c r="E408">
        <v>5.3</v>
      </c>
      <c r="F408">
        <v>2.5</v>
      </c>
      <c r="G408">
        <v>3.48</v>
      </c>
      <c r="H408">
        <v>1</v>
      </c>
      <c r="I408" t="s">
        <v>15</v>
      </c>
      <c r="J408">
        <v>6</v>
      </c>
      <c r="K408">
        <v>7</v>
      </c>
      <c r="L408">
        <v>7</v>
      </c>
      <c r="M408">
        <v>0</v>
      </c>
    </row>
    <row r="409" spans="1:13" x14ac:dyDescent="0.3">
      <c r="A409">
        <v>16</v>
      </c>
      <c r="B409" t="s">
        <v>16</v>
      </c>
      <c r="C409">
        <v>2.9</v>
      </c>
      <c r="D409" t="s">
        <v>17</v>
      </c>
      <c r="E409">
        <v>6.3</v>
      </c>
      <c r="F409">
        <v>3</v>
      </c>
      <c r="G409">
        <v>2.6</v>
      </c>
      <c r="H409">
        <v>0.4</v>
      </c>
      <c r="I409" t="s">
        <v>19</v>
      </c>
      <c r="J409">
        <v>9</v>
      </c>
      <c r="K409">
        <v>7</v>
      </c>
      <c r="L409">
        <v>3</v>
      </c>
      <c r="M409">
        <v>0</v>
      </c>
    </row>
    <row r="410" spans="1:13" x14ac:dyDescent="0.3">
      <c r="A410">
        <v>13</v>
      </c>
      <c r="B410" t="s">
        <v>16</v>
      </c>
      <c r="C410">
        <v>5.3</v>
      </c>
      <c r="D410" t="s">
        <v>17</v>
      </c>
      <c r="E410">
        <v>6.5</v>
      </c>
      <c r="F410">
        <v>1.1000000000000001</v>
      </c>
      <c r="G410">
        <v>3.48</v>
      </c>
      <c r="H410">
        <v>1.8</v>
      </c>
      <c r="I410" t="s">
        <v>15</v>
      </c>
      <c r="J410">
        <v>9</v>
      </c>
      <c r="K410">
        <v>5</v>
      </c>
      <c r="L410">
        <v>4</v>
      </c>
      <c r="M410">
        <v>0</v>
      </c>
    </row>
    <row r="411" spans="1:13" x14ac:dyDescent="0.3">
      <c r="A411">
        <v>15</v>
      </c>
      <c r="B411" t="s">
        <v>16</v>
      </c>
      <c r="C411">
        <v>5.7</v>
      </c>
      <c r="D411" t="s">
        <v>14</v>
      </c>
      <c r="E411">
        <v>7.5</v>
      </c>
      <c r="F411">
        <v>2.4</v>
      </c>
      <c r="G411">
        <v>2.84</v>
      </c>
      <c r="H411">
        <v>1.3</v>
      </c>
      <c r="I411" t="s">
        <v>19</v>
      </c>
      <c r="J411">
        <v>10</v>
      </c>
      <c r="K411">
        <v>10</v>
      </c>
      <c r="L411">
        <v>2</v>
      </c>
      <c r="M411">
        <v>0</v>
      </c>
    </row>
    <row r="412" spans="1:13" x14ac:dyDescent="0.3">
      <c r="A412">
        <v>18</v>
      </c>
      <c r="B412" t="s">
        <v>16</v>
      </c>
      <c r="C412">
        <v>2.8</v>
      </c>
      <c r="D412" t="s">
        <v>14</v>
      </c>
      <c r="E412">
        <v>7.4</v>
      </c>
      <c r="F412">
        <v>1</v>
      </c>
      <c r="G412">
        <v>3.73</v>
      </c>
      <c r="H412">
        <v>1.9</v>
      </c>
      <c r="I412" t="s">
        <v>15</v>
      </c>
      <c r="J412">
        <v>7</v>
      </c>
      <c r="K412">
        <v>3</v>
      </c>
      <c r="L412">
        <v>6</v>
      </c>
      <c r="M412">
        <v>0</v>
      </c>
    </row>
    <row r="413" spans="1:13" x14ac:dyDescent="0.3">
      <c r="A413">
        <v>15</v>
      </c>
      <c r="B413" t="s">
        <v>13</v>
      </c>
      <c r="C413">
        <v>2.8</v>
      </c>
      <c r="D413" t="s">
        <v>17</v>
      </c>
      <c r="E413">
        <v>6.1</v>
      </c>
      <c r="F413">
        <v>2.9</v>
      </c>
      <c r="G413">
        <v>2.98</v>
      </c>
      <c r="H413">
        <v>1.8</v>
      </c>
      <c r="I413" t="s">
        <v>19</v>
      </c>
      <c r="J413">
        <v>6</v>
      </c>
      <c r="K413">
        <v>3</v>
      </c>
      <c r="L413">
        <v>7</v>
      </c>
      <c r="M413">
        <v>0</v>
      </c>
    </row>
    <row r="414" spans="1:13" x14ac:dyDescent="0.3">
      <c r="A414">
        <v>13</v>
      </c>
      <c r="B414" t="s">
        <v>16</v>
      </c>
      <c r="C414">
        <v>1.1000000000000001</v>
      </c>
      <c r="D414" t="s">
        <v>14</v>
      </c>
      <c r="E414">
        <v>7</v>
      </c>
      <c r="F414">
        <v>1.9</v>
      </c>
      <c r="G414">
        <v>4</v>
      </c>
      <c r="H414">
        <v>0.9</v>
      </c>
      <c r="I414" t="s">
        <v>19</v>
      </c>
      <c r="J414">
        <v>2</v>
      </c>
      <c r="K414">
        <v>9</v>
      </c>
      <c r="L414">
        <v>6</v>
      </c>
      <c r="M414">
        <v>0</v>
      </c>
    </row>
    <row r="415" spans="1:13" x14ac:dyDescent="0.3">
      <c r="A415">
        <v>14</v>
      </c>
      <c r="B415" t="s">
        <v>16</v>
      </c>
      <c r="C415">
        <v>2</v>
      </c>
      <c r="D415" t="s">
        <v>20</v>
      </c>
      <c r="E415">
        <v>5</v>
      </c>
      <c r="F415">
        <v>2.6</v>
      </c>
      <c r="G415">
        <v>2.71</v>
      </c>
      <c r="H415">
        <v>2</v>
      </c>
      <c r="I415" t="s">
        <v>15</v>
      </c>
      <c r="J415">
        <v>5</v>
      </c>
      <c r="K415">
        <v>4</v>
      </c>
      <c r="L415">
        <v>3</v>
      </c>
      <c r="M415">
        <v>0</v>
      </c>
    </row>
    <row r="416" spans="1:13" x14ac:dyDescent="0.3">
      <c r="A416">
        <v>16</v>
      </c>
      <c r="B416" t="s">
        <v>16</v>
      </c>
      <c r="C416">
        <v>6.5</v>
      </c>
      <c r="D416" t="s">
        <v>17</v>
      </c>
      <c r="E416">
        <v>5.3</v>
      </c>
      <c r="F416">
        <v>1.8</v>
      </c>
      <c r="G416">
        <v>2.29</v>
      </c>
      <c r="H416">
        <v>0.2</v>
      </c>
      <c r="I416" t="s">
        <v>18</v>
      </c>
      <c r="J416">
        <v>4</v>
      </c>
      <c r="K416">
        <v>10</v>
      </c>
      <c r="L416">
        <v>2</v>
      </c>
      <c r="M416">
        <v>0</v>
      </c>
    </row>
    <row r="417" spans="1:13" x14ac:dyDescent="0.3">
      <c r="A417">
        <v>16</v>
      </c>
      <c r="B417" t="s">
        <v>16</v>
      </c>
      <c r="C417">
        <v>7.5</v>
      </c>
      <c r="D417" t="s">
        <v>17</v>
      </c>
      <c r="E417">
        <v>7.8</v>
      </c>
      <c r="F417">
        <v>1.3</v>
      </c>
      <c r="G417">
        <v>2.73</v>
      </c>
      <c r="H417">
        <v>1.5</v>
      </c>
      <c r="I417" t="s">
        <v>19</v>
      </c>
      <c r="J417">
        <v>4</v>
      </c>
      <c r="K417">
        <v>5</v>
      </c>
      <c r="L417">
        <v>8</v>
      </c>
      <c r="M417">
        <v>0</v>
      </c>
    </row>
    <row r="418" spans="1:13" x14ac:dyDescent="0.3">
      <c r="A418">
        <v>16</v>
      </c>
      <c r="B418" t="s">
        <v>16</v>
      </c>
      <c r="C418">
        <v>3.1</v>
      </c>
      <c r="D418" t="s">
        <v>14</v>
      </c>
      <c r="E418">
        <v>7.9</v>
      </c>
      <c r="F418">
        <v>1.2</v>
      </c>
      <c r="G418">
        <v>2.85</v>
      </c>
      <c r="H418">
        <v>0.7</v>
      </c>
      <c r="I418" t="s">
        <v>18</v>
      </c>
      <c r="J418">
        <v>2</v>
      </c>
      <c r="K418">
        <v>2</v>
      </c>
      <c r="L418">
        <v>5</v>
      </c>
      <c r="M418">
        <v>0</v>
      </c>
    </row>
    <row r="419" spans="1:13" x14ac:dyDescent="0.3">
      <c r="A419">
        <v>19</v>
      </c>
      <c r="B419" t="s">
        <v>13</v>
      </c>
      <c r="C419">
        <v>5.9</v>
      </c>
      <c r="D419" t="s">
        <v>20</v>
      </c>
      <c r="E419">
        <v>7</v>
      </c>
      <c r="F419">
        <v>2.2999999999999998</v>
      </c>
      <c r="G419">
        <v>3</v>
      </c>
      <c r="H419">
        <v>1.6</v>
      </c>
      <c r="I419" t="s">
        <v>15</v>
      </c>
      <c r="J419">
        <v>3</v>
      </c>
      <c r="K419">
        <v>5</v>
      </c>
      <c r="L419">
        <v>10</v>
      </c>
      <c r="M419">
        <v>0</v>
      </c>
    </row>
    <row r="420" spans="1:13" x14ac:dyDescent="0.3">
      <c r="A420">
        <v>15</v>
      </c>
      <c r="B420" t="s">
        <v>13</v>
      </c>
      <c r="C420">
        <v>7.9</v>
      </c>
      <c r="D420" t="s">
        <v>17</v>
      </c>
      <c r="E420">
        <v>4.0999999999999996</v>
      </c>
      <c r="F420">
        <v>0.7</v>
      </c>
      <c r="G420">
        <v>2.33</v>
      </c>
      <c r="H420">
        <v>1.2</v>
      </c>
      <c r="I420" t="s">
        <v>19</v>
      </c>
      <c r="J420">
        <v>3</v>
      </c>
      <c r="K420">
        <v>8</v>
      </c>
      <c r="L420">
        <v>1</v>
      </c>
      <c r="M420">
        <v>0</v>
      </c>
    </row>
    <row r="421" spans="1:13" x14ac:dyDescent="0.3">
      <c r="A421">
        <v>15</v>
      </c>
      <c r="B421" t="s">
        <v>13</v>
      </c>
      <c r="C421">
        <v>5.0999999999999996</v>
      </c>
      <c r="D421" t="s">
        <v>14</v>
      </c>
      <c r="E421">
        <v>7.4</v>
      </c>
      <c r="F421">
        <v>0.7</v>
      </c>
      <c r="G421">
        <v>2.64</v>
      </c>
      <c r="H421">
        <v>0.2</v>
      </c>
      <c r="I421" t="s">
        <v>19</v>
      </c>
      <c r="J421">
        <v>5</v>
      </c>
      <c r="K421">
        <v>8</v>
      </c>
      <c r="L421">
        <v>1</v>
      </c>
      <c r="M421">
        <v>0</v>
      </c>
    </row>
    <row r="422" spans="1:13" x14ac:dyDescent="0.3">
      <c r="A422">
        <v>16</v>
      </c>
      <c r="B422" t="s">
        <v>13</v>
      </c>
      <c r="C422">
        <v>1.9</v>
      </c>
      <c r="D422" t="s">
        <v>20</v>
      </c>
      <c r="E422">
        <v>5.8</v>
      </c>
      <c r="F422">
        <v>2.1</v>
      </c>
      <c r="G422">
        <v>2.27</v>
      </c>
      <c r="H422">
        <v>0.6</v>
      </c>
      <c r="I422" t="s">
        <v>19</v>
      </c>
      <c r="J422">
        <v>3</v>
      </c>
      <c r="K422">
        <v>3</v>
      </c>
      <c r="L422">
        <v>2</v>
      </c>
      <c r="M422">
        <v>0</v>
      </c>
    </row>
    <row r="423" spans="1:13" x14ac:dyDescent="0.3">
      <c r="A423">
        <v>17</v>
      </c>
      <c r="B423" t="s">
        <v>13</v>
      </c>
      <c r="C423">
        <v>8</v>
      </c>
      <c r="D423" t="s">
        <v>14</v>
      </c>
      <c r="E423">
        <v>8.6999999999999993</v>
      </c>
      <c r="F423">
        <v>1.5</v>
      </c>
      <c r="G423">
        <v>3.7</v>
      </c>
      <c r="H423">
        <v>2</v>
      </c>
      <c r="I423" t="s">
        <v>18</v>
      </c>
      <c r="J423">
        <v>10</v>
      </c>
      <c r="K423">
        <v>9</v>
      </c>
      <c r="L423">
        <v>5</v>
      </c>
      <c r="M423">
        <v>0</v>
      </c>
    </row>
    <row r="424" spans="1:13" x14ac:dyDescent="0.3">
      <c r="A424">
        <v>19</v>
      </c>
      <c r="B424" t="s">
        <v>13</v>
      </c>
      <c r="C424">
        <v>2.9</v>
      </c>
      <c r="D424" t="s">
        <v>20</v>
      </c>
      <c r="E424">
        <v>4</v>
      </c>
      <c r="F424">
        <v>0.5</v>
      </c>
      <c r="G424">
        <v>3.16</v>
      </c>
      <c r="H424">
        <v>0.2</v>
      </c>
      <c r="I424" t="s">
        <v>18</v>
      </c>
      <c r="J424">
        <v>7</v>
      </c>
      <c r="K424">
        <v>6</v>
      </c>
      <c r="L424">
        <v>3</v>
      </c>
      <c r="M424">
        <v>0</v>
      </c>
    </row>
    <row r="425" spans="1:13" x14ac:dyDescent="0.3">
      <c r="A425">
        <v>14</v>
      </c>
      <c r="B425" t="s">
        <v>13</v>
      </c>
      <c r="C425">
        <v>4.3</v>
      </c>
      <c r="D425" t="s">
        <v>14</v>
      </c>
      <c r="E425">
        <v>8.4</v>
      </c>
      <c r="F425">
        <v>0.9</v>
      </c>
      <c r="G425">
        <v>3.2</v>
      </c>
      <c r="H425">
        <v>1.6</v>
      </c>
      <c r="I425" t="s">
        <v>18</v>
      </c>
      <c r="J425">
        <v>10</v>
      </c>
      <c r="K425">
        <v>10</v>
      </c>
      <c r="L425">
        <v>1</v>
      </c>
      <c r="M425">
        <v>0</v>
      </c>
    </row>
    <row r="426" spans="1:13" x14ac:dyDescent="0.3">
      <c r="A426">
        <v>16</v>
      </c>
      <c r="B426" t="s">
        <v>13</v>
      </c>
      <c r="C426">
        <v>1.1000000000000001</v>
      </c>
      <c r="D426" t="s">
        <v>14</v>
      </c>
      <c r="E426">
        <v>6.4</v>
      </c>
      <c r="F426">
        <v>3</v>
      </c>
      <c r="G426">
        <v>2.5099999999999998</v>
      </c>
      <c r="H426">
        <v>0.1</v>
      </c>
      <c r="I426" t="s">
        <v>19</v>
      </c>
      <c r="J426">
        <v>8</v>
      </c>
      <c r="K426">
        <v>6</v>
      </c>
      <c r="L426">
        <v>9</v>
      </c>
      <c r="M426">
        <v>0</v>
      </c>
    </row>
    <row r="427" spans="1:13" x14ac:dyDescent="0.3">
      <c r="A427">
        <v>16</v>
      </c>
      <c r="B427" t="s">
        <v>13</v>
      </c>
      <c r="C427">
        <v>4.9000000000000004</v>
      </c>
      <c r="D427" t="s">
        <v>14</v>
      </c>
      <c r="E427">
        <v>5.7</v>
      </c>
      <c r="F427">
        <v>1.2</v>
      </c>
      <c r="G427">
        <v>2.0699999999999998</v>
      </c>
      <c r="H427">
        <v>0.1</v>
      </c>
      <c r="I427" t="s">
        <v>19</v>
      </c>
      <c r="J427">
        <v>8</v>
      </c>
      <c r="K427">
        <v>2</v>
      </c>
      <c r="L427">
        <v>1</v>
      </c>
      <c r="M427">
        <v>0</v>
      </c>
    </row>
    <row r="428" spans="1:13" x14ac:dyDescent="0.3">
      <c r="A428">
        <v>14</v>
      </c>
      <c r="B428" t="s">
        <v>13</v>
      </c>
      <c r="C428">
        <v>6.1</v>
      </c>
      <c r="D428" t="s">
        <v>20</v>
      </c>
      <c r="E428">
        <v>7.6</v>
      </c>
      <c r="F428">
        <v>1.4</v>
      </c>
      <c r="G428">
        <v>2.72</v>
      </c>
      <c r="H428">
        <v>0.9</v>
      </c>
      <c r="I428" t="s">
        <v>15</v>
      </c>
      <c r="J428">
        <v>9</v>
      </c>
      <c r="K428">
        <v>3</v>
      </c>
      <c r="L428">
        <v>3</v>
      </c>
      <c r="M428">
        <v>0</v>
      </c>
    </row>
    <row r="429" spans="1:13" x14ac:dyDescent="0.3">
      <c r="A429">
        <v>15</v>
      </c>
      <c r="B429" t="s">
        <v>16</v>
      </c>
      <c r="C429">
        <v>2.7</v>
      </c>
      <c r="D429" t="s">
        <v>20</v>
      </c>
      <c r="E429">
        <v>6.5</v>
      </c>
      <c r="F429">
        <v>1.6</v>
      </c>
      <c r="G429">
        <v>2.14</v>
      </c>
      <c r="H429">
        <v>0.4</v>
      </c>
      <c r="I429" t="s">
        <v>18</v>
      </c>
      <c r="J429">
        <v>6</v>
      </c>
      <c r="K429">
        <v>6</v>
      </c>
      <c r="L429">
        <v>6</v>
      </c>
      <c r="M429">
        <v>0</v>
      </c>
    </row>
    <row r="430" spans="1:13" x14ac:dyDescent="0.3">
      <c r="A430">
        <v>16</v>
      </c>
      <c r="B430" t="s">
        <v>16</v>
      </c>
      <c r="C430">
        <v>7.8</v>
      </c>
      <c r="D430" t="s">
        <v>20</v>
      </c>
      <c r="E430">
        <v>7.4</v>
      </c>
      <c r="F430">
        <v>0.7</v>
      </c>
      <c r="G430">
        <v>2.54</v>
      </c>
      <c r="H430">
        <v>1.2</v>
      </c>
      <c r="I430" t="s">
        <v>19</v>
      </c>
      <c r="J430">
        <v>10</v>
      </c>
      <c r="K430">
        <v>4</v>
      </c>
      <c r="L430">
        <v>9</v>
      </c>
      <c r="M430">
        <v>0</v>
      </c>
    </row>
    <row r="431" spans="1:13" x14ac:dyDescent="0.3">
      <c r="A431">
        <v>18</v>
      </c>
      <c r="B431" t="s">
        <v>13</v>
      </c>
      <c r="C431">
        <v>4.2</v>
      </c>
      <c r="D431" t="s">
        <v>17</v>
      </c>
      <c r="E431">
        <v>6.5</v>
      </c>
      <c r="F431">
        <v>1.4</v>
      </c>
      <c r="G431">
        <v>2.91</v>
      </c>
      <c r="H431">
        <v>1.5</v>
      </c>
      <c r="I431" t="s">
        <v>15</v>
      </c>
      <c r="J431">
        <v>5</v>
      </c>
      <c r="K431">
        <v>6</v>
      </c>
      <c r="L431">
        <v>4</v>
      </c>
      <c r="M431">
        <v>0</v>
      </c>
    </row>
    <row r="432" spans="1:13" x14ac:dyDescent="0.3">
      <c r="A432">
        <v>13</v>
      </c>
      <c r="B432" t="s">
        <v>16</v>
      </c>
      <c r="C432">
        <v>4.4000000000000004</v>
      </c>
      <c r="D432" t="s">
        <v>14</v>
      </c>
      <c r="E432">
        <v>5.5</v>
      </c>
      <c r="F432">
        <v>2.7</v>
      </c>
      <c r="G432">
        <v>3.17</v>
      </c>
      <c r="H432">
        <v>0.3</v>
      </c>
      <c r="I432" t="s">
        <v>15</v>
      </c>
      <c r="J432">
        <v>5</v>
      </c>
      <c r="K432">
        <v>1</v>
      </c>
      <c r="L432">
        <v>5</v>
      </c>
      <c r="M432">
        <v>0</v>
      </c>
    </row>
    <row r="433" spans="1:13" x14ac:dyDescent="0.3">
      <c r="A433">
        <v>13</v>
      </c>
      <c r="B433" t="s">
        <v>16</v>
      </c>
      <c r="C433">
        <v>1.4</v>
      </c>
      <c r="D433" t="s">
        <v>20</v>
      </c>
      <c r="E433">
        <v>7.8</v>
      </c>
      <c r="F433">
        <v>0.6</v>
      </c>
      <c r="G433">
        <v>3.42</v>
      </c>
      <c r="H433">
        <v>1.6</v>
      </c>
      <c r="I433" t="s">
        <v>19</v>
      </c>
      <c r="J433">
        <v>10</v>
      </c>
      <c r="K433">
        <v>4</v>
      </c>
      <c r="L433">
        <v>6</v>
      </c>
      <c r="M433">
        <v>0</v>
      </c>
    </row>
    <row r="434" spans="1:13" x14ac:dyDescent="0.3">
      <c r="A434">
        <v>17</v>
      </c>
      <c r="B434" t="s">
        <v>13</v>
      </c>
      <c r="C434">
        <v>3.7</v>
      </c>
      <c r="D434" t="s">
        <v>17</v>
      </c>
      <c r="E434">
        <v>7.2</v>
      </c>
      <c r="F434">
        <v>0.6</v>
      </c>
      <c r="G434">
        <v>3.34</v>
      </c>
      <c r="H434">
        <v>1.8</v>
      </c>
      <c r="I434" t="s">
        <v>18</v>
      </c>
      <c r="J434">
        <v>2</v>
      </c>
      <c r="K434">
        <v>6</v>
      </c>
      <c r="L434">
        <v>2</v>
      </c>
      <c r="M434">
        <v>0</v>
      </c>
    </row>
    <row r="435" spans="1:13" x14ac:dyDescent="0.3">
      <c r="A435">
        <v>14</v>
      </c>
      <c r="B435" t="s">
        <v>13</v>
      </c>
      <c r="C435">
        <v>3.8</v>
      </c>
      <c r="D435" t="s">
        <v>14</v>
      </c>
      <c r="E435">
        <v>8.9</v>
      </c>
      <c r="F435">
        <v>1.9</v>
      </c>
      <c r="G435">
        <v>2.77</v>
      </c>
      <c r="H435">
        <v>0.2</v>
      </c>
      <c r="I435" t="s">
        <v>19</v>
      </c>
      <c r="J435">
        <v>6</v>
      </c>
      <c r="K435">
        <v>2</v>
      </c>
      <c r="L435">
        <v>2</v>
      </c>
      <c r="M435">
        <v>0</v>
      </c>
    </row>
    <row r="436" spans="1:13" x14ac:dyDescent="0.3">
      <c r="A436">
        <v>15</v>
      </c>
      <c r="B436" t="s">
        <v>16</v>
      </c>
      <c r="C436">
        <v>5.4</v>
      </c>
      <c r="D436" t="s">
        <v>17</v>
      </c>
      <c r="E436">
        <v>7</v>
      </c>
      <c r="F436">
        <v>1.8</v>
      </c>
      <c r="G436">
        <v>2.54</v>
      </c>
      <c r="H436">
        <v>0.1</v>
      </c>
      <c r="I436" t="s">
        <v>15</v>
      </c>
      <c r="J436">
        <v>1</v>
      </c>
      <c r="K436">
        <v>4</v>
      </c>
      <c r="L436">
        <v>4</v>
      </c>
      <c r="M436">
        <v>0</v>
      </c>
    </row>
    <row r="437" spans="1:13" x14ac:dyDescent="0.3">
      <c r="A437">
        <v>17</v>
      </c>
      <c r="B437" t="s">
        <v>13</v>
      </c>
      <c r="C437">
        <v>4</v>
      </c>
      <c r="D437" t="s">
        <v>20</v>
      </c>
      <c r="E437">
        <v>4.3</v>
      </c>
      <c r="F437">
        <v>1.8</v>
      </c>
      <c r="G437">
        <v>2.17</v>
      </c>
      <c r="H437">
        <v>0.9</v>
      </c>
      <c r="I437" t="s">
        <v>18</v>
      </c>
      <c r="J437">
        <v>8</v>
      </c>
      <c r="K437">
        <v>8</v>
      </c>
      <c r="L437">
        <v>3</v>
      </c>
      <c r="M437">
        <v>0</v>
      </c>
    </row>
    <row r="438" spans="1:13" x14ac:dyDescent="0.3">
      <c r="A438">
        <v>19</v>
      </c>
      <c r="B438" t="s">
        <v>13</v>
      </c>
      <c r="C438">
        <v>3.5</v>
      </c>
      <c r="D438" t="s">
        <v>17</v>
      </c>
      <c r="E438">
        <v>5.8</v>
      </c>
      <c r="F438">
        <v>1.8</v>
      </c>
      <c r="G438">
        <v>3.3</v>
      </c>
      <c r="H438">
        <v>0.9</v>
      </c>
      <c r="I438" t="s">
        <v>15</v>
      </c>
      <c r="J438">
        <v>7</v>
      </c>
      <c r="K438">
        <v>6</v>
      </c>
      <c r="L438">
        <v>9</v>
      </c>
      <c r="M438">
        <v>0</v>
      </c>
    </row>
    <row r="439" spans="1:13" x14ac:dyDescent="0.3">
      <c r="A439">
        <v>17</v>
      </c>
      <c r="B439" t="s">
        <v>13</v>
      </c>
      <c r="C439">
        <v>1.3</v>
      </c>
      <c r="D439" t="s">
        <v>20</v>
      </c>
      <c r="E439">
        <v>8.3000000000000007</v>
      </c>
      <c r="F439">
        <v>1</v>
      </c>
      <c r="G439">
        <v>3.95</v>
      </c>
      <c r="H439">
        <v>1.2</v>
      </c>
      <c r="I439" t="s">
        <v>19</v>
      </c>
      <c r="J439">
        <v>4</v>
      </c>
      <c r="K439">
        <v>1</v>
      </c>
      <c r="L439">
        <v>1</v>
      </c>
      <c r="M439">
        <v>0</v>
      </c>
    </row>
    <row r="440" spans="1:13" x14ac:dyDescent="0.3">
      <c r="A440">
        <v>14</v>
      </c>
      <c r="B440" t="s">
        <v>13</v>
      </c>
      <c r="C440">
        <v>5.6</v>
      </c>
      <c r="D440" t="s">
        <v>14</v>
      </c>
      <c r="E440">
        <v>8.8000000000000007</v>
      </c>
      <c r="F440">
        <v>0.9</v>
      </c>
      <c r="G440">
        <v>3.03</v>
      </c>
      <c r="H440">
        <v>2</v>
      </c>
      <c r="I440" t="s">
        <v>15</v>
      </c>
      <c r="J440">
        <v>8</v>
      </c>
      <c r="K440">
        <v>10</v>
      </c>
      <c r="L440">
        <v>3</v>
      </c>
      <c r="M440">
        <v>0</v>
      </c>
    </row>
    <row r="441" spans="1:13" x14ac:dyDescent="0.3">
      <c r="A441">
        <v>13</v>
      </c>
      <c r="B441" t="s">
        <v>16</v>
      </c>
      <c r="C441">
        <v>2.4</v>
      </c>
      <c r="D441" t="s">
        <v>14</v>
      </c>
      <c r="E441">
        <v>5.5</v>
      </c>
      <c r="F441">
        <v>0.6</v>
      </c>
      <c r="G441">
        <v>3.56</v>
      </c>
      <c r="H441">
        <v>1.6</v>
      </c>
      <c r="I441" t="s">
        <v>19</v>
      </c>
      <c r="J441">
        <v>4</v>
      </c>
      <c r="K441">
        <v>8</v>
      </c>
      <c r="L441">
        <v>7</v>
      </c>
      <c r="M441">
        <v>0</v>
      </c>
    </row>
    <row r="442" spans="1:13" x14ac:dyDescent="0.3">
      <c r="A442">
        <v>16</v>
      </c>
      <c r="B442" t="s">
        <v>13</v>
      </c>
      <c r="C442">
        <v>2</v>
      </c>
      <c r="D442" t="s">
        <v>20</v>
      </c>
      <c r="E442">
        <v>7.8</v>
      </c>
      <c r="F442">
        <v>2.8</v>
      </c>
      <c r="G442">
        <v>2.1</v>
      </c>
      <c r="H442">
        <v>0.6</v>
      </c>
      <c r="I442" t="s">
        <v>19</v>
      </c>
      <c r="J442">
        <v>2</v>
      </c>
      <c r="K442">
        <v>6</v>
      </c>
      <c r="L442">
        <v>8</v>
      </c>
      <c r="M442">
        <v>0</v>
      </c>
    </row>
    <row r="443" spans="1:13" x14ac:dyDescent="0.3">
      <c r="A443">
        <v>15</v>
      </c>
      <c r="B443" t="s">
        <v>13</v>
      </c>
      <c r="C443">
        <v>6.6</v>
      </c>
      <c r="D443" t="s">
        <v>14</v>
      </c>
      <c r="E443">
        <v>8.6</v>
      </c>
      <c r="F443">
        <v>1.5</v>
      </c>
      <c r="G443">
        <v>2.63</v>
      </c>
      <c r="H443">
        <v>1.1000000000000001</v>
      </c>
      <c r="I443" t="s">
        <v>15</v>
      </c>
      <c r="J443">
        <v>1</v>
      </c>
      <c r="K443">
        <v>9</v>
      </c>
      <c r="L443">
        <v>9</v>
      </c>
      <c r="M443">
        <v>0</v>
      </c>
    </row>
    <row r="444" spans="1:13" x14ac:dyDescent="0.3">
      <c r="A444">
        <v>17</v>
      </c>
      <c r="B444" t="s">
        <v>16</v>
      </c>
      <c r="C444">
        <v>2.2999999999999998</v>
      </c>
      <c r="D444" t="s">
        <v>17</v>
      </c>
      <c r="E444">
        <v>6.4</v>
      </c>
      <c r="F444">
        <v>2.4</v>
      </c>
      <c r="G444">
        <v>3.61</v>
      </c>
      <c r="H444">
        <v>0.6</v>
      </c>
      <c r="I444" t="s">
        <v>19</v>
      </c>
      <c r="J444">
        <v>2</v>
      </c>
      <c r="K444">
        <v>1</v>
      </c>
      <c r="L444">
        <v>1</v>
      </c>
      <c r="M444">
        <v>0</v>
      </c>
    </row>
    <row r="445" spans="1:13" x14ac:dyDescent="0.3">
      <c r="A445">
        <v>16</v>
      </c>
      <c r="B445" t="s">
        <v>13</v>
      </c>
      <c r="C445">
        <v>6.4</v>
      </c>
      <c r="D445" t="s">
        <v>17</v>
      </c>
      <c r="E445">
        <v>5.4</v>
      </c>
      <c r="F445">
        <v>1.4</v>
      </c>
      <c r="G445">
        <v>2.42</v>
      </c>
      <c r="H445">
        <v>1.9</v>
      </c>
      <c r="I445" t="s">
        <v>19</v>
      </c>
      <c r="J445">
        <v>4</v>
      </c>
      <c r="K445">
        <v>9</v>
      </c>
      <c r="L445">
        <v>5</v>
      </c>
      <c r="M445">
        <v>0</v>
      </c>
    </row>
    <row r="446" spans="1:13" x14ac:dyDescent="0.3">
      <c r="A446">
        <v>18</v>
      </c>
      <c r="B446" t="s">
        <v>16</v>
      </c>
      <c r="C446">
        <v>3.5</v>
      </c>
      <c r="D446" t="s">
        <v>20</v>
      </c>
      <c r="E446">
        <v>5.9</v>
      </c>
      <c r="F446">
        <v>1.3</v>
      </c>
      <c r="G446">
        <v>3.68</v>
      </c>
      <c r="H446">
        <v>2</v>
      </c>
      <c r="I446" t="s">
        <v>19</v>
      </c>
      <c r="J446">
        <v>7</v>
      </c>
      <c r="K446">
        <v>4</v>
      </c>
      <c r="L446">
        <v>10</v>
      </c>
      <c r="M446">
        <v>0</v>
      </c>
    </row>
    <row r="447" spans="1:13" x14ac:dyDescent="0.3">
      <c r="A447">
        <v>18</v>
      </c>
      <c r="B447" t="s">
        <v>16</v>
      </c>
      <c r="C447">
        <v>1.7</v>
      </c>
      <c r="D447" t="s">
        <v>14</v>
      </c>
      <c r="E447">
        <v>8.5</v>
      </c>
      <c r="F447">
        <v>1</v>
      </c>
      <c r="G447">
        <v>3.32</v>
      </c>
      <c r="H447">
        <v>1.3</v>
      </c>
      <c r="I447" t="s">
        <v>19</v>
      </c>
      <c r="J447">
        <v>1</v>
      </c>
      <c r="K447">
        <v>1</v>
      </c>
      <c r="L447">
        <v>7</v>
      </c>
      <c r="M447">
        <v>0</v>
      </c>
    </row>
    <row r="448" spans="1:13" x14ac:dyDescent="0.3">
      <c r="A448">
        <v>14</v>
      </c>
      <c r="B448" t="s">
        <v>13</v>
      </c>
      <c r="C448">
        <v>4.0999999999999996</v>
      </c>
      <c r="D448" t="s">
        <v>14</v>
      </c>
      <c r="E448">
        <v>8.1999999999999993</v>
      </c>
      <c r="F448">
        <v>1.7</v>
      </c>
      <c r="G448">
        <v>2.3199999999999998</v>
      </c>
      <c r="H448">
        <v>1.4</v>
      </c>
      <c r="I448" t="s">
        <v>18</v>
      </c>
      <c r="J448">
        <v>9</v>
      </c>
      <c r="K448">
        <v>2</v>
      </c>
      <c r="L448">
        <v>4</v>
      </c>
      <c r="M448">
        <v>0</v>
      </c>
    </row>
    <row r="449" spans="1:13" x14ac:dyDescent="0.3">
      <c r="A449">
        <v>14</v>
      </c>
      <c r="B449" t="s">
        <v>13</v>
      </c>
      <c r="C449">
        <v>3.3</v>
      </c>
      <c r="D449" t="s">
        <v>14</v>
      </c>
      <c r="E449">
        <v>6.5</v>
      </c>
      <c r="F449">
        <v>0.8</v>
      </c>
      <c r="G449">
        <v>2.54</v>
      </c>
      <c r="H449">
        <v>0.8</v>
      </c>
      <c r="I449" t="s">
        <v>15</v>
      </c>
      <c r="J449">
        <v>1</v>
      </c>
      <c r="K449">
        <v>2</v>
      </c>
      <c r="L449">
        <v>3</v>
      </c>
      <c r="M449">
        <v>0</v>
      </c>
    </row>
    <row r="450" spans="1:13" x14ac:dyDescent="0.3">
      <c r="A450">
        <v>14</v>
      </c>
      <c r="B450" t="s">
        <v>16</v>
      </c>
      <c r="C450">
        <v>5</v>
      </c>
      <c r="D450" t="s">
        <v>17</v>
      </c>
      <c r="E450">
        <v>4.9000000000000004</v>
      </c>
      <c r="F450">
        <v>2.6</v>
      </c>
      <c r="G450">
        <v>3.82</v>
      </c>
      <c r="H450">
        <v>1.9</v>
      </c>
      <c r="I450" t="s">
        <v>19</v>
      </c>
      <c r="J450">
        <v>3</v>
      </c>
      <c r="K450">
        <v>10</v>
      </c>
      <c r="L450">
        <v>10</v>
      </c>
      <c r="M450">
        <v>0</v>
      </c>
    </row>
    <row r="451" spans="1:13" x14ac:dyDescent="0.3">
      <c r="A451">
        <v>19</v>
      </c>
      <c r="B451" t="s">
        <v>16</v>
      </c>
      <c r="C451">
        <v>1.5</v>
      </c>
      <c r="D451" t="s">
        <v>14</v>
      </c>
      <c r="E451">
        <v>8.4</v>
      </c>
      <c r="F451">
        <v>3</v>
      </c>
      <c r="G451">
        <v>2.46</v>
      </c>
      <c r="H451">
        <v>1.5</v>
      </c>
      <c r="I451" t="s">
        <v>18</v>
      </c>
      <c r="J451">
        <v>1</v>
      </c>
      <c r="K451">
        <v>7</v>
      </c>
      <c r="L451">
        <v>6</v>
      </c>
      <c r="M451">
        <v>0</v>
      </c>
    </row>
    <row r="452" spans="1:13" x14ac:dyDescent="0.3">
      <c r="A452">
        <v>17</v>
      </c>
      <c r="B452" t="s">
        <v>16</v>
      </c>
      <c r="C452">
        <v>3.3</v>
      </c>
      <c r="D452" t="s">
        <v>17</v>
      </c>
      <c r="E452">
        <v>8.4</v>
      </c>
      <c r="F452">
        <v>2.1</v>
      </c>
      <c r="G452">
        <v>3.4</v>
      </c>
      <c r="H452">
        <v>0.2</v>
      </c>
      <c r="I452" t="s">
        <v>18</v>
      </c>
      <c r="J452">
        <v>1</v>
      </c>
      <c r="K452">
        <v>3</v>
      </c>
      <c r="L452">
        <v>10</v>
      </c>
      <c r="M452">
        <v>0</v>
      </c>
    </row>
    <row r="453" spans="1:13" x14ac:dyDescent="0.3">
      <c r="A453">
        <v>13</v>
      </c>
      <c r="B453" t="s">
        <v>13</v>
      </c>
      <c r="C453">
        <v>6.4</v>
      </c>
      <c r="D453" t="s">
        <v>20</v>
      </c>
      <c r="E453">
        <v>4.0999999999999996</v>
      </c>
      <c r="F453">
        <v>1.3</v>
      </c>
      <c r="G453">
        <v>2.77</v>
      </c>
      <c r="H453">
        <v>1.3</v>
      </c>
      <c r="I453" t="s">
        <v>15</v>
      </c>
      <c r="J453">
        <v>10</v>
      </c>
      <c r="K453">
        <v>6</v>
      </c>
      <c r="L453">
        <v>1</v>
      </c>
      <c r="M453">
        <v>0</v>
      </c>
    </row>
    <row r="454" spans="1:13" x14ac:dyDescent="0.3">
      <c r="A454">
        <v>17</v>
      </c>
      <c r="B454" t="s">
        <v>16</v>
      </c>
      <c r="C454">
        <v>8</v>
      </c>
      <c r="D454" t="s">
        <v>14</v>
      </c>
      <c r="E454">
        <v>8.1</v>
      </c>
      <c r="F454">
        <v>1.2</v>
      </c>
      <c r="G454">
        <v>2.13</v>
      </c>
      <c r="H454">
        <v>1</v>
      </c>
      <c r="I454" t="s">
        <v>15</v>
      </c>
      <c r="J454">
        <v>1</v>
      </c>
      <c r="K454">
        <v>8</v>
      </c>
      <c r="L454">
        <v>7</v>
      </c>
      <c r="M454">
        <v>0</v>
      </c>
    </row>
    <row r="455" spans="1:13" x14ac:dyDescent="0.3">
      <c r="A455">
        <v>16</v>
      </c>
      <c r="B455" t="s">
        <v>16</v>
      </c>
      <c r="C455">
        <v>1</v>
      </c>
      <c r="D455" t="s">
        <v>20</v>
      </c>
      <c r="E455">
        <v>4.0999999999999996</v>
      </c>
      <c r="F455">
        <v>1.3</v>
      </c>
      <c r="G455">
        <v>2.2200000000000002</v>
      </c>
      <c r="H455">
        <v>0.4</v>
      </c>
      <c r="I455" t="s">
        <v>15</v>
      </c>
      <c r="J455">
        <v>2</v>
      </c>
      <c r="K455">
        <v>1</v>
      </c>
      <c r="L455">
        <v>8</v>
      </c>
      <c r="M455">
        <v>0</v>
      </c>
    </row>
    <row r="456" spans="1:13" x14ac:dyDescent="0.3">
      <c r="A456">
        <v>18</v>
      </c>
      <c r="B456" t="s">
        <v>16</v>
      </c>
      <c r="C456">
        <v>4.2</v>
      </c>
      <c r="D456" t="s">
        <v>14</v>
      </c>
      <c r="E456">
        <v>5.4</v>
      </c>
      <c r="F456">
        <v>1.1000000000000001</v>
      </c>
      <c r="G456">
        <v>2.31</v>
      </c>
      <c r="H456">
        <v>0.3</v>
      </c>
      <c r="I456" t="s">
        <v>15</v>
      </c>
      <c r="J456">
        <v>4</v>
      </c>
      <c r="K456">
        <v>9</v>
      </c>
      <c r="L456">
        <v>1</v>
      </c>
      <c r="M456">
        <v>0</v>
      </c>
    </row>
    <row r="457" spans="1:13" x14ac:dyDescent="0.3">
      <c r="A457">
        <v>18</v>
      </c>
      <c r="B457" t="s">
        <v>16</v>
      </c>
      <c r="C457">
        <v>4.5999999999999996</v>
      </c>
      <c r="D457" t="s">
        <v>17</v>
      </c>
      <c r="E457">
        <v>7.3</v>
      </c>
      <c r="F457">
        <v>2.8</v>
      </c>
      <c r="G457">
        <v>3.22</v>
      </c>
      <c r="H457">
        <v>0.6</v>
      </c>
      <c r="I457" t="s">
        <v>18</v>
      </c>
      <c r="J457">
        <v>1</v>
      </c>
      <c r="K457">
        <v>3</v>
      </c>
      <c r="L457">
        <v>6</v>
      </c>
      <c r="M457">
        <v>0</v>
      </c>
    </row>
    <row r="458" spans="1:13" x14ac:dyDescent="0.3">
      <c r="A458">
        <v>17</v>
      </c>
      <c r="B458" t="s">
        <v>16</v>
      </c>
      <c r="C458">
        <v>2.8</v>
      </c>
      <c r="D458" t="s">
        <v>20</v>
      </c>
      <c r="E458">
        <v>6.2</v>
      </c>
      <c r="F458">
        <v>2.4</v>
      </c>
      <c r="G458">
        <v>2.58</v>
      </c>
      <c r="H458">
        <v>0.4</v>
      </c>
      <c r="I458" t="s">
        <v>18</v>
      </c>
      <c r="J458">
        <v>4</v>
      </c>
      <c r="K458">
        <v>10</v>
      </c>
      <c r="L458">
        <v>9</v>
      </c>
      <c r="M458">
        <v>0</v>
      </c>
    </row>
    <row r="459" spans="1:13" x14ac:dyDescent="0.3">
      <c r="A459">
        <v>16</v>
      </c>
      <c r="B459" t="s">
        <v>16</v>
      </c>
      <c r="C459">
        <v>6.3</v>
      </c>
      <c r="D459" t="s">
        <v>14</v>
      </c>
      <c r="E459">
        <v>6.9</v>
      </c>
      <c r="F459">
        <v>1.3</v>
      </c>
      <c r="G459">
        <v>2.15</v>
      </c>
      <c r="H459">
        <v>1.4</v>
      </c>
      <c r="I459" t="s">
        <v>15</v>
      </c>
      <c r="J459">
        <v>9</v>
      </c>
      <c r="K459">
        <v>2</v>
      </c>
      <c r="L459">
        <v>10</v>
      </c>
      <c r="M459">
        <v>0</v>
      </c>
    </row>
    <row r="460" spans="1:13" x14ac:dyDescent="0.3">
      <c r="A460">
        <v>17</v>
      </c>
      <c r="B460" t="s">
        <v>16</v>
      </c>
      <c r="C460">
        <v>7.2</v>
      </c>
      <c r="D460" t="s">
        <v>17</v>
      </c>
      <c r="E460">
        <v>7</v>
      </c>
      <c r="F460">
        <v>1.3</v>
      </c>
      <c r="G460">
        <v>3.86</v>
      </c>
      <c r="H460">
        <v>0.9</v>
      </c>
      <c r="I460" t="s">
        <v>15</v>
      </c>
      <c r="J460">
        <v>7</v>
      </c>
      <c r="K460">
        <v>8</v>
      </c>
      <c r="L460">
        <v>4</v>
      </c>
      <c r="M460">
        <v>0</v>
      </c>
    </row>
    <row r="461" spans="1:13" x14ac:dyDescent="0.3">
      <c r="A461">
        <v>13</v>
      </c>
      <c r="B461" t="s">
        <v>13</v>
      </c>
      <c r="C461">
        <v>4.5</v>
      </c>
      <c r="D461" t="s">
        <v>20</v>
      </c>
      <c r="E461">
        <v>6.7</v>
      </c>
      <c r="F461">
        <v>2.2000000000000002</v>
      </c>
      <c r="G461">
        <v>3.73</v>
      </c>
      <c r="H461">
        <v>0.3</v>
      </c>
      <c r="I461" t="s">
        <v>15</v>
      </c>
      <c r="J461">
        <v>3</v>
      </c>
      <c r="K461">
        <v>5</v>
      </c>
      <c r="L461">
        <v>10</v>
      </c>
      <c r="M461">
        <v>0</v>
      </c>
    </row>
    <row r="462" spans="1:13" x14ac:dyDescent="0.3">
      <c r="A462">
        <v>18</v>
      </c>
      <c r="B462" t="s">
        <v>13</v>
      </c>
      <c r="C462">
        <v>5.3</v>
      </c>
      <c r="D462" t="s">
        <v>20</v>
      </c>
      <c r="E462">
        <v>5.0999999999999996</v>
      </c>
      <c r="F462">
        <v>1.2</v>
      </c>
      <c r="G462">
        <v>3.32</v>
      </c>
      <c r="H462">
        <v>1.8</v>
      </c>
      <c r="I462" t="s">
        <v>15</v>
      </c>
      <c r="J462">
        <v>7</v>
      </c>
      <c r="K462">
        <v>3</v>
      </c>
      <c r="L462">
        <v>8</v>
      </c>
      <c r="M462">
        <v>0</v>
      </c>
    </row>
    <row r="463" spans="1:13" x14ac:dyDescent="0.3">
      <c r="A463">
        <v>13</v>
      </c>
      <c r="B463" t="s">
        <v>13</v>
      </c>
      <c r="C463">
        <v>5.2</v>
      </c>
      <c r="D463" t="s">
        <v>17</v>
      </c>
      <c r="E463">
        <v>6.7</v>
      </c>
      <c r="F463">
        <v>2.5</v>
      </c>
      <c r="G463">
        <v>3.82</v>
      </c>
      <c r="H463">
        <v>0.9</v>
      </c>
      <c r="I463" t="s">
        <v>19</v>
      </c>
      <c r="J463">
        <v>8</v>
      </c>
      <c r="K463">
        <v>8</v>
      </c>
      <c r="L463">
        <v>6</v>
      </c>
      <c r="M463">
        <v>0</v>
      </c>
    </row>
    <row r="464" spans="1:13" x14ac:dyDescent="0.3">
      <c r="A464">
        <v>13</v>
      </c>
      <c r="B464" t="s">
        <v>13</v>
      </c>
      <c r="C464">
        <v>7.9</v>
      </c>
      <c r="D464" t="s">
        <v>17</v>
      </c>
      <c r="E464">
        <v>6</v>
      </c>
      <c r="F464">
        <v>2.7</v>
      </c>
      <c r="G464">
        <v>2.85</v>
      </c>
      <c r="H464">
        <v>0.3</v>
      </c>
      <c r="I464" t="s">
        <v>15</v>
      </c>
      <c r="J464">
        <v>9</v>
      </c>
      <c r="K464">
        <v>10</v>
      </c>
      <c r="L464">
        <v>3</v>
      </c>
      <c r="M464">
        <v>0</v>
      </c>
    </row>
    <row r="465" spans="1:13" x14ac:dyDescent="0.3">
      <c r="A465">
        <v>19</v>
      </c>
      <c r="B465" t="s">
        <v>13</v>
      </c>
      <c r="C465">
        <v>6.9</v>
      </c>
      <c r="D465" t="s">
        <v>17</v>
      </c>
      <c r="E465">
        <v>8.5</v>
      </c>
      <c r="F465">
        <v>1.5</v>
      </c>
      <c r="G465">
        <v>3.55</v>
      </c>
      <c r="H465">
        <v>1.3</v>
      </c>
      <c r="I465" t="s">
        <v>15</v>
      </c>
      <c r="J465">
        <v>5</v>
      </c>
      <c r="K465">
        <v>6</v>
      </c>
      <c r="L465">
        <v>1</v>
      </c>
      <c r="M465">
        <v>0</v>
      </c>
    </row>
    <row r="466" spans="1:13" x14ac:dyDescent="0.3">
      <c r="A466">
        <v>17</v>
      </c>
      <c r="B466" t="s">
        <v>16</v>
      </c>
      <c r="C466">
        <v>5.8</v>
      </c>
      <c r="D466" t="s">
        <v>14</v>
      </c>
      <c r="E466">
        <v>4.0999999999999996</v>
      </c>
      <c r="F466">
        <v>2.9</v>
      </c>
      <c r="G466">
        <v>2.33</v>
      </c>
      <c r="H466">
        <v>0.4</v>
      </c>
      <c r="I466" t="s">
        <v>18</v>
      </c>
      <c r="J466">
        <v>9</v>
      </c>
      <c r="K466">
        <v>6</v>
      </c>
      <c r="L466">
        <v>8</v>
      </c>
      <c r="M466">
        <v>0</v>
      </c>
    </row>
    <row r="467" spans="1:13" x14ac:dyDescent="0.3">
      <c r="A467">
        <v>19</v>
      </c>
      <c r="B467" t="s">
        <v>13</v>
      </c>
      <c r="C467">
        <v>7</v>
      </c>
      <c r="D467" t="s">
        <v>14</v>
      </c>
      <c r="E467">
        <v>8.3000000000000007</v>
      </c>
      <c r="F467">
        <v>2.1</v>
      </c>
      <c r="G467">
        <v>3.09</v>
      </c>
      <c r="H467">
        <v>1.5</v>
      </c>
      <c r="I467" t="s">
        <v>15</v>
      </c>
      <c r="J467">
        <v>9</v>
      </c>
      <c r="K467">
        <v>7</v>
      </c>
      <c r="L467">
        <v>3</v>
      </c>
      <c r="M467">
        <v>0</v>
      </c>
    </row>
    <row r="468" spans="1:13" x14ac:dyDescent="0.3">
      <c r="A468">
        <v>14</v>
      </c>
      <c r="B468" t="s">
        <v>16</v>
      </c>
      <c r="C468">
        <v>3</v>
      </c>
      <c r="D468" t="s">
        <v>17</v>
      </c>
      <c r="E468">
        <v>8.3000000000000007</v>
      </c>
      <c r="F468">
        <v>2.7</v>
      </c>
      <c r="G468">
        <v>3.9</v>
      </c>
      <c r="H468">
        <v>0.7</v>
      </c>
      <c r="I468" t="s">
        <v>18</v>
      </c>
      <c r="J468">
        <v>3</v>
      </c>
      <c r="K468">
        <v>1</v>
      </c>
      <c r="L468">
        <v>5</v>
      </c>
      <c r="M468">
        <v>0</v>
      </c>
    </row>
    <row r="469" spans="1:13" x14ac:dyDescent="0.3">
      <c r="A469">
        <v>18</v>
      </c>
      <c r="B469" t="s">
        <v>13</v>
      </c>
      <c r="C469">
        <v>6.3</v>
      </c>
      <c r="D469" t="s">
        <v>20</v>
      </c>
      <c r="E469">
        <v>7.9</v>
      </c>
      <c r="F469">
        <v>1.7</v>
      </c>
      <c r="G469">
        <v>2.85</v>
      </c>
      <c r="H469">
        <v>0.3</v>
      </c>
      <c r="I469" t="s">
        <v>19</v>
      </c>
      <c r="J469">
        <v>1</v>
      </c>
      <c r="K469">
        <v>1</v>
      </c>
      <c r="L469">
        <v>2</v>
      </c>
      <c r="M469">
        <v>0</v>
      </c>
    </row>
    <row r="470" spans="1:13" x14ac:dyDescent="0.3">
      <c r="A470">
        <v>17</v>
      </c>
      <c r="B470" t="s">
        <v>16</v>
      </c>
      <c r="C470">
        <v>5.5</v>
      </c>
      <c r="D470" t="s">
        <v>14</v>
      </c>
      <c r="E470">
        <v>4.9000000000000004</v>
      </c>
      <c r="F470">
        <v>2.6</v>
      </c>
      <c r="G470">
        <v>3.64</v>
      </c>
      <c r="H470">
        <v>0.8</v>
      </c>
      <c r="I470" t="s">
        <v>19</v>
      </c>
      <c r="J470">
        <v>6</v>
      </c>
      <c r="K470">
        <v>8</v>
      </c>
      <c r="L470">
        <v>3</v>
      </c>
      <c r="M470">
        <v>0</v>
      </c>
    </row>
    <row r="471" spans="1:13" x14ac:dyDescent="0.3">
      <c r="A471">
        <v>17</v>
      </c>
      <c r="B471" t="s">
        <v>16</v>
      </c>
      <c r="C471">
        <v>2.2000000000000002</v>
      </c>
      <c r="D471" t="s">
        <v>20</v>
      </c>
      <c r="E471">
        <v>7.5</v>
      </c>
      <c r="F471">
        <v>2.2000000000000002</v>
      </c>
      <c r="G471">
        <v>2.95</v>
      </c>
      <c r="H471">
        <v>1.6</v>
      </c>
      <c r="I471" t="s">
        <v>15</v>
      </c>
      <c r="J471">
        <v>9</v>
      </c>
      <c r="K471">
        <v>7</v>
      </c>
      <c r="L471">
        <v>4</v>
      </c>
      <c r="M471">
        <v>0</v>
      </c>
    </row>
    <row r="472" spans="1:13" x14ac:dyDescent="0.3">
      <c r="A472">
        <v>14</v>
      </c>
      <c r="B472" t="s">
        <v>13</v>
      </c>
      <c r="C472">
        <v>1.4</v>
      </c>
      <c r="D472" t="s">
        <v>20</v>
      </c>
      <c r="E472">
        <v>4.5</v>
      </c>
      <c r="F472">
        <v>1.4</v>
      </c>
      <c r="G472">
        <v>3.17</v>
      </c>
      <c r="H472">
        <v>1.7</v>
      </c>
      <c r="I472" t="s">
        <v>18</v>
      </c>
      <c r="J472">
        <v>9</v>
      </c>
      <c r="K472">
        <v>10</v>
      </c>
      <c r="L472">
        <v>9</v>
      </c>
      <c r="M472">
        <v>0</v>
      </c>
    </row>
    <row r="473" spans="1:13" x14ac:dyDescent="0.3">
      <c r="A473">
        <v>18</v>
      </c>
      <c r="B473" t="s">
        <v>13</v>
      </c>
      <c r="C473">
        <v>4.5</v>
      </c>
      <c r="D473" t="s">
        <v>14</v>
      </c>
      <c r="E473">
        <v>4.4000000000000004</v>
      </c>
      <c r="F473">
        <v>1.9</v>
      </c>
      <c r="G473">
        <v>2.2599999999999998</v>
      </c>
      <c r="H473">
        <v>0</v>
      </c>
      <c r="I473" t="s">
        <v>15</v>
      </c>
      <c r="J473">
        <v>7</v>
      </c>
      <c r="K473">
        <v>8</v>
      </c>
      <c r="L473">
        <v>10</v>
      </c>
      <c r="M473">
        <v>0</v>
      </c>
    </row>
    <row r="474" spans="1:13" x14ac:dyDescent="0.3">
      <c r="A474">
        <v>14</v>
      </c>
      <c r="B474" t="s">
        <v>16</v>
      </c>
      <c r="C474">
        <v>6.1</v>
      </c>
      <c r="D474" t="s">
        <v>14</v>
      </c>
      <c r="E474">
        <v>5.7</v>
      </c>
      <c r="F474">
        <v>2</v>
      </c>
      <c r="G474">
        <v>3.9</v>
      </c>
      <c r="H474">
        <v>1</v>
      </c>
      <c r="I474" t="s">
        <v>15</v>
      </c>
      <c r="J474">
        <v>8</v>
      </c>
      <c r="K474">
        <v>4</v>
      </c>
      <c r="L474">
        <v>6</v>
      </c>
      <c r="M474">
        <v>0</v>
      </c>
    </row>
    <row r="475" spans="1:13" x14ac:dyDescent="0.3">
      <c r="A475">
        <v>17</v>
      </c>
      <c r="B475" t="s">
        <v>13</v>
      </c>
      <c r="C475">
        <v>3.3</v>
      </c>
      <c r="D475" t="s">
        <v>17</v>
      </c>
      <c r="E475">
        <v>5.7</v>
      </c>
      <c r="F475">
        <v>2</v>
      </c>
      <c r="G475">
        <v>3.71</v>
      </c>
      <c r="H475">
        <v>0.1</v>
      </c>
      <c r="I475" t="s">
        <v>15</v>
      </c>
      <c r="J475">
        <v>6</v>
      </c>
      <c r="K475">
        <v>6</v>
      </c>
      <c r="L475">
        <v>8</v>
      </c>
      <c r="M475">
        <v>0</v>
      </c>
    </row>
    <row r="476" spans="1:13" x14ac:dyDescent="0.3">
      <c r="A476">
        <v>15</v>
      </c>
      <c r="B476" t="s">
        <v>13</v>
      </c>
      <c r="C476">
        <v>5.2</v>
      </c>
      <c r="D476" t="s">
        <v>20</v>
      </c>
      <c r="E476">
        <v>5.6</v>
      </c>
      <c r="F476">
        <v>1.1000000000000001</v>
      </c>
      <c r="G476">
        <v>2.88</v>
      </c>
      <c r="H476">
        <v>0.1</v>
      </c>
      <c r="I476" t="s">
        <v>19</v>
      </c>
      <c r="J476">
        <v>4</v>
      </c>
      <c r="K476">
        <v>8</v>
      </c>
      <c r="L476">
        <v>7</v>
      </c>
      <c r="M476">
        <v>0</v>
      </c>
    </row>
    <row r="477" spans="1:13" x14ac:dyDescent="0.3">
      <c r="A477">
        <v>18</v>
      </c>
      <c r="B477" t="s">
        <v>13</v>
      </c>
      <c r="C477">
        <v>5</v>
      </c>
      <c r="D477" t="s">
        <v>20</v>
      </c>
      <c r="E477">
        <v>5.8</v>
      </c>
      <c r="F477">
        <v>1.3</v>
      </c>
      <c r="G477">
        <v>2.12</v>
      </c>
      <c r="H477">
        <v>0.1</v>
      </c>
      <c r="I477" t="s">
        <v>15</v>
      </c>
      <c r="J477">
        <v>1</v>
      </c>
      <c r="K477">
        <v>9</v>
      </c>
      <c r="L477">
        <v>2</v>
      </c>
      <c r="M477">
        <v>0</v>
      </c>
    </row>
    <row r="478" spans="1:13" x14ac:dyDescent="0.3">
      <c r="A478">
        <v>17</v>
      </c>
      <c r="B478" t="s">
        <v>16</v>
      </c>
      <c r="C478">
        <v>1.8</v>
      </c>
      <c r="D478" t="s">
        <v>17</v>
      </c>
      <c r="E478">
        <v>5.9</v>
      </c>
      <c r="F478">
        <v>1.9</v>
      </c>
      <c r="G478">
        <v>2.89</v>
      </c>
      <c r="H478">
        <v>0.6</v>
      </c>
      <c r="I478" t="s">
        <v>15</v>
      </c>
      <c r="J478">
        <v>8</v>
      </c>
      <c r="K478">
        <v>8</v>
      </c>
      <c r="L478">
        <v>5</v>
      </c>
      <c r="M478">
        <v>0</v>
      </c>
    </row>
    <row r="479" spans="1:13" x14ac:dyDescent="0.3">
      <c r="A479">
        <v>13</v>
      </c>
      <c r="B479" t="s">
        <v>13</v>
      </c>
      <c r="C479">
        <v>2.2999999999999998</v>
      </c>
      <c r="D479" t="s">
        <v>17</v>
      </c>
      <c r="E479">
        <v>4.5</v>
      </c>
      <c r="F479">
        <v>0.7</v>
      </c>
      <c r="G479">
        <v>2.71</v>
      </c>
      <c r="H479">
        <v>0.2</v>
      </c>
      <c r="I479" t="s">
        <v>15</v>
      </c>
      <c r="J479">
        <v>6</v>
      </c>
      <c r="K479">
        <v>3</v>
      </c>
      <c r="L479">
        <v>7</v>
      </c>
      <c r="M479">
        <v>0</v>
      </c>
    </row>
    <row r="480" spans="1:13" x14ac:dyDescent="0.3">
      <c r="A480">
        <v>14</v>
      </c>
      <c r="B480" t="s">
        <v>13</v>
      </c>
      <c r="C480">
        <v>2.7</v>
      </c>
      <c r="D480" t="s">
        <v>20</v>
      </c>
      <c r="E480">
        <v>6.3</v>
      </c>
      <c r="F480">
        <v>0.6</v>
      </c>
      <c r="G480">
        <v>3.88</v>
      </c>
      <c r="H480">
        <v>0.3</v>
      </c>
      <c r="I480" t="s">
        <v>19</v>
      </c>
      <c r="J480">
        <v>6</v>
      </c>
      <c r="K480">
        <v>6</v>
      </c>
      <c r="L480">
        <v>6</v>
      </c>
      <c r="M480">
        <v>0</v>
      </c>
    </row>
    <row r="481" spans="1:13" x14ac:dyDescent="0.3">
      <c r="A481">
        <v>16</v>
      </c>
      <c r="B481" t="s">
        <v>13</v>
      </c>
      <c r="C481">
        <v>7.4</v>
      </c>
      <c r="D481" t="s">
        <v>17</v>
      </c>
      <c r="E481">
        <v>7.5</v>
      </c>
      <c r="F481">
        <v>1.7</v>
      </c>
      <c r="G481">
        <v>3.16</v>
      </c>
      <c r="H481">
        <v>1.8</v>
      </c>
      <c r="I481" t="s">
        <v>19</v>
      </c>
      <c r="J481">
        <v>2</v>
      </c>
      <c r="K481">
        <v>3</v>
      </c>
      <c r="L481">
        <v>2</v>
      </c>
      <c r="M481">
        <v>0</v>
      </c>
    </row>
    <row r="482" spans="1:13" x14ac:dyDescent="0.3">
      <c r="A482">
        <v>15</v>
      </c>
      <c r="B482" t="s">
        <v>13</v>
      </c>
      <c r="C482">
        <v>6.2</v>
      </c>
      <c r="D482" t="s">
        <v>17</v>
      </c>
      <c r="E482">
        <v>4.5999999999999996</v>
      </c>
      <c r="F482">
        <v>1.1000000000000001</v>
      </c>
      <c r="G482">
        <v>2.94</v>
      </c>
      <c r="H482">
        <v>1.8</v>
      </c>
      <c r="I482" t="s">
        <v>18</v>
      </c>
      <c r="J482">
        <v>4</v>
      </c>
      <c r="K482">
        <v>2</v>
      </c>
      <c r="L482">
        <v>3</v>
      </c>
      <c r="M482">
        <v>0</v>
      </c>
    </row>
    <row r="483" spans="1:13" x14ac:dyDescent="0.3">
      <c r="A483">
        <v>16</v>
      </c>
      <c r="B483" t="s">
        <v>13</v>
      </c>
      <c r="C483">
        <v>2.2999999999999998</v>
      </c>
      <c r="D483" t="s">
        <v>17</v>
      </c>
      <c r="E483">
        <v>8.8000000000000007</v>
      </c>
      <c r="F483">
        <v>1</v>
      </c>
      <c r="G483">
        <v>2.5099999999999998</v>
      </c>
      <c r="H483">
        <v>2</v>
      </c>
      <c r="I483" t="s">
        <v>19</v>
      </c>
      <c r="J483">
        <v>6</v>
      </c>
      <c r="K483">
        <v>10</v>
      </c>
      <c r="L483">
        <v>10</v>
      </c>
      <c r="M483">
        <v>0</v>
      </c>
    </row>
    <row r="484" spans="1:13" x14ac:dyDescent="0.3">
      <c r="A484">
        <v>18</v>
      </c>
      <c r="B484" t="s">
        <v>13</v>
      </c>
      <c r="C484">
        <v>1.8</v>
      </c>
      <c r="D484" t="s">
        <v>17</v>
      </c>
      <c r="E484">
        <v>5.2</v>
      </c>
      <c r="F484">
        <v>1.4</v>
      </c>
      <c r="G484">
        <v>2.68</v>
      </c>
      <c r="H484">
        <v>0.1</v>
      </c>
      <c r="I484" t="s">
        <v>18</v>
      </c>
      <c r="J484">
        <v>6</v>
      </c>
      <c r="K484">
        <v>2</v>
      </c>
      <c r="L484">
        <v>10</v>
      </c>
      <c r="M484">
        <v>0</v>
      </c>
    </row>
    <row r="485" spans="1:13" x14ac:dyDescent="0.3">
      <c r="A485">
        <v>16</v>
      </c>
      <c r="B485" t="s">
        <v>16</v>
      </c>
      <c r="C485">
        <v>1.3</v>
      </c>
      <c r="D485" t="s">
        <v>14</v>
      </c>
      <c r="E485">
        <v>4.9000000000000004</v>
      </c>
      <c r="F485">
        <v>2.6</v>
      </c>
      <c r="G485">
        <v>2.89</v>
      </c>
      <c r="H485">
        <v>0.2</v>
      </c>
      <c r="I485" t="s">
        <v>15</v>
      </c>
      <c r="J485">
        <v>2</v>
      </c>
      <c r="K485">
        <v>5</v>
      </c>
      <c r="L485">
        <v>2</v>
      </c>
      <c r="M485">
        <v>0</v>
      </c>
    </row>
    <row r="486" spans="1:13" x14ac:dyDescent="0.3">
      <c r="A486">
        <v>15</v>
      </c>
      <c r="B486" t="s">
        <v>13</v>
      </c>
      <c r="C486">
        <v>2.1</v>
      </c>
      <c r="D486" t="s">
        <v>14</v>
      </c>
      <c r="E486">
        <v>4.4000000000000004</v>
      </c>
      <c r="F486">
        <v>2.1</v>
      </c>
      <c r="G486">
        <v>3.43</v>
      </c>
      <c r="H486">
        <v>1.9</v>
      </c>
      <c r="I486" t="s">
        <v>15</v>
      </c>
      <c r="J486">
        <v>6</v>
      </c>
      <c r="K486">
        <v>6</v>
      </c>
      <c r="L486">
        <v>7</v>
      </c>
      <c r="M486">
        <v>0</v>
      </c>
    </row>
    <row r="487" spans="1:13" x14ac:dyDescent="0.3">
      <c r="A487">
        <v>14</v>
      </c>
      <c r="B487" t="s">
        <v>13</v>
      </c>
      <c r="C487">
        <v>3.9</v>
      </c>
      <c r="D487" t="s">
        <v>14</v>
      </c>
      <c r="E487">
        <v>7.7</v>
      </c>
      <c r="F487">
        <v>1.4</v>
      </c>
      <c r="G487">
        <v>2.86</v>
      </c>
      <c r="H487">
        <v>1.7</v>
      </c>
      <c r="I487" t="s">
        <v>18</v>
      </c>
      <c r="J487">
        <v>3</v>
      </c>
      <c r="K487">
        <v>5</v>
      </c>
      <c r="L487">
        <v>1</v>
      </c>
      <c r="M487">
        <v>0</v>
      </c>
    </row>
    <row r="488" spans="1:13" x14ac:dyDescent="0.3">
      <c r="A488">
        <v>18</v>
      </c>
      <c r="B488" t="s">
        <v>16</v>
      </c>
      <c r="C488">
        <v>3.8</v>
      </c>
      <c r="D488" t="s">
        <v>20</v>
      </c>
      <c r="E488">
        <v>4.5</v>
      </c>
      <c r="F488">
        <v>1.3</v>
      </c>
      <c r="G488">
        <v>3.06</v>
      </c>
      <c r="H488">
        <v>0.3</v>
      </c>
      <c r="I488" t="s">
        <v>19</v>
      </c>
      <c r="J488">
        <v>7</v>
      </c>
      <c r="K488">
        <v>8</v>
      </c>
      <c r="L488">
        <v>1</v>
      </c>
      <c r="M488">
        <v>0</v>
      </c>
    </row>
    <row r="489" spans="1:13" x14ac:dyDescent="0.3">
      <c r="A489">
        <v>15</v>
      </c>
      <c r="B489" t="s">
        <v>13</v>
      </c>
      <c r="C489">
        <v>6.4</v>
      </c>
      <c r="D489" t="s">
        <v>14</v>
      </c>
      <c r="E489">
        <v>7.8</v>
      </c>
      <c r="F489">
        <v>0.7</v>
      </c>
      <c r="G489">
        <v>2.6</v>
      </c>
      <c r="H489">
        <v>0.7</v>
      </c>
      <c r="I489" t="s">
        <v>18</v>
      </c>
      <c r="J489">
        <v>4</v>
      </c>
      <c r="K489">
        <v>4</v>
      </c>
      <c r="L489">
        <v>2</v>
      </c>
      <c r="M489">
        <v>0</v>
      </c>
    </row>
    <row r="490" spans="1:13" x14ac:dyDescent="0.3">
      <c r="A490">
        <v>19</v>
      </c>
      <c r="B490" t="s">
        <v>13</v>
      </c>
      <c r="C490">
        <v>3.2</v>
      </c>
      <c r="D490" t="s">
        <v>14</v>
      </c>
      <c r="E490">
        <v>6.2</v>
      </c>
      <c r="F490">
        <v>2.6</v>
      </c>
      <c r="G490">
        <v>3.72</v>
      </c>
      <c r="H490">
        <v>1.9</v>
      </c>
      <c r="I490" t="s">
        <v>18</v>
      </c>
      <c r="J490">
        <v>9</v>
      </c>
      <c r="K490">
        <v>5</v>
      </c>
      <c r="L490">
        <v>7</v>
      </c>
      <c r="M490">
        <v>0</v>
      </c>
    </row>
    <row r="491" spans="1:13" x14ac:dyDescent="0.3">
      <c r="A491">
        <v>13</v>
      </c>
      <c r="B491" t="s">
        <v>13</v>
      </c>
      <c r="C491">
        <v>4.4000000000000004</v>
      </c>
      <c r="D491" t="s">
        <v>20</v>
      </c>
      <c r="E491">
        <v>8.1999999999999993</v>
      </c>
      <c r="F491">
        <v>1.5</v>
      </c>
      <c r="G491">
        <v>3.98</v>
      </c>
      <c r="H491">
        <v>1.4</v>
      </c>
      <c r="I491" t="s">
        <v>18</v>
      </c>
      <c r="J491">
        <v>9</v>
      </c>
      <c r="K491">
        <v>6</v>
      </c>
      <c r="L491">
        <v>6</v>
      </c>
      <c r="M491">
        <v>0</v>
      </c>
    </row>
    <row r="492" spans="1:13" x14ac:dyDescent="0.3">
      <c r="A492">
        <v>15</v>
      </c>
      <c r="B492" t="s">
        <v>13</v>
      </c>
      <c r="C492">
        <v>1.3</v>
      </c>
      <c r="D492" t="s">
        <v>17</v>
      </c>
      <c r="E492">
        <v>7.5</v>
      </c>
      <c r="F492">
        <v>1.3</v>
      </c>
      <c r="G492">
        <v>2.99</v>
      </c>
      <c r="H492">
        <v>1.4</v>
      </c>
      <c r="I492" t="s">
        <v>15</v>
      </c>
      <c r="J492">
        <v>1</v>
      </c>
      <c r="K492">
        <v>5</v>
      </c>
      <c r="L492">
        <v>2</v>
      </c>
      <c r="M492">
        <v>0</v>
      </c>
    </row>
    <row r="493" spans="1:13" x14ac:dyDescent="0.3">
      <c r="A493">
        <v>18</v>
      </c>
      <c r="B493" t="s">
        <v>16</v>
      </c>
      <c r="C493">
        <v>5.7</v>
      </c>
      <c r="D493" t="s">
        <v>17</v>
      </c>
      <c r="E493">
        <v>6.2</v>
      </c>
      <c r="F493">
        <v>0.5</v>
      </c>
      <c r="G493">
        <v>3.98</v>
      </c>
      <c r="H493">
        <v>1.7</v>
      </c>
      <c r="I493" t="s">
        <v>19</v>
      </c>
      <c r="J493">
        <v>7</v>
      </c>
      <c r="K493">
        <v>6</v>
      </c>
      <c r="L493">
        <v>3</v>
      </c>
      <c r="M493">
        <v>0</v>
      </c>
    </row>
    <row r="494" spans="1:13" x14ac:dyDescent="0.3">
      <c r="A494">
        <v>13</v>
      </c>
      <c r="B494" t="s">
        <v>13</v>
      </c>
      <c r="C494">
        <v>4</v>
      </c>
      <c r="D494" t="s">
        <v>17</v>
      </c>
      <c r="E494">
        <v>5</v>
      </c>
      <c r="F494">
        <v>2.9</v>
      </c>
      <c r="G494">
        <v>3.84</v>
      </c>
      <c r="H494">
        <v>0.1</v>
      </c>
      <c r="I494" t="s">
        <v>15</v>
      </c>
      <c r="J494">
        <v>7</v>
      </c>
      <c r="K494">
        <v>8</v>
      </c>
      <c r="L494">
        <v>10</v>
      </c>
      <c r="M494">
        <v>0</v>
      </c>
    </row>
    <row r="495" spans="1:13" x14ac:dyDescent="0.3">
      <c r="A495">
        <v>16</v>
      </c>
      <c r="B495" t="s">
        <v>16</v>
      </c>
      <c r="C495">
        <v>4.8</v>
      </c>
      <c r="D495" t="s">
        <v>14</v>
      </c>
      <c r="E495">
        <v>6.7</v>
      </c>
      <c r="F495">
        <v>1.4</v>
      </c>
      <c r="G495">
        <v>2.44</v>
      </c>
      <c r="H495">
        <v>0.3</v>
      </c>
      <c r="I495" t="s">
        <v>15</v>
      </c>
      <c r="J495">
        <v>1</v>
      </c>
      <c r="K495">
        <v>3</v>
      </c>
      <c r="L495">
        <v>1</v>
      </c>
      <c r="M495">
        <v>0</v>
      </c>
    </row>
    <row r="496" spans="1:13" x14ac:dyDescent="0.3">
      <c r="A496">
        <v>19</v>
      </c>
      <c r="B496" t="s">
        <v>13</v>
      </c>
      <c r="C496">
        <v>5.8</v>
      </c>
      <c r="D496" t="s">
        <v>20</v>
      </c>
      <c r="E496">
        <v>7.5</v>
      </c>
      <c r="F496">
        <v>1.9</v>
      </c>
      <c r="G496">
        <v>2.08</v>
      </c>
      <c r="H496">
        <v>0.1</v>
      </c>
      <c r="I496" t="s">
        <v>18</v>
      </c>
      <c r="J496">
        <v>2</v>
      </c>
      <c r="K496">
        <v>1</v>
      </c>
      <c r="L496">
        <v>3</v>
      </c>
      <c r="M496">
        <v>0</v>
      </c>
    </row>
    <row r="497" spans="1:13" x14ac:dyDescent="0.3">
      <c r="A497">
        <v>16</v>
      </c>
      <c r="B497" t="s">
        <v>13</v>
      </c>
      <c r="C497">
        <v>5.8</v>
      </c>
      <c r="D497" t="s">
        <v>20</v>
      </c>
      <c r="E497">
        <v>8.9</v>
      </c>
      <c r="F497">
        <v>1.1000000000000001</v>
      </c>
      <c r="G497">
        <v>2.08</v>
      </c>
      <c r="H497">
        <v>1.9</v>
      </c>
      <c r="I497" t="s">
        <v>19</v>
      </c>
      <c r="J497">
        <v>8</v>
      </c>
      <c r="K497">
        <v>5</v>
      </c>
      <c r="L497">
        <v>9</v>
      </c>
      <c r="M497">
        <v>0</v>
      </c>
    </row>
    <row r="498" spans="1:13" x14ac:dyDescent="0.3">
      <c r="A498">
        <v>13</v>
      </c>
      <c r="B498" t="s">
        <v>13</v>
      </c>
      <c r="C498">
        <v>3.2</v>
      </c>
      <c r="D498" t="s">
        <v>17</v>
      </c>
      <c r="E498">
        <v>5.0999999999999996</v>
      </c>
      <c r="F498">
        <v>1.6</v>
      </c>
      <c r="G498">
        <v>2.87</v>
      </c>
      <c r="H498">
        <v>1.8</v>
      </c>
      <c r="I498" t="s">
        <v>19</v>
      </c>
      <c r="J498">
        <v>4</v>
      </c>
      <c r="K498">
        <v>9</v>
      </c>
      <c r="L498">
        <v>8</v>
      </c>
      <c r="M498">
        <v>0</v>
      </c>
    </row>
    <row r="499" spans="1:13" x14ac:dyDescent="0.3">
      <c r="A499">
        <v>16</v>
      </c>
      <c r="B499" t="s">
        <v>16</v>
      </c>
      <c r="C499">
        <v>5.2</v>
      </c>
      <c r="D499" t="s">
        <v>20</v>
      </c>
      <c r="E499">
        <v>4</v>
      </c>
      <c r="F499">
        <v>2.4</v>
      </c>
      <c r="G499">
        <v>2.35</v>
      </c>
      <c r="H499">
        <v>1.6</v>
      </c>
      <c r="I499" t="s">
        <v>15</v>
      </c>
      <c r="J499">
        <v>10</v>
      </c>
      <c r="K499">
        <v>5</v>
      </c>
      <c r="L499">
        <v>2</v>
      </c>
      <c r="M499">
        <v>0</v>
      </c>
    </row>
    <row r="500" spans="1:13" x14ac:dyDescent="0.3">
      <c r="A500">
        <v>17</v>
      </c>
      <c r="B500" t="s">
        <v>13</v>
      </c>
      <c r="C500">
        <v>2.4</v>
      </c>
      <c r="D500" t="s">
        <v>17</v>
      </c>
      <c r="E500">
        <v>6</v>
      </c>
      <c r="F500">
        <v>0.7</v>
      </c>
      <c r="G500">
        <v>3.67</v>
      </c>
      <c r="H500">
        <v>1.5</v>
      </c>
      <c r="I500" t="s">
        <v>15</v>
      </c>
      <c r="J500">
        <v>7</v>
      </c>
      <c r="K500">
        <v>9</v>
      </c>
      <c r="L500">
        <v>2</v>
      </c>
      <c r="M500">
        <v>0</v>
      </c>
    </row>
    <row r="501" spans="1:13" x14ac:dyDescent="0.3">
      <c r="A501">
        <v>15</v>
      </c>
      <c r="B501" t="s">
        <v>13</v>
      </c>
      <c r="C501">
        <v>7.4</v>
      </c>
      <c r="D501" t="s">
        <v>20</v>
      </c>
      <c r="E501">
        <v>5.9</v>
      </c>
      <c r="F501">
        <v>2.6</v>
      </c>
      <c r="G501">
        <v>2.89</v>
      </c>
      <c r="H501">
        <v>1.9</v>
      </c>
      <c r="I501" t="s">
        <v>19</v>
      </c>
      <c r="J501">
        <v>7</v>
      </c>
      <c r="K501">
        <v>3</v>
      </c>
      <c r="L501">
        <v>8</v>
      </c>
      <c r="M501">
        <v>0</v>
      </c>
    </row>
    <row r="502" spans="1:13" x14ac:dyDescent="0.3">
      <c r="A502">
        <v>18</v>
      </c>
      <c r="B502" t="s">
        <v>16</v>
      </c>
      <c r="C502">
        <v>7.1</v>
      </c>
      <c r="D502" t="s">
        <v>14</v>
      </c>
      <c r="E502">
        <v>4.8</v>
      </c>
      <c r="F502">
        <v>2.1</v>
      </c>
      <c r="G502">
        <v>2.5099999999999998</v>
      </c>
      <c r="H502">
        <v>0.9</v>
      </c>
      <c r="I502" t="s">
        <v>18</v>
      </c>
      <c r="J502">
        <v>1</v>
      </c>
      <c r="K502">
        <v>1</v>
      </c>
      <c r="L502">
        <v>10</v>
      </c>
      <c r="M502">
        <v>0</v>
      </c>
    </row>
    <row r="503" spans="1:13" x14ac:dyDescent="0.3">
      <c r="A503">
        <v>16</v>
      </c>
      <c r="B503" t="s">
        <v>13</v>
      </c>
      <c r="C503">
        <v>6.5</v>
      </c>
      <c r="D503" t="s">
        <v>17</v>
      </c>
      <c r="E503">
        <v>7.4</v>
      </c>
      <c r="F503">
        <v>1.9</v>
      </c>
      <c r="G503">
        <v>2.2200000000000002</v>
      </c>
      <c r="H503">
        <v>1.1000000000000001</v>
      </c>
      <c r="I503" t="s">
        <v>19</v>
      </c>
      <c r="J503">
        <v>10</v>
      </c>
      <c r="K503">
        <v>10</v>
      </c>
      <c r="L503">
        <v>2</v>
      </c>
      <c r="M503">
        <v>0</v>
      </c>
    </row>
    <row r="504" spans="1:13" x14ac:dyDescent="0.3">
      <c r="A504">
        <v>13</v>
      </c>
      <c r="B504" t="s">
        <v>13</v>
      </c>
      <c r="C504">
        <v>7.4</v>
      </c>
      <c r="D504" t="s">
        <v>20</v>
      </c>
      <c r="E504">
        <v>7</v>
      </c>
      <c r="F504">
        <v>1.8</v>
      </c>
      <c r="G504">
        <v>2.17</v>
      </c>
      <c r="H504">
        <v>1.4</v>
      </c>
      <c r="I504" t="s">
        <v>19</v>
      </c>
      <c r="J504">
        <v>9</v>
      </c>
      <c r="K504">
        <v>10</v>
      </c>
      <c r="L504">
        <v>5</v>
      </c>
      <c r="M504">
        <v>0</v>
      </c>
    </row>
    <row r="505" spans="1:13" x14ac:dyDescent="0.3">
      <c r="A505">
        <v>15</v>
      </c>
      <c r="B505" t="s">
        <v>16</v>
      </c>
      <c r="C505">
        <v>3.9</v>
      </c>
      <c r="D505" t="s">
        <v>14</v>
      </c>
      <c r="E505">
        <v>6.4</v>
      </c>
      <c r="F505">
        <v>1.7</v>
      </c>
      <c r="G505">
        <v>2.87</v>
      </c>
      <c r="H505">
        <v>1.8</v>
      </c>
      <c r="I505" t="s">
        <v>18</v>
      </c>
      <c r="J505">
        <v>6</v>
      </c>
      <c r="K505">
        <v>6</v>
      </c>
      <c r="L505">
        <v>6</v>
      </c>
      <c r="M505">
        <v>0</v>
      </c>
    </row>
    <row r="506" spans="1:13" x14ac:dyDescent="0.3">
      <c r="A506">
        <v>15</v>
      </c>
      <c r="B506" t="s">
        <v>16</v>
      </c>
      <c r="C506">
        <v>4.5999999999999996</v>
      </c>
      <c r="D506" t="s">
        <v>20</v>
      </c>
      <c r="E506">
        <v>8.6</v>
      </c>
      <c r="F506">
        <v>2</v>
      </c>
      <c r="G506">
        <v>3.01</v>
      </c>
      <c r="H506">
        <v>0</v>
      </c>
      <c r="I506" t="s">
        <v>15</v>
      </c>
      <c r="J506">
        <v>1</v>
      </c>
      <c r="K506">
        <v>8</v>
      </c>
      <c r="L506">
        <v>3</v>
      </c>
      <c r="M506">
        <v>0</v>
      </c>
    </row>
    <row r="507" spans="1:13" x14ac:dyDescent="0.3">
      <c r="A507">
        <v>19</v>
      </c>
      <c r="B507" t="s">
        <v>13</v>
      </c>
      <c r="C507">
        <v>1.5</v>
      </c>
      <c r="D507" t="s">
        <v>17</v>
      </c>
      <c r="E507">
        <v>6.7</v>
      </c>
      <c r="F507">
        <v>1</v>
      </c>
      <c r="G507">
        <v>3.9</v>
      </c>
      <c r="H507">
        <v>0.4</v>
      </c>
      <c r="I507" t="s">
        <v>15</v>
      </c>
      <c r="J507">
        <v>4</v>
      </c>
      <c r="K507">
        <v>3</v>
      </c>
      <c r="L507">
        <v>3</v>
      </c>
      <c r="M507">
        <v>0</v>
      </c>
    </row>
    <row r="508" spans="1:13" x14ac:dyDescent="0.3">
      <c r="A508">
        <v>15</v>
      </c>
      <c r="B508" t="s">
        <v>16</v>
      </c>
      <c r="C508">
        <v>5.8</v>
      </c>
      <c r="D508" t="s">
        <v>14</v>
      </c>
      <c r="E508">
        <v>7.1</v>
      </c>
      <c r="F508">
        <v>1.1000000000000001</v>
      </c>
      <c r="G508">
        <v>3.72</v>
      </c>
      <c r="H508">
        <v>1.5</v>
      </c>
      <c r="I508" t="s">
        <v>15</v>
      </c>
      <c r="J508">
        <v>9</v>
      </c>
      <c r="K508">
        <v>6</v>
      </c>
      <c r="L508">
        <v>6</v>
      </c>
      <c r="M508">
        <v>0</v>
      </c>
    </row>
    <row r="509" spans="1:13" x14ac:dyDescent="0.3">
      <c r="A509">
        <v>17</v>
      </c>
      <c r="B509" t="s">
        <v>16</v>
      </c>
      <c r="C509">
        <v>6.4</v>
      </c>
      <c r="D509" t="s">
        <v>17</v>
      </c>
      <c r="E509">
        <v>4.9000000000000004</v>
      </c>
      <c r="F509">
        <v>2.1</v>
      </c>
      <c r="G509">
        <v>2.78</v>
      </c>
      <c r="H509">
        <v>1</v>
      </c>
      <c r="I509" t="s">
        <v>18</v>
      </c>
      <c r="J509">
        <v>2</v>
      </c>
      <c r="K509">
        <v>2</v>
      </c>
      <c r="L509">
        <v>6</v>
      </c>
      <c r="M509">
        <v>0</v>
      </c>
    </row>
    <row r="510" spans="1:13" x14ac:dyDescent="0.3">
      <c r="A510">
        <v>16</v>
      </c>
      <c r="B510" t="s">
        <v>16</v>
      </c>
      <c r="C510">
        <v>2.1</v>
      </c>
      <c r="D510" t="s">
        <v>17</v>
      </c>
      <c r="E510">
        <v>8.1999999999999993</v>
      </c>
      <c r="F510">
        <v>2.4</v>
      </c>
      <c r="G510">
        <v>3.25</v>
      </c>
      <c r="H510">
        <v>0.1</v>
      </c>
      <c r="I510" t="s">
        <v>18</v>
      </c>
      <c r="J510">
        <v>1</v>
      </c>
      <c r="K510">
        <v>1</v>
      </c>
      <c r="L510">
        <v>8</v>
      </c>
      <c r="M510">
        <v>0</v>
      </c>
    </row>
    <row r="511" spans="1:13" x14ac:dyDescent="0.3">
      <c r="A511">
        <v>17</v>
      </c>
      <c r="B511" t="s">
        <v>16</v>
      </c>
      <c r="C511">
        <v>2.2000000000000002</v>
      </c>
      <c r="D511" t="s">
        <v>17</v>
      </c>
      <c r="E511">
        <v>6.5</v>
      </c>
      <c r="F511">
        <v>3</v>
      </c>
      <c r="G511">
        <v>2.4900000000000002</v>
      </c>
      <c r="H511">
        <v>0.2</v>
      </c>
      <c r="I511" t="s">
        <v>19</v>
      </c>
      <c r="J511">
        <v>5</v>
      </c>
      <c r="K511">
        <v>8</v>
      </c>
      <c r="L511">
        <v>4</v>
      </c>
      <c r="M511">
        <v>0</v>
      </c>
    </row>
    <row r="512" spans="1:13" x14ac:dyDescent="0.3">
      <c r="A512">
        <v>14</v>
      </c>
      <c r="B512" t="s">
        <v>13</v>
      </c>
      <c r="C512">
        <v>5.5</v>
      </c>
      <c r="D512" t="s">
        <v>17</v>
      </c>
      <c r="E512">
        <v>7.4</v>
      </c>
      <c r="F512">
        <v>2.9</v>
      </c>
      <c r="G512">
        <v>3.54</v>
      </c>
      <c r="H512">
        <v>1.1000000000000001</v>
      </c>
      <c r="I512" t="s">
        <v>18</v>
      </c>
      <c r="J512">
        <v>8</v>
      </c>
      <c r="K512">
        <v>4</v>
      </c>
      <c r="L512">
        <v>10</v>
      </c>
      <c r="M512">
        <v>0</v>
      </c>
    </row>
    <row r="513" spans="1:13" x14ac:dyDescent="0.3">
      <c r="A513">
        <v>17</v>
      </c>
      <c r="B513" t="s">
        <v>16</v>
      </c>
      <c r="C513">
        <v>6.6</v>
      </c>
      <c r="D513" t="s">
        <v>20</v>
      </c>
      <c r="E513">
        <v>7.4</v>
      </c>
      <c r="F513">
        <v>2.2000000000000002</v>
      </c>
      <c r="G513">
        <v>2.63</v>
      </c>
      <c r="H513">
        <v>0.6</v>
      </c>
      <c r="I513" t="s">
        <v>18</v>
      </c>
      <c r="J513">
        <v>7</v>
      </c>
      <c r="K513">
        <v>4</v>
      </c>
      <c r="L513">
        <v>9</v>
      </c>
      <c r="M513">
        <v>0</v>
      </c>
    </row>
    <row r="514" spans="1:13" x14ac:dyDescent="0.3">
      <c r="A514">
        <v>19</v>
      </c>
      <c r="B514" t="s">
        <v>16</v>
      </c>
      <c r="C514">
        <v>5.2</v>
      </c>
      <c r="D514" t="s">
        <v>14</v>
      </c>
      <c r="E514">
        <v>6.6</v>
      </c>
      <c r="F514">
        <v>1.6</v>
      </c>
      <c r="G514">
        <v>2.36</v>
      </c>
      <c r="H514">
        <v>1.4</v>
      </c>
      <c r="I514" t="s">
        <v>15</v>
      </c>
      <c r="J514">
        <v>2</v>
      </c>
      <c r="K514">
        <v>6</v>
      </c>
      <c r="L514">
        <v>10</v>
      </c>
      <c r="M514">
        <v>0</v>
      </c>
    </row>
    <row r="515" spans="1:13" x14ac:dyDescent="0.3">
      <c r="A515">
        <v>17</v>
      </c>
      <c r="B515" t="s">
        <v>13</v>
      </c>
      <c r="C515">
        <v>4.7</v>
      </c>
      <c r="D515" t="s">
        <v>17</v>
      </c>
      <c r="E515">
        <v>5.0999999999999996</v>
      </c>
      <c r="F515">
        <v>2</v>
      </c>
      <c r="G515">
        <v>2.35</v>
      </c>
      <c r="H515">
        <v>1.8</v>
      </c>
      <c r="I515" t="s">
        <v>15</v>
      </c>
      <c r="J515">
        <v>8</v>
      </c>
      <c r="K515">
        <v>9</v>
      </c>
      <c r="L515">
        <v>1</v>
      </c>
      <c r="M515">
        <v>0</v>
      </c>
    </row>
    <row r="516" spans="1:13" x14ac:dyDescent="0.3">
      <c r="A516">
        <v>19</v>
      </c>
      <c r="B516" t="s">
        <v>16</v>
      </c>
      <c r="C516">
        <v>7.1</v>
      </c>
      <c r="D516" t="s">
        <v>20</v>
      </c>
      <c r="E516">
        <v>6.3</v>
      </c>
      <c r="F516">
        <v>2.2000000000000002</v>
      </c>
      <c r="G516">
        <v>3.88</v>
      </c>
      <c r="H516">
        <v>0.8</v>
      </c>
      <c r="I516" t="s">
        <v>18</v>
      </c>
      <c r="J516">
        <v>10</v>
      </c>
      <c r="K516">
        <v>4</v>
      </c>
      <c r="L516">
        <v>9</v>
      </c>
      <c r="M516">
        <v>0</v>
      </c>
    </row>
    <row r="517" spans="1:13" x14ac:dyDescent="0.3">
      <c r="A517">
        <v>19</v>
      </c>
      <c r="B517" t="s">
        <v>16</v>
      </c>
      <c r="C517">
        <v>4.2</v>
      </c>
      <c r="D517" t="s">
        <v>20</v>
      </c>
      <c r="E517">
        <v>8.1</v>
      </c>
      <c r="F517">
        <v>1.4</v>
      </c>
      <c r="G517">
        <v>2.66</v>
      </c>
      <c r="H517">
        <v>1.9</v>
      </c>
      <c r="I517" t="s">
        <v>15</v>
      </c>
      <c r="J517">
        <v>9</v>
      </c>
      <c r="K517">
        <v>4</v>
      </c>
      <c r="L517">
        <v>2</v>
      </c>
      <c r="M517">
        <v>0</v>
      </c>
    </row>
    <row r="518" spans="1:13" x14ac:dyDescent="0.3">
      <c r="A518">
        <v>17</v>
      </c>
      <c r="B518" t="s">
        <v>16</v>
      </c>
      <c r="C518">
        <v>1.3</v>
      </c>
      <c r="D518" t="s">
        <v>14</v>
      </c>
      <c r="E518">
        <v>5.0999999999999996</v>
      </c>
      <c r="F518">
        <v>2.2000000000000002</v>
      </c>
      <c r="G518">
        <v>3.44</v>
      </c>
      <c r="H518">
        <v>0.6</v>
      </c>
      <c r="I518" t="s">
        <v>18</v>
      </c>
      <c r="J518">
        <v>7</v>
      </c>
      <c r="K518">
        <v>8</v>
      </c>
      <c r="L518">
        <v>6</v>
      </c>
      <c r="M518">
        <v>0</v>
      </c>
    </row>
    <row r="519" spans="1:13" x14ac:dyDescent="0.3">
      <c r="A519">
        <v>18</v>
      </c>
      <c r="B519" t="s">
        <v>13</v>
      </c>
      <c r="C519">
        <v>2.6</v>
      </c>
      <c r="D519" t="s">
        <v>20</v>
      </c>
      <c r="E519">
        <v>7.8</v>
      </c>
      <c r="F519">
        <v>1.9</v>
      </c>
      <c r="G519">
        <v>3.15</v>
      </c>
      <c r="H519">
        <v>0.4</v>
      </c>
      <c r="I519" t="s">
        <v>19</v>
      </c>
      <c r="J519">
        <v>8</v>
      </c>
      <c r="K519">
        <v>3</v>
      </c>
      <c r="L519">
        <v>2</v>
      </c>
      <c r="M519">
        <v>0</v>
      </c>
    </row>
    <row r="520" spans="1:13" x14ac:dyDescent="0.3">
      <c r="A520">
        <v>15</v>
      </c>
      <c r="B520" t="s">
        <v>13</v>
      </c>
      <c r="C520">
        <v>6.2</v>
      </c>
      <c r="D520" t="s">
        <v>14</v>
      </c>
      <c r="E520">
        <v>8.1</v>
      </c>
      <c r="F520">
        <v>2.2999999999999998</v>
      </c>
      <c r="G520">
        <v>3.46</v>
      </c>
      <c r="H520">
        <v>1.3</v>
      </c>
      <c r="I520" t="s">
        <v>15</v>
      </c>
      <c r="J520">
        <v>5</v>
      </c>
      <c r="K520">
        <v>4</v>
      </c>
      <c r="L520">
        <v>9</v>
      </c>
      <c r="M520">
        <v>0</v>
      </c>
    </row>
    <row r="521" spans="1:13" x14ac:dyDescent="0.3">
      <c r="A521">
        <v>14</v>
      </c>
      <c r="B521" t="s">
        <v>16</v>
      </c>
      <c r="C521">
        <v>6.2</v>
      </c>
      <c r="D521" t="s">
        <v>17</v>
      </c>
      <c r="E521">
        <v>5.0999999999999996</v>
      </c>
      <c r="F521">
        <v>1.5</v>
      </c>
      <c r="G521">
        <v>3.85</v>
      </c>
      <c r="H521">
        <v>0.2</v>
      </c>
      <c r="I521" t="s">
        <v>18</v>
      </c>
      <c r="J521">
        <v>3</v>
      </c>
      <c r="K521">
        <v>4</v>
      </c>
      <c r="L521">
        <v>10</v>
      </c>
      <c r="M521">
        <v>0</v>
      </c>
    </row>
    <row r="522" spans="1:13" x14ac:dyDescent="0.3">
      <c r="A522">
        <v>18</v>
      </c>
      <c r="B522" t="s">
        <v>13</v>
      </c>
      <c r="C522">
        <v>4.8</v>
      </c>
      <c r="D522" t="s">
        <v>17</v>
      </c>
      <c r="E522">
        <v>8.5</v>
      </c>
      <c r="F522">
        <v>2.8</v>
      </c>
      <c r="G522">
        <v>3.77</v>
      </c>
      <c r="H522">
        <v>1.3</v>
      </c>
      <c r="I522" t="s">
        <v>15</v>
      </c>
      <c r="J522">
        <v>5</v>
      </c>
      <c r="K522">
        <v>4</v>
      </c>
      <c r="L522">
        <v>3</v>
      </c>
      <c r="M522">
        <v>0</v>
      </c>
    </row>
    <row r="523" spans="1:13" x14ac:dyDescent="0.3">
      <c r="A523">
        <v>18</v>
      </c>
      <c r="B523" t="s">
        <v>16</v>
      </c>
      <c r="C523">
        <v>3</v>
      </c>
      <c r="D523" t="s">
        <v>20</v>
      </c>
      <c r="E523">
        <v>4.5999999999999996</v>
      </c>
      <c r="F523">
        <v>2</v>
      </c>
      <c r="G523">
        <v>2.2400000000000002</v>
      </c>
      <c r="H523">
        <v>1.5</v>
      </c>
      <c r="I523" t="s">
        <v>19</v>
      </c>
      <c r="J523">
        <v>10</v>
      </c>
      <c r="K523">
        <v>2</v>
      </c>
      <c r="L523">
        <v>5</v>
      </c>
      <c r="M523">
        <v>0</v>
      </c>
    </row>
    <row r="524" spans="1:13" x14ac:dyDescent="0.3">
      <c r="A524">
        <v>16</v>
      </c>
      <c r="B524" t="s">
        <v>13</v>
      </c>
      <c r="C524">
        <v>4.7</v>
      </c>
      <c r="D524" t="s">
        <v>14</v>
      </c>
      <c r="E524">
        <v>8.1999999999999993</v>
      </c>
      <c r="F524">
        <v>2.7</v>
      </c>
      <c r="G524">
        <v>3.04</v>
      </c>
      <c r="H524">
        <v>0.3</v>
      </c>
      <c r="I524" t="s">
        <v>18</v>
      </c>
      <c r="J524">
        <v>1</v>
      </c>
      <c r="K524">
        <v>3</v>
      </c>
      <c r="L524">
        <v>4</v>
      </c>
      <c r="M524">
        <v>0</v>
      </c>
    </row>
    <row r="525" spans="1:13" x14ac:dyDescent="0.3">
      <c r="A525">
        <v>18</v>
      </c>
      <c r="B525" t="s">
        <v>16</v>
      </c>
      <c r="C525">
        <v>4.4000000000000004</v>
      </c>
      <c r="D525" t="s">
        <v>20</v>
      </c>
      <c r="E525">
        <v>5.0999999999999996</v>
      </c>
      <c r="F525">
        <v>1.4</v>
      </c>
      <c r="G525">
        <v>2.33</v>
      </c>
      <c r="H525">
        <v>0.6</v>
      </c>
      <c r="I525" t="s">
        <v>15</v>
      </c>
      <c r="J525">
        <v>2</v>
      </c>
      <c r="K525">
        <v>7</v>
      </c>
      <c r="L525">
        <v>4</v>
      </c>
      <c r="M525">
        <v>0</v>
      </c>
    </row>
    <row r="526" spans="1:13" x14ac:dyDescent="0.3">
      <c r="A526">
        <v>14</v>
      </c>
      <c r="B526" t="s">
        <v>16</v>
      </c>
      <c r="C526">
        <v>2.2999999999999998</v>
      </c>
      <c r="D526" t="s">
        <v>17</v>
      </c>
      <c r="E526">
        <v>7.3</v>
      </c>
      <c r="F526">
        <v>2.2999999999999998</v>
      </c>
      <c r="G526">
        <v>2.8</v>
      </c>
      <c r="H526">
        <v>1.5</v>
      </c>
      <c r="I526" t="s">
        <v>19</v>
      </c>
      <c r="J526">
        <v>4</v>
      </c>
      <c r="K526">
        <v>6</v>
      </c>
      <c r="L526">
        <v>5</v>
      </c>
      <c r="M526">
        <v>0</v>
      </c>
    </row>
    <row r="527" spans="1:13" x14ac:dyDescent="0.3">
      <c r="A527">
        <v>14</v>
      </c>
      <c r="B527" t="s">
        <v>16</v>
      </c>
      <c r="C527">
        <v>3.1</v>
      </c>
      <c r="D527" t="s">
        <v>14</v>
      </c>
      <c r="E527">
        <v>6.9</v>
      </c>
      <c r="F527">
        <v>1.9</v>
      </c>
      <c r="G527">
        <v>2.2000000000000002</v>
      </c>
      <c r="H527">
        <v>1.2</v>
      </c>
      <c r="I527" t="s">
        <v>19</v>
      </c>
      <c r="J527">
        <v>3</v>
      </c>
      <c r="K527">
        <v>4</v>
      </c>
      <c r="L527">
        <v>2</v>
      </c>
      <c r="M527">
        <v>0</v>
      </c>
    </row>
    <row r="528" spans="1:13" x14ac:dyDescent="0.3">
      <c r="A528">
        <v>18</v>
      </c>
      <c r="B528" t="s">
        <v>13</v>
      </c>
      <c r="C528">
        <v>2.9</v>
      </c>
      <c r="D528" t="s">
        <v>17</v>
      </c>
      <c r="E528">
        <v>7.5</v>
      </c>
      <c r="F528">
        <v>0.6</v>
      </c>
      <c r="G528">
        <v>2.25</v>
      </c>
      <c r="H528">
        <v>1</v>
      </c>
      <c r="I528" t="s">
        <v>18</v>
      </c>
      <c r="J528">
        <v>4</v>
      </c>
      <c r="K528">
        <v>7</v>
      </c>
      <c r="L528">
        <v>4</v>
      </c>
      <c r="M528">
        <v>0</v>
      </c>
    </row>
    <row r="529" spans="1:13" x14ac:dyDescent="0.3">
      <c r="A529">
        <v>13</v>
      </c>
      <c r="B529" t="s">
        <v>13</v>
      </c>
      <c r="C529">
        <v>1.8</v>
      </c>
      <c r="D529" t="s">
        <v>14</v>
      </c>
      <c r="E529">
        <v>4.4000000000000004</v>
      </c>
      <c r="F529">
        <v>0.6</v>
      </c>
      <c r="G529">
        <v>3.48</v>
      </c>
      <c r="H529">
        <v>1.7</v>
      </c>
      <c r="I529" t="s">
        <v>19</v>
      </c>
      <c r="J529">
        <v>3</v>
      </c>
      <c r="K529">
        <v>1</v>
      </c>
      <c r="L529">
        <v>10</v>
      </c>
      <c r="M529">
        <v>0</v>
      </c>
    </row>
    <row r="530" spans="1:13" x14ac:dyDescent="0.3">
      <c r="A530">
        <v>15</v>
      </c>
      <c r="B530" t="s">
        <v>16</v>
      </c>
      <c r="C530">
        <v>2</v>
      </c>
      <c r="D530" t="s">
        <v>14</v>
      </c>
      <c r="E530">
        <v>4.7</v>
      </c>
      <c r="F530">
        <v>1.3</v>
      </c>
      <c r="G530">
        <v>3.55</v>
      </c>
      <c r="H530">
        <v>1.3</v>
      </c>
      <c r="I530" t="s">
        <v>15</v>
      </c>
      <c r="J530">
        <v>2</v>
      </c>
      <c r="K530">
        <v>6</v>
      </c>
      <c r="L530">
        <v>5</v>
      </c>
      <c r="M530">
        <v>0</v>
      </c>
    </row>
    <row r="531" spans="1:13" x14ac:dyDescent="0.3">
      <c r="A531">
        <v>13</v>
      </c>
      <c r="B531" t="s">
        <v>16</v>
      </c>
      <c r="C531">
        <v>4.2</v>
      </c>
      <c r="D531" t="s">
        <v>14</v>
      </c>
      <c r="E531">
        <v>7.9</v>
      </c>
      <c r="F531">
        <v>2.7</v>
      </c>
      <c r="G531">
        <v>3.76</v>
      </c>
      <c r="H531">
        <v>0.1</v>
      </c>
      <c r="I531" t="s">
        <v>19</v>
      </c>
      <c r="J531">
        <v>10</v>
      </c>
      <c r="K531">
        <v>7</v>
      </c>
      <c r="L531">
        <v>2</v>
      </c>
      <c r="M531">
        <v>0</v>
      </c>
    </row>
    <row r="532" spans="1:13" x14ac:dyDescent="0.3">
      <c r="A532">
        <v>17</v>
      </c>
      <c r="B532" t="s">
        <v>16</v>
      </c>
      <c r="C532">
        <v>6.7</v>
      </c>
      <c r="D532" t="s">
        <v>20</v>
      </c>
      <c r="E532">
        <v>7.9</v>
      </c>
      <c r="F532">
        <v>1.4</v>
      </c>
      <c r="G532">
        <v>3.91</v>
      </c>
      <c r="H532">
        <v>0.4</v>
      </c>
      <c r="I532" t="s">
        <v>18</v>
      </c>
      <c r="J532">
        <v>3</v>
      </c>
      <c r="K532">
        <v>3</v>
      </c>
      <c r="L532">
        <v>1</v>
      </c>
      <c r="M532">
        <v>0</v>
      </c>
    </row>
    <row r="533" spans="1:13" x14ac:dyDescent="0.3">
      <c r="A533">
        <v>17</v>
      </c>
      <c r="B533" t="s">
        <v>16</v>
      </c>
      <c r="C533">
        <v>2.2000000000000002</v>
      </c>
      <c r="D533" t="s">
        <v>20</v>
      </c>
      <c r="E533">
        <v>7.2</v>
      </c>
      <c r="F533">
        <v>0.5</v>
      </c>
      <c r="G533">
        <v>2.38</v>
      </c>
      <c r="H533">
        <v>1.2</v>
      </c>
      <c r="I533" t="s">
        <v>19</v>
      </c>
      <c r="J533">
        <v>10</v>
      </c>
      <c r="K533">
        <v>4</v>
      </c>
      <c r="L533">
        <v>8</v>
      </c>
      <c r="M533">
        <v>0</v>
      </c>
    </row>
    <row r="534" spans="1:13" x14ac:dyDescent="0.3">
      <c r="A534">
        <v>17</v>
      </c>
      <c r="B534" t="s">
        <v>16</v>
      </c>
      <c r="C534">
        <v>1.1000000000000001</v>
      </c>
      <c r="D534" t="s">
        <v>17</v>
      </c>
      <c r="E534">
        <v>6.8</v>
      </c>
      <c r="F534">
        <v>0.6</v>
      </c>
      <c r="G534">
        <v>2.2799999999999998</v>
      </c>
      <c r="H534">
        <v>1.6</v>
      </c>
      <c r="I534" t="s">
        <v>19</v>
      </c>
      <c r="J534">
        <v>9</v>
      </c>
      <c r="K534">
        <v>3</v>
      </c>
      <c r="L534">
        <v>7</v>
      </c>
      <c r="M534">
        <v>0</v>
      </c>
    </row>
    <row r="535" spans="1:13" x14ac:dyDescent="0.3">
      <c r="A535">
        <v>16</v>
      </c>
      <c r="B535" t="s">
        <v>16</v>
      </c>
      <c r="C535">
        <v>6.4</v>
      </c>
      <c r="D535" t="s">
        <v>17</v>
      </c>
      <c r="E535">
        <v>5.9</v>
      </c>
      <c r="F535">
        <v>2.8</v>
      </c>
      <c r="G535">
        <v>3.81</v>
      </c>
      <c r="H535">
        <v>1.3</v>
      </c>
      <c r="I535" t="s">
        <v>18</v>
      </c>
      <c r="J535">
        <v>1</v>
      </c>
      <c r="K535">
        <v>3</v>
      </c>
      <c r="L535">
        <v>7</v>
      </c>
      <c r="M535">
        <v>0</v>
      </c>
    </row>
    <row r="536" spans="1:13" x14ac:dyDescent="0.3">
      <c r="A536">
        <v>19</v>
      </c>
      <c r="B536" t="s">
        <v>16</v>
      </c>
      <c r="C536">
        <v>2.8</v>
      </c>
      <c r="D536" t="s">
        <v>14</v>
      </c>
      <c r="E536">
        <v>5.9</v>
      </c>
      <c r="F536">
        <v>1.5</v>
      </c>
      <c r="G536">
        <v>2.85</v>
      </c>
      <c r="H536">
        <v>0.6</v>
      </c>
      <c r="I536" t="s">
        <v>18</v>
      </c>
      <c r="J536">
        <v>10</v>
      </c>
      <c r="K536">
        <v>9</v>
      </c>
      <c r="L536">
        <v>4</v>
      </c>
      <c r="M536">
        <v>0</v>
      </c>
    </row>
    <row r="537" spans="1:13" x14ac:dyDescent="0.3">
      <c r="A537">
        <v>13</v>
      </c>
      <c r="B537" t="s">
        <v>13</v>
      </c>
      <c r="C537">
        <v>2.2000000000000002</v>
      </c>
      <c r="D537" t="s">
        <v>20</v>
      </c>
      <c r="E537">
        <v>5.8</v>
      </c>
      <c r="F537">
        <v>2</v>
      </c>
      <c r="G537">
        <v>3.63</v>
      </c>
      <c r="H537">
        <v>1.9</v>
      </c>
      <c r="I537" t="s">
        <v>15</v>
      </c>
      <c r="J537">
        <v>4</v>
      </c>
      <c r="K537">
        <v>4</v>
      </c>
      <c r="L537">
        <v>10</v>
      </c>
      <c r="M537">
        <v>0</v>
      </c>
    </row>
    <row r="538" spans="1:13" x14ac:dyDescent="0.3">
      <c r="A538">
        <v>19</v>
      </c>
      <c r="B538" t="s">
        <v>13</v>
      </c>
      <c r="C538">
        <v>5.7</v>
      </c>
      <c r="D538" t="s">
        <v>14</v>
      </c>
      <c r="E538">
        <v>4.8</v>
      </c>
      <c r="F538">
        <v>2.2000000000000002</v>
      </c>
      <c r="G538">
        <v>3.66</v>
      </c>
      <c r="H538">
        <v>0.9</v>
      </c>
      <c r="I538" t="s">
        <v>15</v>
      </c>
      <c r="J538">
        <v>3</v>
      </c>
      <c r="K538">
        <v>7</v>
      </c>
      <c r="L538">
        <v>5</v>
      </c>
      <c r="M538">
        <v>0</v>
      </c>
    </row>
    <row r="539" spans="1:13" x14ac:dyDescent="0.3">
      <c r="A539">
        <v>15</v>
      </c>
      <c r="B539" t="s">
        <v>13</v>
      </c>
      <c r="C539">
        <v>5.3</v>
      </c>
      <c r="D539" t="s">
        <v>20</v>
      </c>
      <c r="E539">
        <v>7.3</v>
      </c>
      <c r="F539">
        <v>1.9</v>
      </c>
      <c r="G539">
        <v>2.5099999999999998</v>
      </c>
      <c r="H539">
        <v>1.4</v>
      </c>
      <c r="I539" t="s">
        <v>18</v>
      </c>
      <c r="J539">
        <v>10</v>
      </c>
      <c r="K539">
        <v>4</v>
      </c>
      <c r="L539">
        <v>2</v>
      </c>
      <c r="M539">
        <v>0</v>
      </c>
    </row>
    <row r="540" spans="1:13" x14ac:dyDescent="0.3">
      <c r="A540">
        <v>14</v>
      </c>
      <c r="B540" t="s">
        <v>13</v>
      </c>
      <c r="C540">
        <v>3.1</v>
      </c>
      <c r="D540" t="s">
        <v>17</v>
      </c>
      <c r="E540">
        <v>8.8000000000000007</v>
      </c>
      <c r="F540">
        <v>1.5</v>
      </c>
      <c r="G540">
        <v>3.91</v>
      </c>
      <c r="H540">
        <v>0.6</v>
      </c>
      <c r="I540" t="s">
        <v>19</v>
      </c>
      <c r="J540">
        <v>4</v>
      </c>
      <c r="K540">
        <v>9</v>
      </c>
      <c r="L540">
        <v>6</v>
      </c>
      <c r="M540">
        <v>0</v>
      </c>
    </row>
    <row r="541" spans="1:13" x14ac:dyDescent="0.3">
      <c r="A541">
        <v>16</v>
      </c>
      <c r="B541" t="s">
        <v>13</v>
      </c>
      <c r="C541">
        <v>1.7</v>
      </c>
      <c r="D541" t="s">
        <v>17</v>
      </c>
      <c r="E541">
        <v>4.9000000000000004</v>
      </c>
      <c r="F541">
        <v>0.6</v>
      </c>
      <c r="G541">
        <v>3.38</v>
      </c>
      <c r="H541">
        <v>1.1000000000000001</v>
      </c>
      <c r="I541" t="s">
        <v>19</v>
      </c>
      <c r="J541">
        <v>10</v>
      </c>
      <c r="K541">
        <v>4</v>
      </c>
      <c r="L541">
        <v>6</v>
      </c>
      <c r="M541">
        <v>0</v>
      </c>
    </row>
    <row r="542" spans="1:13" x14ac:dyDescent="0.3">
      <c r="A542">
        <v>19</v>
      </c>
      <c r="B542" t="s">
        <v>16</v>
      </c>
      <c r="C542">
        <v>6.7</v>
      </c>
      <c r="D542" t="s">
        <v>14</v>
      </c>
      <c r="E542">
        <v>7.3</v>
      </c>
      <c r="F542">
        <v>2.8</v>
      </c>
      <c r="G542">
        <v>2.2599999999999998</v>
      </c>
      <c r="H542">
        <v>1.4</v>
      </c>
      <c r="I542" t="s">
        <v>18</v>
      </c>
      <c r="J542">
        <v>7</v>
      </c>
      <c r="K542">
        <v>6</v>
      </c>
      <c r="L542">
        <v>8</v>
      </c>
      <c r="M542">
        <v>0</v>
      </c>
    </row>
    <row r="543" spans="1:13" x14ac:dyDescent="0.3">
      <c r="A543">
        <v>13</v>
      </c>
      <c r="B543" t="s">
        <v>16</v>
      </c>
      <c r="C543">
        <v>7.8</v>
      </c>
      <c r="D543" t="s">
        <v>14</v>
      </c>
      <c r="E543">
        <v>7.4</v>
      </c>
      <c r="F543">
        <v>1.7</v>
      </c>
      <c r="G543">
        <v>2.76</v>
      </c>
      <c r="H543">
        <v>1.1000000000000001</v>
      </c>
      <c r="I543" t="s">
        <v>15</v>
      </c>
      <c r="J543">
        <v>10</v>
      </c>
      <c r="K543">
        <v>1</v>
      </c>
      <c r="L543">
        <v>4</v>
      </c>
      <c r="M543">
        <v>0</v>
      </c>
    </row>
    <row r="544" spans="1:13" x14ac:dyDescent="0.3">
      <c r="A544">
        <v>18</v>
      </c>
      <c r="B544" t="s">
        <v>16</v>
      </c>
      <c r="C544">
        <v>2.1</v>
      </c>
      <c r="D544" t="s">
        <v>20</v>
      </c>
      <c r="E544">
        <v>6.7</v>
      </c>
      <c r="F544">
        <v>0.9</v>
      </c>
      <c r="G544">
        <v>3.73</v>
      </c>
      <c r="H544">
        <v>0.7</v>
      </c>
      <c r="I544" t="s">
        <v>15</v>
      </c>
      <c r="J544">
        <v>3</v>
      </c>
      <c r="K544">
        <v>5</v>
      </c>
      <c r="L544">
        <v>7</v>
      </c>
      <c r="M544">
        <v>0</v>
      </c>
    </row>
    <row r="545" spans="1:13" x14ac:dyDescent="0.3">
      <c r="A545">
        <v>17</v>
      </c>
      <c r="B545" t="s">
        <v>16</v>
      </c>
      <c r="C545">
        <v>5.0999999999999996</v>
      </c>
      <c r="D545" t="s">
        <v>17</v>
      </c>
      <c r="E545">
        <v>8.6</v>
      </c>
      <c r="F545">
        <v>1.9</v>
      </c>
      <c r="G545">
        <v>3.33</v>
      </c>
      <c r="H545">
        <v>1.1000000000000001</v>
      </c>
      <c r="I545" t="s">
        <v>15</v>
      </c>
      <c r="J545">
        <v>1</v>
      </c>
      <c r="K545">
        <v>7</v>
      </c>
      <c r="L545">
        <v>8</v>
      </c>
      <c r="M545">
        <v>0</v>
      </c>
    </row>
    <row r="546" spans="1:13" x14ac:dyDescent="0.3">
      <c r="A546">
        <v>18</v>
      </c>
      <c r="B546" t="s">
        <v>16</v>
      </c>
      <c r="C546">
        <v>3.6</v>
      </c>
      <c r="D546" t="s">
        <v>14</v>
      </c>
      <c r="E546">
        <v>5.4</v>
      </c>
      <c r="F546">
        <v>0.9</v>
      </c>
      <c r="G546">
        <v>3.45</v>
      </c>
      <c r="H546">
        <v>0.5</v>
      </c>
      <c r="I546" t="s">
        <v>19</v>
      </c>
      <c r="J546">
        <v>1</v>
      </c>
      <c r="K546">
        <v>10</v>
      </c>
      <c r="L546">
        <v>2</v>
      </c>
      <c r="M546">
        <v>0</v>
      </c>
    </row>
    <row r="547" spans="1:13" x14ac:dyDescent="0.3">
      <c r="A547">
        <v>18</v>
      </c>
      <c r="B547" t="s">
        <v>13</v>
      </c>
      <c r="C547">
        <v>5</v>
      </c>
      <c r="D547" t="s">
        <v>20</v>
      </c>
      <c r="E547">
        <v>7.6</v>
      </c>
      <c r="F547">
        <v>2</v>
      </c>
      <c r="G547">
        <v>3.94</v>
      </c>
      <c r="H547">
        <v>0.5</v>
      </c>
      <c r="I547" t="s">
        <v>15</v>
      </c>
      <c r="J547">
        <v>4</v>
      </c>
      <c r="K547">
        <v>3</v>
      </c>
      <c r="L547">
        <v>3</v>
      </c>
      <c r="M547">
        <v>0</v>
      </c>
    </row>
    <row r="548" spans="1:13" x14ac:dyDescent="0.3">
      <c r="A548">
        <v>17</v>
      </c>
      <c r="B548" t="s">
        <v>13</v>
      </c>
      <c r="C548">
        <v>1.7</v>
      </c>
      <c r="D548" t="s">
        <v>20</v>
      </c>
      <c r="E548">
        <v>8.6</v>
      </c>
      <c r="F548">
        <v>0.9</v>
      </c>
      <c r="G548">
        <v>2.36</v>
      </c>
      <c r="H548">
        <v>1.7</v>
      </c>
      <c r="I548" t="s">
        <v>15</v>
      </c>
      <c r="J548">
        <v>9</v>
      </c>
      <c r="K548">
        <v>1</v>
      </c>
      <c r="L548">
        <v>3</v>
      </c>
      <c r="M548">
        <v>0</v>
      </c>
    </row>
    <row r="549" spans="1:13" x14ac:dyDescent="0.3">
      <c r="A549">
        <v>17</v>
      </c>
      <c r="B549" t="s">
        <v>13</v>
      </c>
      <c r="C549">
        <v>6.8</v>
      </c>
      <c r="D549" t="s">
        <v>14</v>
      </c>
      <c r="E549">
        <v>4.7</v>
      </c>
      <c r="F549">
        <v>0.6</v>
      </c>
      <c r="G549">
        <v>3.4</v>
      </c>
      <c r="H549">
        <v>0.9</v>
      </c>
      <c r="I549" t="s">
        <v>15</v>
      </c>
      <c r="J549">
        <v>3</v>
      </c>
      <c r="K549">
        <v>9</v>
      </c>
      <c r="L549">
        <v>7</v>
      </c>
      <c r="M549">
        <v>0</v>
      </c>
    </row>
    <row r="550" spans="1:13" x14ac:dyDescent="0.3">
      <c r="A550">
        <v>14</v>
      </c>
      <c r="B550" t="s">
        <v>13</v>
      </c>
      <c r="C550">
        <v>3.8</v>
      </c>
      <c r="D550" t="s">
        <v>20</v>
      </c>
      <c r="E550">
        <v>7.5</v>
      </c>
      <c r="F550">
        <v>0.5</v>
      </c>
      <c r="G550">
        <v>2.1800000000000002</v>
      </c>
      <c r="H550">
        <v>1</v>
      </c>
      <c r="I550" t="s">
        <v>19</v>
      </c>
      <c r="J550">
        <v>5</v>
      </c>
      <c r="K550">
        <v>2</v>
      </c>
      <c r="L550">
        <v>2</v>
      </c>
      <c r="M550">
        <v>0</v>
      </c>
    </row>
    <row r="551" spans="1:13" x14ac:dyDescent="0.3">
      <c r="A551">
        <v>16</v>
      </c>
      <c r="B551" t="s">
        <v>13</v>
      </c>
      <c r="C551">
        <v>2.1</v>
      </c>
      <c r="D551" t="s">
        <v>14</v>
      </c>
      <c r="E551">
        <v>7.7</v>
      </c>
      <c r="F551">
        <v>1.1000000000000001</v>
      </c>
      <c r="G551">
        <v>2.27</v>
      </c>
      <c r="H551">
        <v>1.1000000000000001</v>
      </c>
      <c r="I551" t="s">
        <v>19</v>
      </c>
      <c r="J551">
        <v>3</v>
      </c>
      <c r="K551">
        <v>2</v>
      </c>
      <c r="L551">
        <v>4</v>
      </c>
      <c r="M551">
        <v>0</v>
      </c>
    </row>
    <row r="552" spans="1:13" x14ac:dyDescent="0.3">
      <c r="A552">
        <v>15</v>
      </c>
      <c r="B552" t="s">
        <v>16</v>
      </c>
      <c r="C552">
        <v>3.2</v>
      </c>
      <c r="D552" t="s">
        <v>14</v>
      </c>
      <c r="E552">
        <v>4</v>
      </c>
      <c r="F552">
        <v>2</v>
      </c>
      <c r="G552">
        <v>3.25</v>
      </c>
      <c r="H552">
        <v>0.7</v>
      </c>
      <c r="I552" t="s">
        <v>15</v>
      </c>
      <c r="J552">
        <v>8</v>
      </c>
      <c r="K552">
        <v>4</v>
      </c>
      <c r="L552">
        <v>8</v>
      </c>
      <c r="M552">
        <v>0</v>
      </c>
    </row>
    <row r="553" spans="1:13" x14ac:dyDescent="0.3">
      <c r="A553">
        <v>18</v>
      </c>
      <c r="B553" t="s">
        <v>13</v>
      </c>
      <c r="C553">
        <v>1.9</v>
      </c>
      <c r="D553" t="s">
        <v>14</v>
      </c>
      <c r="E553">
        <v>5.6</v>
      </c>
      <c r="F553">
        <v>2.2999999999999998</v>
      </c>
      <c r="G553">
        <v>2.8</v>
      </c>
      <c r="H553">
        <v>1.9</v>
      </c>
      <c r="I553" t="s">
        <v>19</v>
      </c>
      <c r="J553">
        <v>8</v>
      </c>
      <c r="K553">
        <v>1</v>
      </c>
      <c r="L553">
        <v>8</v>
      </c>
      <c r="M553">
        <v>0</v>
      </c>
    </row>
    <row r="554" spans="1:13" x14ac:dyDescent="0.3">
      <c r="A554">
        <v>13</v>
      </c>
      <c r="B554" t="s">
        <v>16</v>
      </c>
      <c r="C554">
        <v>3.5</v>
      </c>
      <c r="D554" t="s">
        <v>14</v>
      </c>
      <c r="E554">
        <v>6.8</v>
      </c>
      <c r="F554">
        <v>1.5</v>
      </c>
      <c r="G554">
        <v>2.35</v>
      </c>
      <c r="H554">
        <v>1.8</v>
      </c>
      <c r="I554" t="s">
        <v>19</v>
      </c>
      <c r="J554">
        <v>7</v>
      </c>
      <c r="K554">
        <v>3</v>
      </c>
      <c r="L554">
        <v>2</v>
      </c>
      <c r="M554">
        <v>0</v>
      </c>
    </row>
    <row r="555" spans="1:13" x14ac:dyDescent="0.3">
      <c r="A555">
        <v>15</v>
      </c>
      <c r="B555" t="s">
        <v>16</v>
      </c>
      <c r="C555">
        <v>4.5</v>
      </c>
      <c r="D555" t="s">
        <v>14</v>
      </c>
      <c r="E555">
        <v>7.7</v>
      </c>
      <c r="F555">
        <v>0.9</v>
      </c>
      <c r="G555">
        <v>2.61</v>
      </c>
      <c r="H555">
        <v>1.1000000000000001</v>
      </c>
      <c r="I555" t="s">
        <v>19</v>
      </c>
      <c r="J555">
        <v>9</v>
      </c>
      <c r="K555">
        <v>10</v>
      </c>
      <c r="L555">
        <v>4</v>
      </c>
      <c r="M555">
        <v>0</v>
      </c>
    </row>
    <row r="556" spans="1:13" x14ac:dyDescent="0.3">
      <c r="A556">
        <v>13</v>
      </c>
      <c r="B556" t="s">
        <v>16</v>
      </c>
      <c r="C556">
        <v>6</v>
      </c>
      <c r="D556" t="s">
        <v>17</v>
      </c>
      <c r="E556">
        <v>5</v>
      </c>
      <c r="F556">
        <v>2.5</v>
      </c>
      <c r="G556">
        <v>2.5499999999999998</v>
      </c>
      <c r="H556">
        <v>1.8</v>
      </c>
      <c r="I556" t="s">
        <v>18</v>
      </c>
      <c r="J556">
        <v>4</v>
      </c>
      <c r="K556">
        <v>9</v>
      </c>
      <c r="L556">
        <v>2</v>
      </c>
      <c r="M556">
        <v>0</v>
      </c>
    </row>
    <row r="557" spans="1:13" x14ac:dyDescent="0.3">
      <c r="A557">
        <v>13</v>
      </c>
      <c r="B557" t="s">
        <v>16</v>
      </c>
      <c r="C557">
        <v>3.6</v>
      </c>
      <c r="D557" t="s">
        <v>17</v>
      </c>
      <c r="E557">
        <v>4.8</v>
      </c>
      <c r="F557">
        <v>2.2000000000000002</v>
      </c>
      <c r="G557">
        <v>3.58</v>
      </c>
      <c r="H557">
        <v>1.2</v>
      </c>
      <c r="I557" t="s">
        <v>19</v>
      </c>
      <c r="J557">
        <v>4</v>
      </c>
      <c r="K557">
        <v>4</v>
      </c>
      <c r="L557">
        <v>7</v>
      </c>
      <c r="M557">
        <v>0</v>
      </c>
    </row>
    <row r="558" spans="1:13" x14ac:dyDescent="0.3">
      <c r="A558">
        <v>19</v>
      </c>
      <c r="B558" t="s">
        <v>13</v>
      </c>
      <c r="C558">
        <v>5.2</v>
      </c>
      <c r="D558" t="s">
        <v>17</v>
      </c>
      <c r="E558">
        <v>6.9</v>
      </c>
      <c r="F558">
        <v>2.2999999999999998</v>
      </c>
      <c r="G558">
        <v>2.09</v>
      </c>
      <c r="H558">
        <v>0.2</v>
      </c>
      <c r="I558" t="s">
        <v>18</v>
      </c>
      <c r="J558">
        <v>6</v>
      </c>
      <c r="K558">
        <v>4</v>
      </c>
      <c r="L558">
        <v>8</v>
      </c>
      <c r="M558">
        <v>0</v>
      </c>
    </row>
    <row r="559" spans="1:13" x14ac:dyDescent="0.3">
      <c r="A559">
        <v>13</v>
      </c>
      <c r="B559" t="s">
        <v>13</v>
      </c>
      <c r="C559">
        <v>2.7</v>
      </c>
      <c r="D559" t="s">
        <v>20</v>
      </c>
      <c r="E559">
        <v>6.9</v>
      </c>
      <c r="F559">
        <v>1.4</v>
      </c>
      <c r="G559">
        <v>2.87</v>
      </c>
      <c r="H559">
        <v>1.5</v>
      </c>
      <c r="I559" t="s">
        <v>15</v>
      </c>
      <c r="J559">
        <v>2</v>
      </c>
      <c r="K559">
        <v>6</v>
      </c>
      <c r="L559">
        <v>3</v>
      </c>
      <c r="M559">
        <v>0</v>
      </c>
    </row>
    <row r="560" spans="1:13" x14ac:dyDescent="0.3">
      <c r="A560">
        <v>16</v>
      </c>
      <c r="B560" t="s">
        <v>16</v>
      </c>
      <c r="C560">
        <v>2.8</v>
      </c>
      <c r="D560" t="s">
        <v>17</v>
      </c>
      <c r="E560">
        <v>7.1</v>
      </c>
      <c r="F560">
        <v>1.4</v>
      </c>
      <c r="G560">
        <v>3.85</v>
      </c>
      <c r="H560">
        <v>0.4</v>
      </c>
      <c r="I560" t="s">
        <v>18</v>
      </c>
      <c r="J560">
        <v>7</v>
      </c>
      <c r="K560">
        <v>9</v>
      </c>
      <c r="L560">
        <v>8</v>
      </c>
      <c r="M560">
        <v>0</v>
      </c>
    </row>
    <row r="561" spans="1:13" x14ac:dyDescent="0.3">
      <c r="A561">
        <v>14</v>
      </c>
      <c r="B561" t="s">
        <v>13</v>
      </c>
      <c r="C561">
        <v>5.6</v>
      </c>
      <c r="D561" t="s">
        <v>14</v>
      </c>
      <c r="E561">
        <v>7</v>
      </c>
      <c r="F561">
        <v>1.9</v>
      </c>
      <c r="G561">
        <v>2.58</v>
      </c>
      <c r="H561">
        <v>0.4</v>
      </c>
      <c r="I561" t="s">
        <v>15</v>
      </c>
      <c r="J561">
        <v>5</v>
      </c>
      <c r="K561">
        <v>7</v>
      </c>
      <c r="L561">
        <v>3</v>
      </c>
      <c r="M561">
        <v>0</v>
      </c>
    </row>
    <row r="562" spans="1:13" x14ac:dyDescent="0.3">
      <c r="A562">
        <v>16</v>
      </c>
      <c r="B562" t="s">
        <v>13</v>
      </c>
      <c r="C562">
        <v>2.7</v>
      </c>
      <c r="D562" t="s">
        <v>20</v>
      </c>
      <c r="E562">
        <v>7.2</v>
      </c>
      <c r="F562">
        <v>0.6</v>
      </c>
      <c r="G562">
        <v>3.98</v>
      </c>
      <c r="H562">
        <v>1.7</v>
      </c>
      <c r="I562" t="s">
        <v>15</v>
      </c>
      <c r="J562">
        <v>6</v>
      </c>
      <c r="K562">
        <v>1</v>
      </c>
      <c r="L562">
        <v>5</v>
      </c>
      <c r="M562">
        <v>0</v>
      </c>
    </row>
    <row r="563" spans="1:13" x14ac:dyDescent="0.3">
      <c r="A563">
        <v>14</v>
      </c>
      <c r="B563" t="s">
        <v>13</v>
      </c>
      <c r="C563">
        <v>4.2</v>
      </c>
      <c r="D563" t="s">
        <v>20</v>
      </c>
      <c r="E563">
        <v>7</v>
      </c>
      <c r="F563">
        <v>1.1000000000000001</v>
      </c>
      <c r="G563">
        <v>2.12</v>
      </c>
      <c r="H563">
        <v>0.9</v>
      </c>
      <c r="I563" t="s">
        <v>18</v>
      </c>
      <c r="J563">
        <v>4</v>
      </c>
      <c r="K563">
        <v>8</v>
      </c>
      <c r="L563">
        <v>1</v>
      </c>
      <c r="M563">
        <v>0</v>
      </c>
    </row>
    <row r="564" spans="1:13" x14ac:dyDescent="0.3">
      <c r="A564">
        <v>18</v>
      </c>
      <c r="B564" t="s">
        <v>16</v>
      </c>
      <c r="C564">
        <v>5.0999999999999996</v>
      </c>
      <c r="D564" t="s">
        <v>17</v>
      </c>
      <c r="E564">
        <v>8.1999999999999993</v>
      </c>
      <c r="F564">
        <v>2.8</v>
      </c>
      <c r="G564">
        <v>2.1800000000000002</v>
      </c>
      <c r="H564">
        <v>0.5</v>
      </c>
      <c r="I564" t="s">
        <v>18</v>
      </c>
      <c r="J564">
        <v>8</v>
      </c>
      <c r="K564">
        <v>8</v>
      </c>
      <c r="L564">
        <v>8</v>
      </c>
      <c r="M564">
        <v>0</v>
      </c>
    </row>
    <row r="565" spans="1:13" x14ac:dyDescent="0.3">
      <c r="A565">
        <v>15</v>
      </c>
      <c r="B565" t="s">
        <v>16</v>
      </c>
      <c r="C565">
        <v>5.7</v>
      </c>
      <c r="D565" t="s">
        <v>14</v>
      </c>
      <c r="E565">
        <v>6.1</v>
      </c>
      <c r="F565">
        <v>0.7</v>
      </c>
      <c r="G565">
        <v>3.08</v>
      </c>
      <c r="H565">
        <v>0.6</v>
      </c>
      <c r="I565" t="s">
        <v>19</v>
      </c>
      <c r="J565">
        <v>5</v>
      </c>
      <c r="K565">
        <v>9</v>
      </c>
      <c r="L565">
        <v>7</v>
      </c>
      <c r="M565">
        <v>0</v>
      </c>
    </row>
    <row r="566" spans="1:13" x14ac:dyDescent="0.3">
      <c r="A566">
        <v>13</v>
      </c>
      <c r="B566" t="s">
        <v>16</v>
      </c>
      <c r="C566">
        <v>1.5</v>
      </c>
      <c r="D566" t="s">
        <v>20</v>
      </c>
      <c r="E566">
        <v>7.9</v>
      </c>
      <c r="F566">
        <v>1.8</v>
      </c>
      <c r="G566">
        <v>2.85</v>
      </c>
      <c r="H566">
        <v>1.1000000000000001</v>
      </c>
      <c r="I566" t="s">
        <v>19</v>
      </c>
      <c r="J566">
        <v>5</v>
      </c>
      <c r="K566">
        <v>7</v>
      </c>
      <c r="L566">
        <v>1</v>
      </c>
      <c r="M566">
        <v>0</v>
      </c>
    </row>
    <row r="567" spans="1:13" x14ac:dyDescent="0.3">
      <c r="A567">
        <v>15</v>
      </c>
      <c r="B567" t="s">
        <v>16</v>
      </c>
      <c r="C567">
        <v>6.9</v>
      </c>
      <c r="D567" t="s">
        <v>17</v>
      </c>
      <c r="E567">
        <v>8.3000000000000007</v>
      </c>
      <c r="F567">
        <v>2.4</v>
      </c>
      <c r="G567">
        <v>3.34</v>
      </c>
      <c r="H567">
        <v>1.2</v>
      </c>
      <c r="I567" t="s">
        <v>18</v>
      </c>
      <c r="J567">
        <v>2</v>
      </c>
      <c r="K567">
        <v>4</v>
      </c>
      <c r="L567">
        <v>9</v>
      </c>
      <c r="M567">
        <v>0</v>
      </c>
    </row>
    <row r="568" spans="1:13" x14ac:dyDescent="0.3">
      <c r="A568">
        <v>14</v>
      </c>
      <c r="B568" t="s">
        <v>13</v>
      </c>
      <c r="C568">
        <v>4.7</v>
      </c>
      <c r="D568" t="s">
        <v>17</v>
      </c>
      <c r="E568">
        <v>7.9</v>
      </c>
      <c r="F568">
        <v>2.9</v>
      </c>
      <c r="G568">
        <v>2.54</v>
      </c>
      <c r="H568">
        <v>0.7</v>
      </c>
      <c r="I568" t="s">
        <v>18</v>
      </c>
      <c r="J568">
        <v>5</v>
      </c>
      <c r="K568">
        <v>8</v>
      </c>
      <c r="L568">
        <v>7</v>
      </c>
      <c r="M568">
        <v>0</v>
      </c>
    </row>
    <row r="569" spans="1:13" x14ac:dyDescent="0.3">
      <c r="A569">
        <v>15</v>
      </c>
      <c r="B569" t="s">
        <v>16</v>
      </c>
      <c r="C569">
        <v>2.7</v>
      </c>
      <c r="D569" t="s">
        <v>20</v>
      </c>
      <c r="E569">
        <v>8.5</v>
      </c>
      <c r="F569">
        <v>0.8</v>
      </c>
      <c r="G569">
        <v>2.91</v>
      </c>
      <c r="H569">
        <v>1.3</v>
      </c>
      <c r="I569" t="s">
        <v>15</v>
      </c>
      <c r="J569">
        <v>6</v>
      </c>
      <c r="K569">
        <v>3</v>
      </c>
      <c r="L569">
        <v>1</v>
      </c>
      <c r="M569">
        <v>0</v>
      </c>
    </row>
    <row r="570" spans="1:13" x14ac:dyDescent="0.3">
      <c r="A570">
        <v>13</v>
      </c>
      <c r="B570" t="s">
        <v>16</v>
      </c>
      <c r="C570">
        <v>6.1</v>
      </c>
      <c r="D570" t="s">
        <v>20</v>
      </c>
      <c r="E570">
        <v>6.4</v>
      </c>
      <c r="F570">
        <v>2.8</v>
      </c>
      <c r="G570">
        <v>2.5099999999999998</v>
      </c>
      <c r="H570">
        <v>1.9</v>
      </c>
      <c r="I570" t="s">
        <v>15</v>
      </c>
      <c r="J570">
        <v>6</v>
      </c>
      <c r="K570">
        <v>1</v>
      </c>
      <c r="L570">
        <v>9</v>
      </c>
      <c r="M570">
        <v>0</v>
      </c>
    </row>
    <row r="571" spans="1:13" x14ac:dyDescent="0.3">
      <c r="A571">
        <v>17</v>
      </c>
      <c r="B571" t="s">
        <v>16</v>
      </c>
      <c r="C571">
        <v>5</v>
      </c>
      <c r="D571" t="s">
        <v>17</v>
      </c>
      <c r="E571">
        <v>7.3</v>
      </c>
      <c r="F571">
        <v>1.9</v>
      </c>
      <c r="G571">
        <v>3.83</v>
      </c>
      <c r="H571">
        <v>0.4</v>
      </c>
      <c r="I571" t="s">
        <v>18</v>
      </c>
      <c r="J571">
        <v>8</v>
      </c>
      <c r="K571">
        <v>9</v>
      </c>
      <c r="L571">
        <v>9</v>
      </c>
      <c r="M571">
        <v>0</v>
      </c>
    </row>
    <row r="572" spans="1:13" x14ac:dyDescent="0.3">
      <c r="A572">
        <v>17</v>
      </c>
      <c r="B572" t="s">
        <v>16</v>
      </c>
      <c r="C572">
        <v>5.3</v>
      </c>
      <c r="D572" t="s">
        <v>20</v>
      </c>
      <c r="E572">
        <v>6.8</v>
      </c>
      <c r="F572">
        <v>1.9</v>
      </c>
      <c r="G572">
        <v>3.39</v>
      </c>
      <c r="H572">
        <v>1.6</v>
      </c>
      <c r="I572" t="s">
        <v>15</v>
      </c>
      <c r="J572">
        <v>10</v>
      </c>
      <c r="K572">
        <v>6</v>
      </c>
      <c r="L572">
        <v>8</v>
      </c>
      <c r="M572">
        <v>0</v>
      </c>
    </row>
    <row r="573" spans="1:13" x14ac:dyDescent="0.3">
      <c r="A573">
        <v>19</v>
      </c>
      <c r="B573" t="s">
        <v>13</v>
      </c>
      <c r="C573">
        <v>7.2</v>
      </c>
      <c r="D573" t="s">
        <v>17</v>
      </c>
      <c r="E573">
        <v>6.6</v>
      </c>
      <c r="F573">
        <v>2.9</v>
      </c>
      <c r="G573">
        <v>2.74</v>
      </c>
      <c r="H573">
        <v>0.3</v>
      </c>
      <c r="I573" t="s">
        <v>19</v>
      </c>
      <c r="J573">
        <v>1</v>
      </c>
      <c r="K573">
        <v>10</v>
      </c>
      <c r="L573">
        <v>9</v>
      </c>
      <c r="M573">
        <v>0</v>
      </c>
    </row>
    <row r="574" spans="1:13" x14ac:dyDescent="0.3">
      <c r="A574">
        <v>15</v>
      </c>
      <c r="B574" t="s">
        <v>13</v>
      </c>
      <c r="C574">
        <v>2.2999999999999998</v>
      </c>
      <c r="D574" t="s">
        <v>20</v>
      </c>
      <c r="E574">
        <v>5.7</v>
      </c>
      <c r="F574">
        <v>2.8</v>
      </c>
      <c r="G574">
        <v>2.79</v>
      </c>
      <c r="H574">
        <v>1.9</v>
      </c>
      <c r="I574" t="s">
        <v>19</v>
      </c>
      <c r="J574">
        <v>4</v>
      </c>
      <c r="K574">
        <v>1</v>
      </c>
      <c r="L574">
        <v>4</v>
      </c>
      <c r="M574">
        <v>0</v>
      </c>
    </row>
    <row r="575" spans="1:13" x14ac:dyDescent="0.3">
      <c r="A575">
        <v>17</v>
      </c>
      <c r="B575" t="s">
        <v>16</v>
      </c>
      <c r="C575">
        <v>7.3</v>
      </c>
      <c r="D575" t="s">
        <v>20</v>
      </c>
      <c r="E575">
        <v>7.8</v>
      </c>
      <c r="F575">
        <v>1.1000000000000001</v>
      </c>
      <c r="G575">
        <v>2.0299999999999998</v>
      </c>
      <c r="H575">
        <v>1.1000000000000001</v>
      </c>
      <c r="I575" t="s">
        <v>15</v>
      </c>
      <c r="J575">
        <v>3</v>
      </c>
      <c r="K575">
        <v>10</v>
      </c>
      <c r="L575">
        <v>6</v>
      </c>
      <c r="M575">
        <v>0</v>
      </c>
    </row>
    <row r="576" spans="1:13" x14ac:dyDescent="0.3">
      <c r="A576">
        <v>16</v>
      </c>
      <c r="B576" t="s">
        <v>16</v>
      </c>
      <c r="C576">
        <v>1.5</v>
      </c>
      <c r="D576" t="s">
        <v>14</v>
      </c>
      <c r="E576">
        <v>8</v>
      </c>
      <c r="F576">
        <v>0.7</v>
      </c>
      <c r="G576">
        <v>2.1800000000000002</v>
      </c>
      <c r="H576">
        <v>0.6</v>
      </c>
      <c r="I576" t="s">
        <v>19</v>
      </c>
      <c r="J576">
        <v>4</v>
      </c>
      <c r="K576">
        <v>7</v>
      </c>
      <c r="L576">
        <v>5</v>
      </c>
      <c r="M576">
        <v>0</v>
      </c>
    </row>
    <row r="577" spans="1:13" x14ac:dyDescent="0.3">
      <c r="A577">
        <v>18</v>
      </c>
      <c r="B577" t="s">
        <v>16</v>
      </c>
      <c r="C577">
        <v>2.2000000000000002</v>
      </c>
      <c r="D577" t="s">
        <v>14</v>
      </c>
      <c r="E577">
        <v>6.5</v>
      </c>
      <c r="F577">
        <v>1.9</v>
      </c>
      <c r="G577">
        <v>3.79</v>
      </c>
      <c r="H577">
        <v>0.2</v>
      </c>
      <c r="I577" t="s">
        <v>15</v>
      </c>
      <c r="J577">
        <v>1</v>
      </c>
      <c r="K577">
        <v>6</v>
      </c>
      <c r="L577">
        <v>2</v>
      </c>
      <c r="M577">
        <v>0</v>
      </c>
    </row>
    <row r="578" spans="1:13" x14ac:dyDescent="0.3">
      <c r="A578">
        <v>13</v>
      </c>
      <c r="B578" t="s">
        <v>16</v>
      </c>
      <c r="C578">
        <v>5.5</v>
      </c>
      <c r="D578" t="s">
        <v>20</v>
      </c>
      <c r="E578">
        <v>6.7</v>
      </c>
      <c r="F578">
        <v>1.6</v>
      </c>
      <c r="G578">
        <v>3.09</v>
      </c>
      <c r="H578">
        <v>1.7</v>
      </c>
      <c r="I578" t="s">
        <v>18</v>
      </c>
      <c r="J578">
        <v>10</v>
      </c>
      <c r="K578">
        <v>1</v>
      </c>
      <c r="L578">
        <v>6</v>
      </c>
      <c r="M578">
        <v>0</v>
      </c>
    </row>
    <row r="579" spans="1:13" x14ac:dyDescent="0.3">
      <c r="A579">
        <v>19</v>
      </c>
      <c r="B579" t="s">
        <v>13</v>
      </c>
      <c r="C579">
        <v>2.1</v>
      </c>
      <c r="D579" t="s">
        <v>17</v>
      </c>
      <c r="E579">
        <v>5.2</v>
      </c>
      <c r="F579">
        <v>2.5</v>
      </c>
      <c r="G579">
        <v>3.1</v>
      </c>
      <c r="H579">
        <v>0.3</v>
      </c>
      <c r="I579" t="s">
        <v>15</v>
      </c>
      <c r="J579">
        <v>9</v>
      </c>
      <c r="K579">
        <v>9</v>
      </c>
      <c r="L579">
        <v>3</v>
      </c>
      <c r="M579">
        <v>0</v>
      </c>
    </row>
    <row r="580" spans="1:13" x14ac:dyDescent="0.3">
      <c r="A580">
        <v>15</v>
      </c>
      <c r="B580" t="s">
        <v>16</v>
      </c>
      <c r="C580">
        <v>4.5</v>
      </c>
      <c r="D580" t="s">
        <v>20</v>
      </c>
      <c r="E580">
        <v>5.4</v>
      </c>
      <c r="F580">
        <v>1.2</v>
      </c>
      <c r="G580">
        <v>3.76</v>
      </c>
      <c r="H580">
        <v>1.7</v>
      </c>
      <c r="I580" t="s">
        <v>18</v>
      </c>
      <c r="J580">
        <v>1</v>
      </c>
      <c r="K580">
        <v>8</v>
      </c>
      <c r="L580">
        <v>7</v>
      </c>
      <c r="M580">
        <v>0</v>
      </c>
    </row>
    <row r="581" spans="1:13" x14ac:dyDescent="0.3">
      <c r="A581">
        <v>13</v>
      </c>
      <c r="B581" t="s">
        <v>13</v>
      </c>
      <c r="C581">
        <v>3.9</v>
      </c>
      <c r="D581" t="s">
        <v>20</v>
      </c>
      <c r="E581">
        <v>5.8</v>
      </c>
      <c r="F581">
        <v>0.7</v>
      </c>
      <c r="G581">
        <v>2.77</v>
      </c>
      <c r="H581">
        <v>1.3</v>
      </c>
      <c r="I581" t="s">
        <v>19</v>
      </c>
      <c r="J581">
        <v>10</v>
      </c>
      <c r="K581">
        <v>3</v>
      </c>
      <c r="L581">
        <v>1</v>
      </c>
      <c r="M581">
        <v>0</v>
      </c>
    </row>
    <row r="582" spans="1:13" x14ac:dyDescent="0.3">
      <c r="A582">
        <v>14</v>
      </c>
      <c r="B582" t="s">
        <v>13</v>
      </c>
      <c r="C582">
        <v>5.8</v>
      </c>
      <c r="D582" t="s">
        <v>14</v>
      </c>
      <c r="E582">
        <v>5.0999999999999996</v>
      </c>
      <c r="F582">
        <v>2.6</v>
      </c>
      <c r="G582">
        <v>2.06</v>
      </c>
      <c r="H582">
        <v>1.5</v>
      </c>
      <c r="I582" t="s">
        <v>19</v>
      </c>
      <c r="J582">
        <v>7</v>
      </c>
      <c r="K582">
        <v>5</v>
      </c>
      <c r="L582">
        <v>2</v>
      </c>
      <c r="M582">
        <v>0</v>
      </c>
    </row>
    <row r="583" spans="1:13" x14ac:dyDescent="0.3">
      <c r="A583">
        <v>13</v>
      </c>
      <c r="B583" t="s">
        <v>16</v>
      </c>
      <c r="C583">
        <v>7.2</v>
      </c>
      <c r="D583" t="s">
        <v>20</v>
      </c>
      <c r="E583">
        <v>4.2</v>
      </c>
      <c r="F583">
        <v>2.5</v>
      </c>
      <c r="G583">
        <v>2.65</v>
      </c>
      <c r="H583">
        <v>1.6</v>
      </c>
      <c r="I583" t="s">
        <v>15</v>
      </c>
      <c r="J583">
        <v>10</v>
      </c>
      <c r="K583">
        <v>9</v>
      </c>
      <c r="L583">
        <v>3</v>
      </c>
      <c r="M583">
        <v>1</v>
      </c>
    </row>
    <row r="584" spans="1:13" x14ac:dyDescent="0.3">
      <c r="A584">
        <v>17</v>
      </c>
      <c r="B584" t="s">
        <v>16</v>
      </c>
      <c r="C584">
        <v>2.9</v>
      </c>
      <c r="D584" t="s">
        <v>20</v>
      </c>
      <c r="E584">
        <v>7.5</v>
      </c>
      <c r="F584">
        <v>1.4</v>
      </c>
      <c r="G584">
        <v>3.42</v>
      </c>
      <c r="H584">
        <v>1.7</v>
      </c>
      <c r="I584" t="s">
        <v>15</v>
      </c>
      <c r="J584">
        <v>5</v>
      </c>
      <c r="K584">
        <v>6</v>
      </c>
      <c r="L584">
        <v>3</v>
      </c>
      <c r="M584">
        <v>0</v>
      </c>
    </row>
    <row r="585" spans="1:13" x14ac:dyDescent="0.3">
      <c r="A585">
        <v>17</v>
      </c>
      <c r="B585" t="s">
        <v>13</v>
      </c>
      <c r="C585">
        <v>6.2</v>
      </c>
      <c r="D585" t="s">
        <v>14</v>
      </c>
      <c r="E585">
        <v>7.4</v>
      </c>
      <c r="F585">
        <v>0.6</v>
      </c>
      <c r="G585">
        <v>3.38</v>
      </c>
      <c r="H585">
        <v>1.5</v>
      </c>
      <c r="I585" t="s">
        <v>15</v>
      </c>
      <c r="J585">
        <v>4</v>
      </c>
      <c r="K585">
        <v>7</v>
      </c>
      <c r="L585">
        <v>9</v>
      </c>
      <c r="M585">
        <v>0</v>
      </c>
    </row>
    <row r="586" spans="1:13" x14ac:dyDescent="0.3">
      <c r="A586">
        <v>18</v>
      </c>
      <c r="B586" t="s">
        <v>16</v>
      </c>
      <c r="C586">
        <v>1.1000000000000001</v>
      </c>
      <c r="D586" t="s">
        <v>20</v>
      </c>
      <c r="E586">
        <v>4.9000000000000004</v>
      </c>
      <c r="F586">
        <v>2.6</v>
      </c>
      <c r="G586">
        <v>2.4300000000000002</v>
      </c>
      <c r="H586">
        <v>1.3</v>
      </c>
      <c r="I586" t="s">
        <v>18</v>
      </c>
      <c r="J586">
        <v>9</v>
      </c>
      <c r="K586">
        <v>7</v>
      </c>
      <c r="L586">
        <v>6</v>
      </c>
      <c r="M586">
        <v>0</v>
      </c>
    </row>
    <row r="587" spans="1:13" x14ac:dyDescent="0.3">
      <c r="A587">
        <v>19</v>
      </c>
      <c r="B587" t="s">
        <v>13</v>
      </c>
      <c r="C587">
        <v>5.2</v>
      </c>
      <c r="D587" t="s">
        <v>14</v>
      </c>
      <c r="E587">
        <v>4.3</v>
      </c>
      <c r="F587">
        <v>1.3</v>
      </c>
      <c r="G587">
        <v>2.29</v>
      </c>
      <c r="H587">
        <v>1.3</v>
      </c>
      <c r="I587" t="s">
        <v>19</v>
      </c>
      <c r="J587">
        <v>10</v>
      </c>
      <c r="K587">
        <v>8</v>
      </c>
      <c r="L587">
        <v>10</v>
      </c>
      <c r="M587">
        <v>1</v>
      </c>
    </row>
    <row r="588" spans="1:13" x14ac:dyDescent="0.3">
      <c r="A588">
        <v>15</v>
      </c>
      <c r="B588" t="s">
        <v>16</v>
      </c>
      <c r="C588">
        <v>5</v>
      </c>
      <c r="D588" t="s">
        <v>14</v>
      </c>
      <c r="E588">
        <v>7.6</v>
      </c>
      <c r="F588">
        <v>1.8</v>
      </c>
      <c r="G588">
        <v>2.52</v>
      </c>
      <c r="H588">
        <v>1.4</v>
      </c>
      <c r="I588" t="s">
        <v>18</v>
      </c>
      <c r="J588">
        <v>1</v>
      </c>
      <c r="K588">
        <v>4</v>
      </c>
      <c r="L588">
        <v>3</v>
      </c>
      <c r="M588">
        <v>0</v>
      </c>
    </row>
    <row r="589" spans="1:13" x14ac:dyDescent="0.3">
      <c r="A589">
        <v>13</v>
      </c>
      <c r="B589" t="s">
        <v>16</v>
      </c>
      <c r="C589">
        <v>2.2999999999999998</v>
      </c>
      <c r="D589" t="s">
        <v>17</v>
      </c>
      <c r="E589">
        <v>8.6999999999999993</v>
      </c>
      <c r="F589">
        <v>1.2</v>
      </c>
      <c r="G589">
        <v>3.25</v>
      </c>
      <c r="H589">
        <v>1.5</v>
      </c>
      <c r="I589" t="s">
        <v>18</v>
      </c>
      <c r="J589">
        <v>9</v>
      </c>
      <c r="K589">
        <v>9</v>
      </c>
      <c r="L589">
        <v>1</v>
      </c>
      <c r="M589">
        <v>0</v>
      </c>
    </row>
    <row r="590" spans="1:13" x14ac:dyDescent="0.3">
      <c r="A590">
        <v>15</v>
      </c>
      <c r="B590" t="s">
        <v>16</v>
      </c>
      <c r="C590">
        <v>5.2</v>
      </c>
      <c r="D590" t="s">
        <v>17</v>
      </c>
      <c r="E590">
        <v>5.6</v>
      </c>
      <c r="F590">
        <v>1.5</v>
      </c>
      <c r="G590">
        <v>3.13</v>
      </c>
      <c r="H590">
        <v>0.1</v>
      </c>
      <c r="I590" t="s">
        <v>15</v>
      </c>
      <c r="J590">
        <v>7</v>
      </c>
      <c r="K590">
        <v>9</v>
      </c>
      <c r="L590">
        <v>4</v>
      </c>
      <c r="M590">
        <v>1</v>
      </c>
    </row>
    <row r="591" spans="1:13" x14ac:dyDescent="0.3">
      <c r="A591">
        <v>13</v>
      </c>
      <c r="B591" t="s">
        <v>16</v>
      </c>
      <c r="C591">
        <v>3.5</v>
      </c>
      <c r="D591" t="s">
        <v>20</v>
      </c>
      <c r="E591">
        <v>8.6999999999999993</v>
      </c>
      <c r="F591">
        <v>1.4</v>
      </c>
      <c r="G591">
        <v>3.5</v>
      </c>
      <c r="H591">
        <v>1.3</v>
      </c>
      <c r="I591" t="s">
        <v>18</v>
      </c>
      <c r="J591">
        <v>9</v>
      </c>
      <c r="K591">
        <v>4</v>
      </c>
      <c r="L591">
        <v>5</v>
      </c>
      <c r="M591">
        <v>0</v>
      </c>
    </row>
    <row r="592" spans="1:13" x14ac:dyDescent="0.3">
      <c r="A592">
        <v>16</v>
      </c>
      <c r="B592" t="s">
        <v>16</v>
      </c>
      <c r="C592">
        <v>3.5</v>
      </c>
      <c r="D592" t="s">
        <v>20</v>
      </c>
      <c r="E592">
        <v>4.2</v>
      </c>
      <c r="F592">
        <v>1.5</v>
      </c>
      <c r="G592">
        <v>3.98</v>
      </c>
      <c r="H592">
        <v>0.4</v>
      </c>
      <c r="I592" t="s">
        <v>19</v>
      </c>
      <c r="J592">
        <v>1</v>
      </c>
      <c r="K592">
        <v>7</v>
      </c>
      <c r="L592">
        <v>2</v>
      </c>
      <c r="M592">
        <v>0</v>
      </c>
    </row>
    <row r="593" spans="1:13" x14ac:dyDescent="0.3">
      <c r="A593">
        <v>19</v>
      </c>
      <c r="B593" t="s">
        <v>13</v>
      </c>
      <c r="C593">
        <v>7.7</v>
      </c>
      <c r="D593" t="s">
        <v>14</v>
      </c>
      <c r="E593">
        <v>4.2</v>
      </c>
      <c r="F593">
        <v>2.6</v>
      </c>
      <c r="G593">
        <v>2.2000000000000002</v>
      </c>
      <c r="H593">
        <v>1.8</v>
      </c>
      <c r="I593" t="s">
        <v>15</v>
      </c>
      <c r="J593">
        <v>8</v>
      </c>
      <c r="K593">
        <v>9</v>
      </c>
      <c r="L593">
        <v>4</v>
      </c>
      <c r="M593">
        <v>1</v>
      </c>
    </row>
    <row r="594" spans="1:13" x14ac:dyDescent="0.3">
      <c r="A594">
        <v>18</v>
      </c>
      <c r="B594" t="s">
        <v>16</v>
      </c>
      <c r="C594">
        <v>2</v>
      </c>
      <c r="D594" t="s">
        <v>20</v>
      </c>
      <c r="E594">
        <v>8.6</v>
      </c>
      <c r="F594">
        <v>2.2000000000000002</v>
      </c>
      <c r="G594">
        <v>3.53</v>
      </c>
      <c r="H594">
        <v>1.9</v>
      </c>
      <c r="I594" t="s">
        <v>15</v>
      </c>
      <c r="J594">
        <v>2</v>
      </c>
      <c r="K594">
        <v>5</v>
      </c>
      <c r="L594">
        <v>8</v>
      </c>
      <c r="M594">
        <v>0</v>
      </c>
    </row>
    <row r="595" spans="1:13" x14ac:dyDescent="0.3">
      <c r="A595">
        <v>13</v>
      </c>
      <c r="B595" t="s">
        <v>16</v>
      </c>
      <c r="C595">
        <v>5.0999999999999996</v>
      </c>
      <c r="D595" t="s">
        <v>17</v>
      </c>
      <c r="E595">
        <v>4.5</v>
      </c>
      <c r="F595">
        <v>2.7</v>
      </c>
      <c r="G595">
        <v>2.54</v>
      </c>
      <c r="H595">
        <v>1.4</v>
      </c>
      <c r="I595" t="s">
        <v>18</v>
      </c>
      <c r="J595">
        <v>2</v>
      </c>
      <c r="K595">
        <v>3</v>
      </c>
      <c r="L595">
        <v>10</v>
      </c>
      <c r="M595">
        <v>0</v>
      </c>
    </row>
    <row r="596" spans="1:13" x14ac:dyDescent="0.3">
      <c r="A596">
        <v>16</v>
      </c>
      <c r="B596" t="s">
        <v>13</v>
      </c>
      <c r="C596">
        <v>2</v>
      </c>
      <c r="D596" t="s">
        <v>14</v>
      </c>
      <c r="E596">
        <v>7.9</v>
      </c>
      <c r="F596">
        <v>2.4</v>
      </c>
      <c r="G596">
        <v>2.81</v>
      </c>
      <c r="H596">
        <v>1.9</v>
      </c>
      <c r="I596" t="s">
        <v>15</v>
      </c>
      <c r="J596">
        <v>10</v>
      </c>
      <c r="K596">
        <v>6</v>
      </c>
      <c r="L596">
        <v>6</v>
      </c>
      <c r="M596">
        <v>0</v>
      </c>
    </row>
    <row r="597" spans="1:13" x14ac:dyDescent="0.3">
      <c r="A597">
        <v>15</v>
      </c>
      <c r="B597" t="s">
        <v>13</v>
      </c>
      <c r="C597">
        <v>4.7</v>
      </c>
      <c r="D597" t="s">
        <v>14</v>
      </c>
      <c r="E597">
        <v>8.4</v>
      </c>
      <c r="F597">
        <v>1.9</v>
      </c>
      <c r="G597">
        <v>3.9</v>
      </c>
      <c r="H597">
        <v>1</v>
      </c>
      <c r="I597" t="s">
        <v>18</v>
      </c>
      <c r="J597">
        <v>4</v>
      </c>
      <c r="K597">
        <v>10</v>
      </c>
      <c r="L597">
        <v>6</v>
      </c>
      <c r="M597">
        <v>0</v>
      </c>
    </row>
    <row r="598" spans="1:13" x14ac:dyDescent="0.3">
      <c r="A598">
        <v>17</v>
      </c>
      <c r="B598" t="s">
        <v>16</v>
      </c>
      <c r="C598">
        <v>6.9</v>
      </c>
      <c r="D598" t="s">
        <v>17</v>
      </c>
      <c r="E598">
        <v>6.1</v>
      </c>
      <c r="F598">
        <v>2.4</v>
      </c>
      <c r="G598">
        <v>3.77</v>
      </c>
      <c r="H598">
        <v>1.1000000000000001</v>
      </c>
      <c r="I598" t="s">
        <v>19</v>
      </c>
      <c r="J598">
        <v>9</v>
      </c>
      <c r="K598">
        <v>4</v>
      </c>
      <c r="L598">
        <v>9</v>
      </c>
      <c r="M598">
        <v>0</v>
      </c>
    </row>
    <row r="599" spans="1:13" x14ac:dyDescent="0.3">
      <c r="A599">
        <v>18</v>
      </c>
      <c r="B599" t="s">
        <v>13</v>
      </c>
      <c r="C599">
        <v>5.9</v>
      </c>
      <c r="D599" t="s">
        <v>14</v>
      </c>
      <c r="E599">
        <v>4.4000000000000004</v>
      </c>
      <c r="F599">
        <v>2.7</v>
      </c>
      <c r="G599">
        <v>2.09</v>
      </c>
      <c r="H599">
        <v>1.8</v>
      </c>
      <c r="I599" t="s">
        <v>18</v>
      </c>
      <c r="J599">
        <v>1</v>
      </c>
      <c r="K599">
        <v>6</v>
      </c>
      <c r="L599">
        <v>6</v>
      </c>
      <c r="M599">
        <v>0</v>
      </c>
    </row>
    <row r="600" spans="1:13" x14ac:dyDescent="0.3">
      <c r="A600">
        <v>19</v>
      </c>
      <c r="B600" t="s">
        <v>13</v>
      </c>
      <c r="C600">
        <v>2.7</v>
      </c>
      <c r="D600" t="s">
        <v>14</v>
      </c>
      <c r="E600">
        <v>6.3</v>
      </c>
      <c r="F600">
        <v>1.3</v>
      </c>
      <c r="G600">
        <v>3.91</v>
      </c>
      <c r="H600">
        <v>1.2</v>
      </c>
      <c r="I600" t="s">
        <v>18</v>
      </c>
      <c r="J600">
        <v>7</v>
      </c>
      <c r="K600">
        <v>5</v>
      </c>
      <c r="L600">
        <v>7</v>
      </c>
      <c r="M600">
        <v>0</v>
      </c>
    </row>
    <row r="601" spans="1:13" x14ac:dyDescent="0.3">
      <c r="A601">
        <v>16</v>
      </c>
      <c r="B601" t="s">
        <v>13</v>
      </c>
      <c r="C601">
        <v>7.9</v>
      </c>
      <c r="D601" t="s">
        <v>17</v>
      </c>
      <c r="E601">
        <v>8</v>
      </c>
      <c r="F601">
        <v>1.6</v>
      </c>
      <c r="G601">
        <v>3.47</v>
      </c>
      <c r="H601">
        <v>1.5</v>
      </c>
      <c r="I601" t="s">
        <v>18</v>
      </c>
      <c r="J601">
        <v>3</v>
      </c>
      <c r="K601">
        <v>5</v>
      </c>
      <c r="L601">
        <v>6</v>
      </c>
      <c r="M601">
        <v>0</v>
      </c>
    </row>
    <row r="602" spans="1:13" x14ac:dyDescent="0.3">
      <c r="A602">
        <v>16</v>
      </c>
      <c r="B602" t="s">
        <v>16</v>
      </c>
      <c r="C602">
        <v>7.4</v>
      </c>
      <c r="D602" t="s">
        <v>17</v>
      </c>
      <c r="E602">
        <v>5.5</v>
      </c>
      <c r="F602">
        <v>1.8</v>
      </c>
      <c r="G602">
        <v>2.13</v>
      </c>
      <c r="H602">
        <v>0.3</v>
      </c>
      <c r="I602" t="s">
        <v>18</v>
      </c>
      <c r="J602">
        <v>7</v>
      </c>
      <c r="K602">
        <v>9</v>
      </c>
      <c r="L602">
        <v>9</v>
      </c>
      <c r="M602">
        <v>1</v>
      </c>
    </row>
    <row r="603" spans="1:13" x14ac:dyDescent="0.3">
      <c r="A603">
        <v>17</v>
      </c>
      <c r="B603" t="s">
        <v>16</v>
      </c>
      <c r="C603">
        <v>2.2999999999999998</v>
      </c>
      <c r="D603" t="s">
        <v>14</v>
      </c>
      <c r="E603">
        <v>4.9000000000000004</v>
      </c>
      <c r="F603">
        <v>1.7</v>
      </c>
      <c r="G603">
        <v>2.0699999999999998</v>
      </c>
      <c r="H603">
        <v>0.3</v>
      </c>
      <c r="I603" t="s">
        <v>19</v>
      </c>
      <c r="J603">
        <v>3</v>
      </c>
      <c r="K603">
        <v>7</v>
      </c>
      <c r="L603">
        <v>7</v>
      </c>
      <c r="M603">
        <v>0</v>
      </c>
    </row>
    <row r="604" spans="1:13" x14ac:dyDescent="0.3">
      <c r="A604">
        <v>13</v>
      </c>
      <c r="B604" t="s">
        <v>13</v>
      </c>
      <c r="C604">
        <v>7.1</v>
      </c>
      <c r="D604" t="s">
        <v>20</v>
      </c>
      <c r="E604">
        <v>5.7</v>
      </c>
      <c r="F604">
        <v>2.1</v>
      </c>
      <c r="G604">
        <v>3.52</v>
      </c>
      <c r="H604">
        <v>1.7</v>
      </c>
      <c r="I604" t="s">
        <v>15</v>
      </c>
      <c r="J604">
        <v>1</v>
      </c>
      <c r="K604">
        <v>1</v>
      </c>
      <c r="L604">
        <v>3</v>
      </c>
      <c r="M604">
        <v>0</v>
      </c>
    </row>
    <row r="605" spans="1:13" x14ac:dyDescent="0.3">
      <c r="A605">
        <v>16</v>
      </c>
      <c r="B605" t="s">
        <v>13</v>
      </c>
      <c r="C605">
        <v>6.9</v>
      </c>
      <c r="D605" t="s">
        <v>14</v>
      </c>
      <c r="E605">
        <v>6.8</v>
      </c>
      <c r="F605">
        <v>1.1000000000000001</v>
      </c>
      <c r="G605">
        <v>3.33</v>
      </c>
      <c r="H605">
        <v>1</v>
      </c>
      <c r="I605" t="s">
        <v>19</v>
      </c>
      <c r="J605">
        <v>7</v>
      </c>
      <c r="K605">
        <v>9</v>
      </c>
      <c r="L605">
        <v>4</v>
      </c>
      <c r="M605">
        <v>0</v>
      </c>
    </row>
    <row r="606" spans="1:13" x14ac:dyDescent="0.3">
      <c r="A606">
        <v>16</v>
      </c>
      <c r="B606" t="s">
        <v>16</v>
      </c>
      <c r="C606">
        <v>5.6</v>
      </c>
      <c r="D606" t="s">
        <v>17</v>
      </c>
      <c r="E606">
        <v>7.9</v>
      </c>
      <c r="F606">
        <v>2</v>
      </c>
      <c r="G606">
        <v>3.91</v>
      </c>
      <c r="H606">
        <v>0.6</v>
      </c>
      <c r="I606" t="s">
        <v>19</v>
      </c>
      <c r="J606">
        <v>7</v>
      </c>
      <c r="K606">
        <v>3</v>
      </c>
      <c r="L606">
        <v>10</v>
      </c>
      <c r="M606">
        <v>0</v>
      </c>
    </row>
    <row r="607" spans="1:13" x14ac:dyDescent="0.3">
      <c r="A607">
        <v>16</v>
      </c>
      <c r="B607" t="s">
        <v>16</v>
      </c>
      <c r="C607">
        <v>5.2</v>
      </c>
      <c r="D607" t="s">
        <v>17</v>
      </c>
      <c r="E607">
        <v>8.1</v>
      </c>
      <c r="F607">
        <v>2.1</v>
      </c>
      <c r="G607">
        <v>2.67</v>
      </c>
      <c r="H607">
        <v>1.7</v>
      </c>
      <c r="I607" t="s">
        <v>19</v>
      </c>
      <c r="J607">
        <v>9</v>
      </c>
      <c r="K607">
        <v>10</v>
      </c>
      <c r="L607">
        <v>10</v>
      </c>
      <c r="M607">
        <v>0</v>
      </c>
    </row>
    <row r="608" spans="1:13" x14ac:dyDescent="0.3">
      <c r="A608">
        <v>17</v>
      </c>
      <c r="B608" t="s">
        <v>13</v>
      </c>
      <c r="C608">
        <v>4.5</v>
      </c>
      <c r="D608" t="s">
        <v>20</v>
      </c>
      <c r="E608">
        <v>4.9000000000000004</v>
      </c>
      <c r="F608">
        <v>0.5</v>
      </c>
      <c r="G608">
        <v>3.44</v>
      </c>
      <c r="H608">
        <v>1.2</v>
      </c>
      <c r="I608" t="s">
        <v>19</v>
      </c>
      <c r="J608">
        <v>5</v>
      </c>
      <c r="K608">
        <v>3</v>
      </c>
      <c r="L608">
        <v>1</v>
      </c>
      <c r="M608">
        <v>0</v>
      </c>
    </row>
    <row r="609" spans="1:13" x14ac:dyDescent="0.3">
      <c r="A609">
        <v>14</v>
      </c>
      <c r="B609" t="s">
        <v>13</v>
      </c>
      <c r="C609">
        <v>3.6</v>
      </c>
      <c r="D609" t="s">
        <v>17</v>
      </c>
      <c r="E609">
        <v>4</v>
      </c>
      <c r="F609">
        <v>1.4</v>
      </c>
      <c r="G609">
        <v>3.83</v>
      </c>
      <c r="H609">
        <v>0.5</v>
      </c>
      <c r="I609" t="s">
        <v>19</v>
      </c>
      <c r="J609">
        <v>1</v>
      </c>
      <c r="K609">
        <v>5</v>
      </c>
      <c r="L609">
        <v>2</v>
      </c>
      <c r="M609">
        <v>0</v>
      </c>
    </row>
    <row r="610" spans="1:13" x14ac:dyDescent="0.3">
      <c r="A610">
        <v>19</v>
      </c>
      <c r="B610" t="s">
        <v>13</v>
      </c>
      <c r="C610">
        <v>7.2</v>
      </c>
      <c r="D610" t="s">
        <v>14</v>
      </c>
      <c r="E610">
        <v>5</v>
      </c>
      <c r="F610">
        <v>2.2000000000000002</v>
      </c>
      <c r="G610">
        <v>2.5</v>
      </c>
      <c r="H610">
        <v>0.7</v>
      </c>
      <c r="I610" t="s">
        <v>18</v>
      </c>
      <c r="J610">
        <v>6</v>
      </c>
      <c r="K610">
        <v>9</v>
      </c>
      <c r="L610">
        <v>2</v>
      </c>
      <c r="M610">
        <v>0</v>
      </c>
    </row>
    <row r="611" spans="1:13" x14ac:dyDescent="0.3">
      <c r="A611">
        <v>17</v>
      </c>
      <c r="B611" t="s">
        <v>13</v>
      </c>
      <c r="C611">
        <v>6.4</v>
      </c>
      <c r="D611" t="s">
        <v>17</v>
      </c>
      <c r="E611">
        <v>8.6</v>
      </c>
      <c r="F611">
        <v>2.2999999999999998</v>
      </c>
      <c r="G611">
        <v>2.57</v>
      </c>
      <c r="H611">
        <v>1.3</v>
      </c>
      <c r="I611" t="s">
        <v>15</v>
      </c>
      <c r="J611">
        <v>9</v>
      </c>
      <c r="K611">
        <v>10</v>
      </c>
      <c r="L611">
        <v>5</v>
      </c>
      <c r="M611">
        <v>0</v>
      </c>
    </row>
    <row r="612" spans="1:13" x14ac:dyDescent="0.3">
      <c r="A612">
        <v>15</v>
      </c>
      <c r="B612" t="s">
        <v>13</v>
      </c>
      <c r="C612">
        <v>7.1</v>
      </c>
      <c r="D612" t="s">
        <v>20</v>
      </c>
      <c r="E612">
        <v>6.5</v>
      </c>
      <c r="F612">
        <v>0.7</v>
      </c>
      <c r="G612">
        <v>3.94</v>
      </c>
      <c r="H612">
        <v>0.2</v>
      </c>
      <c r="I612" t="s">
        <v>19</v>
      </c>
      <c r="J612">
        <v>4</v>
      </c>
      <c r="K612">
        <v>7</v>
      </c>
      <c r="L612">
        <v>1</v>
      </c>
      <c r="M612">
        <v>0</v>
      </c>
    </row>
    <row r="613" spans="1:13" x14ac:dyDescent="0.3">
      <c r="A613">
        <v>18</v>
      </c>
      <c r="B613" t="s">
        <v>13</v>
      </c>
      <c r="C613">
        <v>1.2</v>
      </c>
      <c r="D613" t="s">
        <v>20</v>
      </c>
      <c r="E613">
        <v>4.0999999999999996</v>
      </c>
      <c r="F613">
        <v>1.1000000000000001</v>
      </c>
      <c r="G613">
        <v>3.04</v>
      </c>
      <c r="H613">
        <v>1.6</v>
      </c>
      <c r="I613" t="s">
        <v>15</v>
      </c>
      <c r="J613">
        <v>1</v>
      </c>
      <c r="K613">
        <v>3</v>
      </c>
      <c r="L613">
        <v>6</v>
      </c>
      <c r="M613">
        <v>0</v>
      </c>
    </row>
    <row r="614" spans="1:13" x14ac:dyDescent="0.3">
      <c r="A614">
        <v>19</v>
      </c>
      <c r="B614" t="s">
        <v>13</v>
      </c>
      <c r="C614">
        <v>6.6</v>
      </c>
      <c r="D614" t="s">
        <v>17</v>
      </c>
      <c r="E614">
        <v>8.8000000000000007</v>
      </c>
      <c r="F614">
        <v>0.9</v>
      </c>
      <c r="G614">
        <v>3.84</v>
      </c>
      <c r="H614">
        <v>0.3</v>
      </c>
      <c r="I614" t="s">
        <v>18</v>
      </c>
      <c r="J614">
        <v>10</v>
      </c>
      <c r="K614">
        <v>10</v>
      </c>
      <c r="L614">
        <v>6</v>
      </c>
      <c r="M614">
        <v>0</v>
      </c>
    </row>
    <row r="615" spans="1:13" x14ac:dyDescent="0.3">
      <c r="A615">
        <v>19</v>
      </c>
      <c r="B615" t="s">
        <v>16</v>
      </c>
      <c r="C615">
        <v>6.5</v>
      </c>
      <c r="D615" t="s">
        <v>17</v>
      </c>
      <c r="E615">
        <v>6.4</v>
      </c>
      <c r="F615">
        <v>1.1000000000000001</v>
      </c>
      <c r="G615">
        <v>3.71</v>
      </c>
      <c r="H615">
        <v>1.2</v>
      </c>
      <c r="I615" t="s">
        <v>15</v>
      </c>
      <c r="J615">
        <v>8</v>
      </c>
      <c r="K615">
        <v>9</v>
      </c>
      <c r="L615">
        <v>8</v>
      </c>
      <c r="M615">
        <v>0</v>
      </c>
    </row>
    <row r="616" spans="1:13" x14ac:dyDescent="0.3">
      <c r="A616">
        <v>16</v>
      </c>
      <c r="B616" t="s">
        <v>13</v>
      </c>
      <c r="C616">
        <v>2</v>
      </c>
      <c r="D616" t="s">
        <v>17</v>
      </c>
      <c r="E616">
        <v>4.4000000000000004</v>
      </c>
      <c r="F616">
        <v>0.7</v>
      </c>
      <c r="G616">
        <v>2.68</v>
      </c>
      <c r="H616">
        <v>0.8</v>
      </c>
      <c r="I616" t="s">
        <v>19</v>
      </c>
      <c r="J616">
        <v>1</v>
      </c>
      <c r="K616">
        <v>4</v>
      </c>
      <c r="L616">
        <v>10</v>
      </c>
      <c r="M616">
        <v>0</v>
      </c>
    </row>
    <row r="617" spans="1:13" x14ac:dyDescent="0.3">
      <c r="A617">
        <v>13</v>
      </c>
      <c r="B617" t="s">
        <v>13</v>
      </c>
      <c r="C617">
        <v>2.5</v>
      </c>
      <c r="D617" t="s">
        <v>14</v>
      </c>
      <c r="E617">
        <v>5.3</v>
      </c>
      <c r="F617">
        <v>0.8</v>
      </c>
      <c r="G617">
        <v>3.12</v>
      </c>
      <c r="H617">
        <v>0.4</v>
      </c>
      <c r="I617" t="s">
        <v>18</v>
      </c>
      <c r="J617">
        <v>3</v>
      </c>
      <c r="K617">
        <v>5</v>
      </c>
      <c r="L617">
        <v>3</v>
      </c>
      <c r="M617">
        <v>0</v>
      </c>
    </row>
    <row r="618" spans="1:13" x14ac:dyDescent="0.3">
      <c r="A618">
        <v>19</v>
      </c>
      <c r="B618" t="s">
        <v>13</v>
      </c>
      <c r="C618">
        <v>2.1</v>
      </c>
      <c r="D618" t="s">
        <v>14</v>
      </c>
      <c r="E618">
        <v>8.8000000000000007</v>
      </c>
      <c r="F618">
        <v>2.2999999999999998</v>
      </c>
      <c r="G618">
        <v>2.2200000000000002</v>
      </c>
      <c r="H618">
        <v>1.2</v>
      </c>
      <c r="I618" t="s">
        <v>18</v>
      </c>
      <c r="J618">
        <v>5</v>
      </c>
      <c r="K618">
        <v>5</v>
      </c>
      <c r="L618">
        <v>3</v>
      </c>
      <c r="M618">
        <v>0</v>
      </c>
    </row>
    <row r="619" spans="1:13" x14ac:dyDescent="0.3">
      <c r="A619">
        <v>16</v>
      </c>
      <c r="B619" t="s">
        <v>16</v>
      </c>
      <c r="C619">
        <v>7.1</v>
      </c>
      <c r="D619" t="s">
        <v>17</v>
      </c>
      <c r="E619">
        <v>8.8000000000000007</v>
      </c>
      <c r="F619">
        <v>1.8</v>
      </c>
      <c r="G619">
        <v>3.99</v>
      </c>
      <c r="H619">
        <v>0.8</v>
      </c>
      <c r="I619" t="s">
        <v>15</v>
      </c>
      <c r="J619">
        <v>6</v>
      </c>
      <c r="K619">
        <v>10</v>
      </c>
      <c r="L619">
        <v>8</v>
      </c>
      <c r="M619">
        <v>0</v>
      </c>
    </row>
    <row r="620" spans="1:13" x14ac:dyDescent="0.3">
      <c r="A620">
        <v>19</v>
      </c>
      <c r="B620" t="s">
        <v>16</v>
      </c>
      <c r="C620">
        <v>6.8</v>
      </c>
      <c r="D620" t="s">
        <v>20</v>
      </c>
      <c r="E620">
        <v>4.4000000000000004</v>
      </c>
      <c r="F620">
        <v>2.1</v>
      </c>
      <c r="G620">
        <v>3.69</v>
      </c>
      <c r="H620">
        <v>0.4</v>
      </c>
      <c r="I620" t="s">
        <v>18</v>
      </c>
      <c r="J620">
        <v>3</v>
      </c>
      <c r="K620">
        <v>2</v>
      </c>
      <c r="L620">
        <v>8</v>
      </c>
      <c r="M620">
        <v>0</v>
      </c>
    </row>
    <row r="621" spans="1:13" x14ac:dyDescent="0.3">
      <c r="A621">
        <v>13</v>
      </c>
      <c r="B621" t="s">
        <v>13</v>
      </c>
      <c r="C621">
        <v>5.2</v>
      </c>
      <c r="D621" t="s">
        <v>20</v>
      </c>
      <c r="E621">
        <v>5.4</v>
      </c>
      <c r="F621">
        <v>0.8</v>
      </c>
      <c r="G621">
        <v>2.39</v>
      </c>
      <c r="H621">
        <v>2</v>
      </c>
      <c r="I621" t="s">
        <v>15</v>
      </c>
      <c r="J621">
        <v>8</v>
      </c>
      <c r="K621">
        <v>3</v>
      </c>
      <c r="L621">
        <v>10</v>
      </c>
      <c r="M621">
        <v>0</v>
      </c>
    </row>
    <row r="622" spans="1:13" x14ac:dyDescent="0.3">
      <c r="A622">
        <v>19</v>
      </c>
      <c r="B622" t="s">
        <v>13</v>
      </c>
      <c r="C622">
        <v>7</v>
      </c>
      <c r="D622" t="s">
        <v>17</v>
      </c>
      <c r="E622">
        <v>4.5</v>
      </c>
      <c r="F622">
        <v>2.2999999999999998</v>
      </c>
      <c r="G622">
        <v>3.26</v>
      </c>
      <c r="H622">
        <v>1.7</v>
      </c>
      <c r="I622" t="s">
        <v>18</v>
      </c>
      <c r="J622">
        <v>9</v>
      </c>
      <c r="K622">
        <v>10</v>
      </c>
      <c r="L622">
        <v>3</v>
      </c>
      <c r="M622">
        <v>1</v>
      </c>
    </row>
    <row r="623" spans="1:13" x14ac:dyDescent="0.3">
      <c r="A623">
        <v>19</v>
      </c>
      <c r="B623" t="s">
        <v>13</v>
      </c>
      <c r="C623">
        <v>6.8</v>
      </c>
      <c r="D623" t="s">
        <v>17</v>
      </c>
      <c r="E623">
        <v>8.4</v>
      </c>
      <c r="F623">
        <v>2</v>
      </c>
      <c r="G623">
        <v>2.6</v>
      </c>
      <c r="H623">
        <v>1.5</v>
      </c>
      <c r="I623" t="s">
        <v>15</v>
      </c>
      <c r="J623">
        <v>7</v>
      </c>
      <c r="K623">
        <v>2</v>
      </c>
      <c r="L623">
        <v>2</v>
      </c>
      <c r="M623">
        <v>0</v>
      </c>
    </row>
    <row r="624" spans="1:13" x14ac:dyDescent="0.3">
      <c r="A624">
        <v>16</v>
      </c>
      <c r="B624" t="s">
        <v>16</v>
      </c>
      <c r="C624">
        <v>3.8</v>
      </c>
      <c r="D624" t="s">
        <v>17</v>
      </c>
      <c r="E624">
        <v>5.3</v>
      </c>
      <c r="F624">
        <v>1.5</v>
      </c>
      <c r="G624">
        <v>2.04</v>
      </c>
      <c r="H624">
        <v>1.5</v>
      </c>
      <c r="I624" t="s">
        <v>18</v>
      </c>
      <c r="J624">
        <v>5</v>
      </c>
      <c r="K624">
        <v>10</v>
      </c>
      <c r="L624">
        <v>5</v>
      </c>
      <c r="M624">
        <v>0</v>
      </c>
    </row>
    <row r="625" spans="1:13" x14ac:dyDescent="0.3">
      <c r="A625">
        <v>14</v>
      </c>
      <c r="B625" t="s">
        <v>13</v>
      </c>
      <c r="C625">
        <v>2.9</v>
      </c>
      <c r="D625" t="s">
        <v>14</v>
      </c>
      <c r="E625">
        <v>7.2</v>
      </c>
      <c r="F625">
        <v>2</v>
      </c>
      <c r="G625">
        <v>3.96</v>
      </c>
      <c r="H625">
        <v>1.5</v>
      </c>
      <c r="I625" t="s">
        <v>19</v>
      </c>
      <c r="J625">
        <v>9</v>
      </c>
      <c r="K625">
        <v>10</v>
      </c>
      <c r="L625">
        <v>4</v>
      </c>
      <c r="M625">
        <v>0</v>
      </c>
    </row>
    <row r="626" spans="1:13" x14ac:dyDescent="0.3">
      <c r="A626">
        <v>16</v>
      </c>
      <c r="B626" t="s">
        <v>13</v>
      </c>
      <c r="C626">
        <v>3.6</v>
      </c>
      <c r="D626" t="s">
        <v>14</v>
      </c>
      <c r="E626">
        <v>6.6</v>
      </c>
      <c r="F626">
        <v>0.7</v>
      </c>
      <c r="G626">
        <v>2.25</v>
      </c>
      <c r="H626">
        <v>1.9</v>
      </c>
      <c r="I626" t="s">
        <v>15</v>
      </c>
      <c r="J626">
        <v>4</v>
      </c>
      <c r="K626">
        <v>1</v>
      </c>
      <c r="L626">
        <v>8</v>
      </c>
      <c r="M626">
        <v>0</v>
      </c>
    </row>
    <row r="627" spans="1:13" x14ac:dyDescent="0.3">
      <c r="A627">
        <v>13</v>
      </c>
      <c r="B627" t="s">
        <v>13</v>
      </c>
      <c r="C627">
        <v>4</v>
      </c>
      <c r="D627" t="s">
        <v>20</v>
      </c>
      <c r="E627">
        <v>8.3000000000000007</v>
      </c>
      <c r="F627">
        <v>0.6</v>
      </c>
      <c r="G627">
        <v>3.71</v>
      </c>
      <c r="H627">
        <v>0.1</v>
      </c>
      <c r="I627" t="s">
        <v>15</v>
      </c>
      <c r="J627">
        <v>2</v>
      </c>
      <c r="K627">
        <v>6</v>
      </c>
      <c r="L627">
        <v>1</v>
      </c>
      <c r="M627">
        <v>0</v>
      </c>
    </row>
    <row r="628" spans="1:13" x14ac:dyDescent="0.3">
      <c r="A628">
        <v>17</v>
      </c>
      <c r="B628" t="s">
        <v>16</v>
      </c>
      <c r="C628">
        <v>7.5</v>
      </c>
      <c r="D628" t="s">
        <v>20</v>
      </c>
      <c r="E628">
        <v>4.7</v>
      </c>
      <c r="F628">
        <v>2.1</v>
      </c>
      <c r="G628">
        <v>2.5499999999999998</v>
      </c>
      <c r="H628">
        <v>0.1</v>
      </c>
      <c r="I628" t="s">
        <v>18</v>
      </c>
      <c r="J628">
        <v>3</v>
      </c>
      <c r="K628">
        <v>9</v>
      </c>
      <c r="L628">
        <v>1</v>
      </c>
      <c r="M628">
        <v>0</v>
      </c>
    </row>
    <row r="629" spans="1:13" x14ac:dyDescent="0.3">
      <c r="A629">
        <v>16</v>
      </c>
      <c r="B629" t="s">
        <v>16</v>
      </c>
      <c r="C629">
        <v>6</v>
      </c>
      <c r="D629" t="s">
        <v>20</v>
      </c>
      <c r="E629">
        <v>8.6999999999999993</v>
      </c>
      <c r="F629">
        <v>1.5</v>
      </c>
      <c r="G629">
        <v>3.76</v>
      </c>
      <c r="H629">
        <v>0.1</v>
      </c>
      <c r="I629" t="s">
        <v>19</v>
      </c>
      <c r="J629">
        <v>2</v>
      </c>
      <c r="K629">
        <v>5</v>
      </c>
      <c r="L629">
        <v>4</v>
      </c>
      <c r="M629">
        <v>0</v>
      </c>
    </row>
    <row r="630" spans="1:13" x14ac:dyDescent="0.3">
      <c r="A630">
        <v>16</v>
      </c>
      <c r="B630" t="s">
        <v>16</v>
      </c>
      <c r="C630">
        <v>3.6</v>
      </c>
      <c r="D630" t="s">
        <v>14</v>
      </c>
      <c r="E630">
        <v>6.1</v>
      </c>
      <c r="F630">
        <v>2.8</v>
      </c>
      <c r="G630">
        <v>3.8</v>
      </c>
      <c r="H630">
        <v>0.1</v>
      </c>
      <c r="I630" t="s">
        <v>18</v>
      </c>
      <c r="J630">
        <v>2</v>
      </c>
      <c r="K630">
        <v>1</v>
      </c>
      <c r="L630">
        <v>7</v>
      </c>
      <c r="M630">
        <v>0</v>
      </c>
    </row>
    <row r="631" spans="1:13" x14ac:dyDescent="0.3">
      <c r="A631">
        <v>19</v>
      </c>
      <c r="B631" t="s">
        <v>13</v>
      </c>
      <c r="C631">
        <v>4.7</v>
      </c>
      <c r="D631" t="s">
        <v>20</v>
      </c>
      <c r="E631">
        <v>8.1999999999999993</v>
      </c>
      <c r="F631">
        <v>1.2</v>
      </c>
      <c r="G631">
        <v>2.83</v>
      </c>
      <c r="H631">
        <v>1.2</v>
      </c>
      <c r="I631" t="s">
        <v>18</v>
      </c>
      <c r="J631">
        <v>5</v>
      </c>
      <c r="K631">
        <v>9</v>
      </c>
      <c r="L631">
        <v>9</v>
      </c>
      <c r="M631">
        <v>0</v>
      </c>
    </row>
    <row r="632" spans="1:13" x14ac:dyDescent="0.3">
      <c r="A632">
        <v>13</v>
      </c>
      <c r="B632" t="s">
        <v>13</v>
      </c>
      <c r="C632">
        <v>2</v>
      </c>
      <c r="D632" t="s">
        <v>14</v>
      </c>
      <c r="E632">
        <v>6.6</v>
      </c>
      <c r="F632">
        <v>0.9</v>
      </c>
      <c r="G632">
        <v>3.34</v>
      </c>
      <c r="H632">
        <v>1.5</v>
      </c>
      <c r="I632" t="s">
        <v>18</v>
      </c>
      <c r="J632">
        <v>5</v>
      </c>
      <c r="K632">
        <v>9</v>
      </c>
      <c r="L632">
        <v>4</v>
      </c>
      <c r="M632">
        <v>0</v>
      </c>
    </row>
    <row r="633" spans="1:13" x14ac:dyDescent="0.3">
      <c r="A633">
        <v>13</v>
      </c>
      <c r="B633" t="s">
        <v>13</v>
      </c>
      <c r="C633">
        <v>7.8</v>
      </c>
      <c r="D633" t="s">
        <v>17</v>
      </c>
      <c r="E633">
        <v>7.2</v>
      </c>
      <c r="F633">
        <v>1.3</v>
      </c>
      <c r="G633">
        <v>3.31</v>
      </c>
      <c r="H633">
        <v>0.8</v>
      </c>
      <c r="I633" t="s">
        <v>18</v>
      </c>
      <c r="J633">
        <v>9</v>
      </c>
      <c r="K633">
        <v>2</v>
      </c>
      <c r="L633">
        <v>4</v>
      </c>
      <c r="M633">
        <v>0</v>
      </c>
    </row>
    <row r="634" spans="1:13" x14ac:dyDescent="0.3">
      <c r="A634">
        <v>19</v>
      </c>
      <c r="B634" t="s">
        <v>13</v>
      </c>
      <c r="C634">
        <v>5.9</v>
      </c>
      <c r="D634" t="s">
        <v>17</v>
      </c>
      <c r="E634">
        <v>7.4</v>
      </c>
      <c r="F634">
        <v>0.7</v>
      </c>
      <c r="G634">
        <v>3.27</v>
      </c>
      <c r="H634">
        <v>1.7</v>
      </c>
      <c r="I634" t="s">
        <v>18</v>
      </c>
      <c r="J634">
        <v>1</v>
      </c>
      <c r="K634">
        <v>9</v>
      </c>
      <c r="L634">
        <v>9</v>
      </c>
      <c r="M634">
        <v>0</v>
      </c>
    </row>
    <row r="635" spans="1:13" x14ac:dyDescent="0.3">
      <c r="A635">
        <v>19</v>
      </c>
      <c r="B635" t="s">
        <v>13</v>
      </c>
      <c r="C635">
        <v>7.7</v>
      </c>
      <c r="D635" t="s">
        <v>17</v>
      </c>
      <c r="E635">
        <v>8.4</v>
      </c>
      <c r="F635">
        <v>2.8</v>
      </c>
      <c r="G635">
        <v>3.43</v>
      </c>
      <c r="H635">
        <v>0.2</v>
      </c>
      <c r="I635" t="s">
        <v>19</v>
      </c>
      <c r="J635">
        <v>7</v>
      </c>
      <c r="K635">
        <v>6</v>
      </c>
      <c r="L635">
        <v>6</v>
      </c>
      <c r="M635">
        <v>0</v>
      </c>
    </row>
    <row r="636" spans="1:13" x14ac:dyDescent="0.3">
      <c r="A636">
        <v>13</v>
      </c>
      <c r="B636" t="s">
        <v>13</v>
      </c>
      <c r="C636">
        <v>2.2000000000000002</v>
      </c>
      <c r="D636" t="s">
        <v>17</v>
      </c>
      <c r="E636">
        <v>5.4</v>
      </c>
      <c r="F636">
        <v>1.2</v>
      </c>
      <c r="G636">
        <v>2.33</v>
      </c>
      <c r="H636">
        <v>0.8</v>
      </c>
      <c r="I636" t="s">
        <v>19</v>
      </c>
      <c r="J636">
        <v>10</v>
      </c>
      <c r="K636">
        <v>3</v>
      </c>
      <c r="L636">
        <v>4</v>
      </c>
      <c r="M636">
        <v>0</v>
      </c>
    </row>
    <row r="637" spans="1:13" x14ac:dyDescent="0.3">
      <c r="A637">
        <v>18</v>
      </c>
      <c r="B637" t="s">
        <v>16</v>
      </c>
      <c r="C637">
        <v>7.7</v>
      </c>
      <c r="D637" t="s">
        <v>17</v>
      </c>
      <c r="E637">
        <v>7.6</v>
      </c>
      <c r="F637">
        <v>2.9</v>
      </c>
      <c r="G637">
        <v>3.81</v>
      </c>
      <c r="H637">
        <v>0.5</v>
      </c>
      <c r="I637" t="s">
        <v>18</v>
      </c>
      <c r="J637">
        <v>10</v>
      </c>
      <c r="K637">
        <v>3</v>
      </c>
      <c r="L637">
        <v>6</v>
      </c>
      <c r="M637">
        <v>0</v>
      </c>
    </row>
    <row r="638" spans="1:13" x14ac:dyDescent="0.3">
      <c r="A638">
        <v>18</v>
      </c>
      <c r="B638" t="s">
        <v>13</v>
      </c>
      <c r="C638">
        <v>3.2</v>
      </c>
      <c r="D638" t="s">
        <v>14</v>
      </c>
      <c r="E638">
        <v>6</v>
      </c>
      <c r="F638">
        <v>1.5</v>
      </c>
      <c r="G638">
        <v>3.36</v>
      </c>
      <c r="H638">
        <v>1.5</v>
      </c>
      <c r="I638" t="s">
        <v>18</v>
      </c>
      <c r="J638">
        <v>9</v>
      </c>
      <c r="K638">
        <v>7</v>
      </c>
      <c r="L638">
        <v>10</v>
      </c>
      <c r="M638">
        <v>0</v>
      </c>
    </row>
    <row r="639" spans="1:13" x14ac:dyDescent="0.3">
      <c r="A639">
        <v>16</v>
      </c>
      <c r="B639" t="s">
        <v>13</v>
      </c>
      <c r="C639">
        <v>2</v>
      </c>
      <c r="D639" t="s">
        <v>17</v>
      </c>
      <c r="E639">
        <v>7.8</v>
      </c>
      <c r="F639">
        <v>0.5</v>
      </c>
      <c r="G639">
        <v>2.81</v>
      </c>
      <c r="H639">
        <v>1.4</v>
      </c>
      <c r="I639" t="s">
        <v>18</v>
      </c>
      <c r="J639">
        <v>10</v>
      </c>
      <c r="K639">
        <v>2</v>
      </c>
      <c r="L639">
        <v>4</v>
      </c>
      <c r="M639">
        <v>0</v>
      </c>
    </row>
    <row r="640" spans="1:13" x14ac:dyDescent="0.3">
      <c r="A640">
        <v>15</v>
      </c>
      <c r="B640" t="s">
        <v>16</v>
      </c>
      <c r="C640">
        <v>6.2</v>
      </c>
      <c r="D640" t="s">
        <v>20</v>
      </c>
      <c r="E640">
        <v>5.2</v>
      </c>
      <c r="F640">
        <v>1</v>
      </c>
      <c r="G640">
        <v>3.94</v>
      </c>
      <c r="H640">
        <v>1.4</v>
      </c>
      <c r="I640" t="s">
        <v>15</v>
      </c>
      <c r="J640">
        <v>5</v>
      </c>
      <c r="K640">
        <v>2</v>
      </c>
      <c r="L640">
        <v>7</v>
      </c>
      <c r="M640">
        <v>0</v>
      </c>
    </row>
    <row r="641" spans="1:13" x14ac:dyDescent="0.3">
      <c r="A641">
        <v>19</v>
      </c>
      <c r="B641" t="s">
        <v>16</v>
      </c>
      <c r="C641">
        <v>2.4</v>
      </c>
      <c r="D641" t="s">
        <v>14</v>
      </c>
      <c r="E641">
        <v>8.6999999999999993</v>
      </c>
      <c r="F641">
        <v>1.6</v>
      </c>
      <c r="G641">
        <v>2.4</v>
      </c>
      <c r="H641">
        <v>0.1</v>
      </c>
      <c r="I641" t="s">
        <v>19</v>
      </c>
      <c r="J641">
        <v>2</v>
      </c>
      <c r="K641">
        <v>9</v>
      </c>
      <c r="L641">
        <v>7</v>
      </c>
      <c r="M641">
        <v>0</v>
      </c>
    </row>
    <row r="642" spans="1:13" x14ac:dyDescent="0.3">
      <c r="A642">
        <v>15</v>
      </c>
      <c r="B642" t="s">
        <v>13</v>
      </c>
      <c r="C642">
        <v>3.4</v>
      </c>
      <c r="D642" t="s">
        <v>20</v>
      </c>
      <c r="E642">
        <v>8</v>
      </c>
      <c r="F642">
        <v>1</v>
      </c>
      <c r="G642">
        <v>2.31</v>
      </c>
      <c r="H642">
        <v>1</v>
      </c>
      <c r="I642" t="s">
        <v>18</v>
      </c>
      <c r="J642">
        <v>4</v>
      </c>
      <c r="K642">
        <v>7</v>
      </c>
      <c r="L642">
        <v>6</v>
      </c>
      <c r="M642">
        <v>0</v>
      </c>
    </row>
    <row r="643" spans="1:13" x14ac:dyDescent="0.3">
      <c r="A643">
        <v>19</v>
      </c>
      <c r="B643" t="s">
        <v>13</v>
      </c>
      <c r="C643">
        <v>6</v>
      </c>
      <c r="D643" t="s">
        <v>14</v>
      </c>
      <c r="E643">
        <v>4.2</v>
      </c>
      <c r="F643">
        <v>0.9</v>
      </c>
      <c r="G643">
        <v>2.41</v>
      </c>
      <c r="H643">
        <v>0.8</v>
      </c>
      <c r="I643" t="s">
        <v>19</v>
      </c>
      <c r="J643">
        <v>7</v>
      </c>
      <c r="K643">
        <v>9</v>
      </c>
      <c r="L643">
        <v>9</v>
      </c>
      <c r="M643">
        <v>1</v>
      </c>
    </row>
    <row r="644" spans="1:13" x14ac:dyDescent="0.3">
      <c r="A644">
        <v>16</v>
      </c>
      <c r="B644" t="s">
        <v>16</v>
      </c>
      <c r="C644">
        <v>5.3</v>
      </c>
      <c r="D644" t="s">
        <v>20</v>
      </c>
      <c r="E644">
        <v>5.6</v>
      </c>
      <c r="F644">
        <v>2.5</v>
      </c>
      <c r="G644">
        <v>2.73</v>
      </c>
      <c r="H644">
        <v>1.3</v>
      </c>
      <c r="I644" t="s">
        <v>19</v>
      </c>
      <c r="J644">
        <v>7</v>
      </c>
      <c r="K644">
        <v>10</v>
      </c>
      <c r="L644">
        <v>4</v>
      </c>
      <c r="M644">
        <v>1</v>
      </c>
    </row>
    <row r="645" spans="1:13" x14ac:dyDescent="0.3">
      <c r="A645">
        <v>17</v>
      </c>
      <c r="B645" t="s">
        <v>16</v>
      </c>
      <c r="C645">
        <v>5.5</v>
      </c>
      <c r="D645" t="s">
        <v>14</v>
      </c>
      <c r="E645">
        <v>6.3</v>
      </c>
      <c r="F645">
        <v>0.8</v>
      </c>
      <c r="G645">
        <v>2.59</v>
      </c>
      <c r="H645">
        <v>1.6</v>
      </c>
      <c r="I645" t="s">
        <v>18</v>
      </c>
      <c r="J645">
        <v>6</v>
      </c>
      <c r="K645">
        <v>8</v>
      </c>
      <c r="L645">
        <v>7</v>
      </c>
      <c r="M645">
        <v>0</v>
      </c>
    </row>
    <row r="646" spans="1:13" x14ac:dyDescent="0.3">
      <c r="A646">
        <v>17</v>
      </c>
      <c r="B646" t="s">
        <v>13</v>
      </c>
      <c r="C646">
        <v>3.6</v>
      </c>
      <c r="D646" t="s">
        <v>20</v>
      </c>
      <c r="E646">
        <v>6.1</v>
      </c>
      <c r="F646">
        <v>2.8</v>
      </c>
      <c r="G646">
        <v>2.39</v>
      </c>
      <c r="H646">
        <v>0.6</v>
      </c>
      <c r="I646" t="s">
        <v>15</v>
      </c>
      <c r="J646">
        <v>6</v>
      </c>
      <c r="K646">
        <v>8</v>
      </c>
      <c r="L646">
        <v>5</v>
      </c>
      <c r="M646">
        <v>0</v>
      </c>
    </row>
    <row r="647" spans="1:13" x14ac:dyDescent="0.3">
      <c r="A647">
        <v>17</v>
      </c>
      <c r="B647" t="s">
        <v>16</v>
      </c>
      <c r="C647">
        <v>3.7</v>
      </c>
      <c r="D647" t="s">
        <v>14</v>
      </c>
      <c r="E647">
        <v>6.3</v>
      </c>
      <c r="F647">
        <v>1.3</v>
      </c>
      <c r="G647">
        <v>2.7</v>
      </c>
      <c r="H647">
        <v>1.1000000000000001</v>
      </c>
      <c r="I647" t="s">
        <v>19</v>
      </c>
      <c r="J647">
        <v>2</v>
      </c>
      <c r="K647">
        <v>6</v>
      </c>
      <c r="L647">
        <v>9</v>
      </c>
      <c r="M647">
        <v>0</v>
      </c>
    </row>
    <row r="648" spans="1:13" x14ac:dyDescent="0.3">
      <c r="A648">
        <v>16</v>
      </c>
      <c r="B648" t="s">
        <v>16</v>
      </c>
      <c r="C648">
        <v>7.4</v>
      </c>
      <c r="D648" t="s">
        <v>14</v>
      </c>
      <c r="E648">
        <v>7.4</v>
      </c>
      <c r="F648">
        <v>0.9</v>
      </c>
      <c r="G648">
        <v>3.7</v>
      </c>
      <c r="H648">
        <v>1.3</v>
      </c>
      <c r="I648" t="s">
        <v>19</v>
      </c>
      <c r="J648">
        <v>10</v>
      </c>
      <c r="K648">
        <v>6</v>
      </c>
      <c r="L648">
        <v>2</v>
      </c>
      <c r="M648">
        <v>0</v>
      </c>
    </row>
    <row r="649" spans="1:13" x14ac:dyDescent="0.3">
      <c r="A649">
        <v>13</v>
      </c>
      <c r="B649" t="s">
        <v>13</v>
      </c>
      <c r="C649">
        <v>5.3</v>
      </c>
      <c r="D649" t="s">
        <v>14</v>
      </c>
      <c r="E649">
        <v>6</v>
      </c>
      <c r="F649">
        <v>1</v>
      </c>
      <c r="G649">
        <v>2.92</v>
      </c>
      <c r="H649">
        <v>0.7</v>
      </c>
      <c r="I649" t="s">
        <v>18</v>
      </c>
      <c r="J649">
        <v>3</v>
      </c>
      <c r="K649">
        <v>8</v>
      </c>
      <c r="L649">
        <v>5</v>
      </c>
      <c r="M649">
        <v>0</v>
      </c>
    </row>
    <row r="650" spans="1:13" x14ac:dyDescent="0.3">
      <c r="A650">
        <v>18</v>
      </c>
      <c r="B650" t="s">
        <v>16</v>
      </c>
      <c r="C650">
        <v>4.8</v>
      </c>
      <c r="D650" t="s">
        <v>14</v>
      </c>
      <c r="E650">
        <v>5.5</v>
      </c>
      <c r="F650">
        <v>1.8</v>
      </c>
      <c r="G650">
        <v>2.9</v>
      </c>
      <c r="H650">
        <v>0.6</v>
      </c>
      <c r="I650" t="s">
        <v>15</v>
      </c>
      <c r="J650">
        <v>6</v>
      </c>
      <c r="K650">
        <v>2</v>
      </c>
      <c r="L650">
        <v>5</v>
      </c>
      <c r="M650">
        <v>0</v>
      </c>
    </row>
    <row r="651" spans="1:13" x14ac:dyDescent="0.3">
      <c r="A651">
        <v>13</v>
      </c>
      <c r="B651" t="s">
        <v>13</v>
      </c>
      <c r="C651">
        <v>3.4</v>
      </c>
      <c r="D651" t="s">
        <v>17</v>
      </c>
      <c r="E651">
        <v>4.5</v>
      </c>
      <c r="F651">
        <v>0.5</v>
      </c>
      <c r="G651">
        <v>3.71</v>
      </c>
      <c r="H651">
        <v>1</v>
      </c>
      <c r="I651" t="s">
        <v>19</v>
      </c>
      <c r="J651">
        <v>1</v>
      </c>
      <c r="K651">
        <v>10</v>
      </c>
      <c r="L651">
        <v>1</v>
      </c>
      <c r="M651">
        <v>0</v>
      </c>
    </row>
    <row r="652" spans="1:13" x14ac:dyDescent="0.3">
      <c r="A652">
        <v>17</v>
      </c>
      <c r="B652" t="s">
        <v>16</v>
      </c>
      <c r="C652">
        <v>7</v>
      </c>
      <c r="D652" t="s">
        <v>17</v>
      </c>
      <c r="E652">
        <v>8.9</v>
      </c>
      <c r="F652">
        <v>0.6</v>
      </c>
      <c r="G652">
        <v>3.67</v>
      </c>
      <c r="H652">
        <v>0.2</v>
      </c>
      <c r="I652" t="s">
        <v>19</v>
      </c>
      <c r="J652">
        <v>9</v>
      </c>
      <c r="K652">
        <v>2</v>
      </c>
      <c r="L652">
        <v>4</v>
      </c>
      <c r="M652">
        <v>0</v>
      </c>
    </row>
    <row r="653" spans="1:13" x14ac:dyDescent="0.3">
      <c r="A653">
        <v>15</v>
      </c>
      <c r="B653" t="s">
        <v>13</v>
      </c>
      <c r="C653">
        <v>5.4</v>
      </c>
      <c r="D653" t="s">
        <v>14</v>
      </c>
      <c r="E653">
        <v>7.2</v>
      </c>
      <c r="F653">
        <v>1.2</v>
      </c>
      <c r="G653">
        <v>3.32</v>
      </c>
      <c r="H653">
        <v>1.3</v>
      </c>
      <c r="I653" t="s">
        <v>18</v>
      </c>
      <c r="J653">
        <v>7</v>
      </c>
      <c r="K653">
        <v>8</v>
      </c>
      <c r="L653">
        <v>1</v>
      </c>
      <c r="M653">
        <v>0</v>
      </c>
    </row>
    <row r="654" spans="1:13" x14ac:dyDescent="0.3">
      <c r="A654">
        <v>17</v>
      </c>
      <c r="B654" t="s">
        <v>13</v>
      </c>
      <c r="C654">
        <v>5.3</v>
      </c>
      <c r="D654" t="s">
        <v>14</v>
      </c>
      <c r="E654">
        <v>6.4</v>
      </c>
      <c r="F654">
        <v>2.9</v>
      </c>
      <c r="G654">
        <v>2.42</v>
      </c>
      <c r="H654">
        <v>1.1000000000000001</v>
      </c>
      <c r="I654" t="s">
        <v>15</v>
      </c>
      <c r="J654">
        <v>3</v>
      </c>
      <c r="K654">
        <v>8</v>
      </c>
      <c r="L654">
        <v>3</v>
      </c>
      <c r="M654">
        <v>0</v>
      </c>
    </row>
    <row r="655" spans="1:13" x14ac:dyDescent="0.3">
      <c r="A655">
        <v>14</v>
      </c>
      <c r="B655" t="s">
        <v>13</v>
      </c>
      <c r="C655">
        <v>1.8</v>
      </c>
      <c r="D655" t="s">
        <v>20</v>
      </c>
      <c r="E655">
        <v>5.0999999999999996</v>
      </c>
      <c r="F655">
        <v>2.7</v>
      </c>
      <c r="G655">
        <v>3.47</v>
      </c>
      <c r="H655">
        <v>0.2</v>
      </c>
      <c r="I655" t="s">
        <v>15</v>
      </c>
      <c r="J655">
        <v>8</v>
      </c>
      <c r="K655">
        <v>4</v>
      </c>
      <c r="L655">
        <v>6</v>
      </c>
      <c r="M655">
        <v>0</v>
      </c>
    </row>
    <row r="656" spans="1:13" x14ac:dyDescent="0.3">
      <c r="A656">
        <v>15</v>
      </c>
      <c r="B656" t="s">
        <v>13</v>
      </c>
      <c r="C656">
        <v>4.5</v>
      </c>
      <c r="D656" t="s">
        <v>17</v>
      </c>
      <c r="E656">
        <v>6.2</v>
      </c>
      <c r="F656">
        <v>2.8</v>
      </c>
      <c r="G656">
        <v>2.74</v>
      </c>
      <c r="H656">
        <v>0.1</v>
      </c>
      <c r="I656" t="s">
        <v>18</v>
      </c>
      <c r="J656">
        <v>2</v>
      </c>
      <c r="K656">
        <v>3</v>
      </c>
      <c r="L656">
        <v>5</v>
      </c>
      <c r="M656">
        <v>0</v>
      </c>
    </row>
    <row r="657" spans="1:13" x14ac:dyDescent="0.3">
      <c r="A657">
        <v>17</v>
      </c>
      <c r="B657" t="s">
        <v>16</v>
      </c>
      <c r="C657">
        <v>5.4</v>
      </c>
      <c r="D657" t="s">
        <v>17</v>
      </c>
      <c r="E657">
        <v>7.1</v>
      </c>
      <c r="F657">
        <v>2.5</v>
      </c>
      <c r="G657">
        <v>2.68</v>
      </c>
      <c r="H657">
        <v>1.6</v>
      </c>
      <c r="I657" t="s">
        <v>15</v>
      </c>
      <c r="J657">
        <v>3</v>
      </c>
      <c r="K657">
        <v>5</v>
      </c>
      <c r="L657">
        <v>7</v>
      </c>
      <c r="M657">
        <v>0</v>
      </c>
    </row>
    <row r="658" spans="1:13" x14ac:dyDescent="0.3">
      <c r="A658">
        <v>13</v>
      </c>
      <c r="B658" t="s">
        <v>13</v>
      </c>
      <c r="C658">
        <v>3.6</v>
      </c>
      <c r="D658" t="s">
        <v>14</v>
      </c>
      <c r="E658">
        <v>8.6</v>
      </c>
      <c r="F658">
        <v>0.7</v>
      </c>
      <c r="G658">
        <v>2.42</v>
      </c>
      <c r="H658">
        <v>0.2</v>
      </c>
      <c r="I658" t="s">
        <v>19</v>
      </c>
      <c r="J658">
        <v>2</v>
      </c>
      <c r="K658">
        <v>6</v>
      </c>
      <c r="L658">
        <v>8</v>
      </c>
      <c r="M658">
        <v>0</v>
      </c>
    </row>
    <row r="659" spans="1:13" x14ac:dyDescent="0.3">
      <c r="A659">
        <v>14</v>
      </c>
      <c r="B659" t="s">
        <v>16</v>
      </c>
      <c r="C659">
        <v>5.7</v>
      </c>
      <c r="D659" t="s">
        <v>14</v>
      </c>
      <c r="E659">
        <v>8.9</v>
      </c>
      <c r="F659">
        <v>0.7</v>
      </c>
      <c r="G659">
        <v>2.17</v>
      </c>
      <c r="H659">
        <v>1.3</v>
      </c>
      <c r="I659" t="s">
        <v>18</v>
      </c>
      <c r="J659">
        <v>10</v>
      </c>
      <c r="K659">
        <v>4</v>
      </c>
      <c r="L659">
        <v>3</v>
      </c>
      <c r="M659">
        <v>0</v>
      </c>
    </row>
    <row r="660" spans="1:13" x14ac:dyDescent="0.3">
      <c r="A660">
        <v>15</v>
      </c>
      <c r="B660" t="s">
        <v>16</v>
      </c>
      <c r="C660">
        <v>5.5</v>
      </c>
      <c r="D660" t="s">
        <v>20</v>
      </c>
      <c r="E660">
        <v>7.3</v>
      </c>
      <c r="F660">
        <v>2.5</v>
      </c>
      <c r="G660">
        <v>3.67</v>
      </c>
      <c r="H660">
        <v>0.5</v>
      </c>
      <c r="I660" t="s">
        <v>15</v>
      </c>
      <c r="J660">
        <v>4</v>
      </c>
      <c r="K660">
        <v>3</v>
      </c>
      <c r="L660">
        <v>6</v>
      </c>
      <c r="M660">
        <v>0</v>
      </c>
    </row>
    <row r="661" spans="1:13" x14ac:dyDescent="0.3">
      <c r="A661">
        <v>14</v>
      </c>
      <c r="B661" t="s">
        <v>16</v>
      </c>
      <c r="C661">
        <v>5.3</v>
      </c>
      <c r="D661" t="s">
        <v>20</v>
      </c>
      <c r="E661">
        <v>4.7</v>
      </c>
      <c r="F661">
        <v>1.1000000000000001</v>
      </c>
      <c r="G661">
        <v>3.68</v>
      </c>
      <c r="H661">
        <v>1.8</v>
      </c>
      <c r="I661" t="s">
        <v>18</v>
      </c>
      <c r="J661">
        <v>10</v>
      </c>
      <c r="K661">
        <v>8</v>
      </c>
      <c r="L661">
        <v>10</v>
      </c>
      <c r="M661">
        <v>1</v>
      </c>
    </row>
    <row r="662" spans="1:13" x14ac:dyDescent="0.3">
      <c r="A662">
        <v>15</v>
      </c>
      <c r="B662" t="s">
        <v>13</v>
      </c>
      <c r="C662">
        <v>2.7</v>
      </c>
      <c r="D662" t="s">
        <v>14</v>
      </c>
      <c r="E662">
        <v>5.4</v>
      </c>
      <c r="F662">
        <v>1.6</v>
      </c>
      <c r="G662">
        <v>2.34</v>
      </c>
      <c r="H662">
        <v>0.3</v>
      </c>
      <c r="I662" t="s">
        <v>18</v>
      </c>
      <c r="J662">
        <v>2</v>
      </c>
      <c r="K662">
        <v>6</v>
      </c>
      <c r="L662">
        <v>8</v>
      </c>
      <c r="M662">
        <v>0</v>
      </c>
    </row>
    <row r="663" spans="1:13" x14ac:dyDescent="0.3">
      <c r="A663">
        <v>14</v>
      </c>
      <c r="B663" t="s">
        <v>13</v>
      </c>
      <c r="C663">
        <v>6.4</v>
      </c>
      <c r="D663" t="s">
        <v>14</v>
      </c>
      <c r="E663">
        <v>5.6</v>
      </c>
      <c r="F663">
        <v>0.8</v>
      </c>
      <c r="G663">
        <v>4</v>
      </c>
      <c r="H663">
        <v>1.9</v>
      </c>
      <c r="I663" t="s">
        <v>19</v>
      </c>
      <c r="J663">
        <v>5</v>
      </c>
      <c r="K663">
        <v>1</v>
      </c>
      <c r="L663">
        <v>3</v>
      </c>
      <c r="M663">
        <v>0</v>
      </c>
    </row>
    <row r="664" spans="1:13" x14ac:dyDescent="0.3">
      <c r="A664">
        <v>16</v>
      </c>
      <c r="B664" t="s">
        <v>13</v>
      </c>
      <c r="C664">
        <v>5</v>
      </c>
      <c r="D664" t="s">
        <v>17</v>
      </c>
      <c r="E664">
        <v>6.3</v>
      </c>
      <c r="F664">
        <v>3</v>
      </c>
      <c r="G664">
        <v>3.72</v>
      </c>
      <c r="H664">
        <v>1.6</v>
      </c>
      <c r="I664" t="s">
        <v>19</v>
      </c>
      <c r="J664">
        <v>5</v>
      </c>
      <c r="K664">
        <v>10</v>
      </c>
      <c r="L664">
        <v>3</v>
      </c>
      <c r="M664">
        <v>0</v>
      </c>
    </row>
    <row r="665" spans="1:13" x14ac:dyDescent="0.3">
      <c r="A665">
        <v>13</v>
      </c>
      <c r="B665" t="s">
        <v>16</v>
      </c>
      <c r="C665">
        <v>2.5</v>
      </c>
      <c r="D665" t="s">
        <v>14</v>
      </c>
      <c r="E665">
        <v>4.5999999999999996</v>
      </c>
      <c r="F665">
        <v>1.6</v>
      </c>
      <c r="G665">
        <v>3.22</v>
      </c>
      <c r="H665">
        <v>0.9</v>
      </c>
      <c r="I665" t="s">
        <v>19</v>
      </c>
      <c r="J665">
        <v>6</v>
      </c>
      <c r="K665">
        <v>4</v>
      </c>
      <c r="L665">
        <v>3</v>
      </c>
      <c r="M665">
        <v>0</v>
      </c>
    </row>
    <row r="666" spans="1:13" x14ac:dyDescent="0.3">
      <c r="A666">
        <v>18</v>
      </c>
      <c r="B666" t="s">
        <v>13</v>
      </c>
      <c r="C666">
        <v>2.2000000000000002</v>
      </c>
      <c r="D666" t="s">
        <v>20</v>
      </c>
      <c r="E666">
        <v>4.5</v>
      </c>
      <c r="F666">
        <v>2</v>
      </c>
      <c r="G666">
        <v>2.4900000000000002</v>
      </c>
      <c r="H666">
        <v>0.8</v>
      </c>
      <c r="I666" t="s">
        <v>18</v>
      </c>
      <c r="J666">
        <v>1</v>
      </c>
      <c r="K666">
        <v>7</v>
      </c>
      <c r="L666">
        <v>6</v>
      </c>
      <c r="M666">
        <v>0</v>
      </c>
    </row>
    <row r="667" spans="1:13" x14ac:dyDescent="0.3">
      <c r="A667">
        <v>16</v>
      </c>
      <c r="B667" t="s">
        <v>13</v>
      </c>
      <c r="C667">
        <v>4.0999999999999996</v>
      </c>
      <c r="D667" t="s">
        <v>20</v>
      </c>
      <c r="E667">
        <v>5.5</v>
      </c>
      <c r="F667">
        <v>1.9</v>
      </c>
      <c r="G667">
        <v>2.65</v>
      </c>
      <c r="H667">
        <v>1.5</v>
      </c>
      <c r="I667" t="s">
        <v>15</v>
      </c>
      <c r="J667">
        <v>5</v>
      </c>
      <c r="K667">
        <v>7</v>
      </c>
      <c r="L667">
        <v>9</v>
      </c>
      <c r="M667">
        <v>0</v>
      </c>
    </row>
    <row r="668" spans="1:13" x14ac:dyDescent="0.3">
      <c r="A668">
        <v>16</v>
      </c>
      <c r="B668" t="s">
        <v>16</v>
      </c>
      <c r="C668">
        <v>2.8</v>
      </c>
      <c r="D668" t="s">
        <v>17</v>
      </c>
      <c r="E668">
        <v>7.4</v>
      </c>
      <c r="F668">
        <v>2</v>
      </c>
      <c r="G668">
        <v>3.4</v>
      </c>
      <c r="H668">
        <v>1.6</v>
      </c>
      <c r="I668" t="s">
        <v>15</v>
      </c>
      <c r="J668">
        <v>4</v>
      </c>
      <c r="K668">
        <v>1</v>
      </c>
      <c r="L668">
        <v>1</v>
      </c>
      <c r="M668">
        <v>0</v>
      </c>
    </row>
    <row r="669" spans="1:13" x14ac:dyDescent="0.3">
      <c r="A669">
        <v>17</v>
      </c>
      <c r="B669" t="s">
        <v>16</v>
      </c>
      <c r="C669">
        <v>1.1000000000000001</v>
      </c>
      <c r="D669" t="s">
        <v>17</v>
      </c>
      <c r="E669">
        <v>8.1999999999999993</v>
      </c>
      <c r="F669">
        <v>2.7</v>
      </c>
      <c r="G669">
        <v>2.84</v>
      </c>
      <c r="H669">
        <v>0.2</v>
      </c>
      <c r="I669" t="s">
        <v>18</v>
      </c>
      <c r="J669">
        <v>2</v>
      </c>
      <c r="K669">
        <v>4</v>
      </c>
      <c r="L669">
        <v>1</v>
      </c>
      <c r="M669">
        <v>0</v>
      </c>
    </row>
    <row r="670" spans="1:13" x14ac:dyDescent="0.3">
      <c r="A670">
        <v>13</v>
      </c>
      <c r="B670" t="s">
        <v>13</v>
      </c>
      <c r="C670">
        <v>7</v>
      </c>
      <c r="D670" t="s">
        <v>20</v>
      </c>
      <c r="E670">
        <v>5.7</v>
      </c>
      <c r="F670">
        <v>1.6</v>
      </c>
      <c r="G670">
        <v>3.45</v>
      </c>
      <c r="H670">
        <v>1.2</v>
      </c>
      <c r="I670" t="s">
        <v>19</v>
      </c>
      <c r="J670">
        <v>7</v>
      </c>
      <c r="K670">
        <v>1</v>
      </c>
      <c r="L670">
        <v>10</v>
      </c>
      <c r="M670">
        <v>0</v>
      </c>
    </row>
    <row r="671" spans="1:13" x14ac:dyDescent="0.3">
      <c r="A671">
        <v>18</v>
      </c>
      <c r="B671" t="s">
        <v>13</v>
      </c>
      <c r="C671">
        <v>2.6</v>
      </c>
      <c r="D671" t="s">
        <v>17</v>
      </c>
      <c r="E671">
        <v>7.9</v>
      </c>
      <c r="F671">
        <v>2.2999999999999998</v>
      </c>
      <c r="G671">
        <v>2.4300000000000002</v>
      </c>
      <c r="H671">
        <v>0.1</v>
      </c>
      <c r="I671" t="s">
        <v>18</v>
      </c>
      <c r="J671">
        <v>5</v>
      </c>
      <c r="K671">
        <v>1</v>
      </c>
      <c r="L671">
        <v>6</v>
      </c>
      <c r="M671">
        <v>0</v>
      </c>
    </row>
    <row r="672" spans="1:13" x14ac:dyDescent="0.3">
      <c r="A672">
        <v>13</v>
      </c>
      <c r="B672" t="s">
        <v>16</v>
      </c>
      <c r="C672">
        <v>2.6</v>
      </c>
      <c r="D672" t="s">
        <v>17</v>
      </c>
      <c r="E672">
        <v>6.1</v>
      </c>
      <c r="F672">
        <v>1.4</v>
      </c>
      <c r="G672">
        <v>2.11</v>
      </c>
      <c r="H672">
        <v>0.4</v>
      </c>
      <c r="I672" t="s">
        <v>18</v>
      </c>
      <c r="J672">
        <v>7</v>
      </c>
      <c r="K672">
        <v>5</v>
      </c>
      <c r="L672">
        <v>10</v>
      </c>
      <c r="M672">
        <v>0</v>
      </c>
    </row>
    <row r="673" spans="1:13" x14ac:dyDescent="0.3">
      <c r="A673">
        <v>14</v>
      </c>
      <c r="B673" t="s">
        <v>13</v>
      </c>
      <c r="C673">
        <v>3.4</v>
      </c>
      <c r="D673" t="s">
        <v>14</v>
      </c>
      <c r="E673">
        <v>4.5999999999999996</v>
      </c>
      <c r="F673">
        <v>2</v>
      </c>
      <c r="G673">
        <v>2.27</v>
      </c>
      <c r="H673">
        <v>1.9</v>
      </c>
      <c r="I673" t="s">
        <v>18</v>
      </c>
      <c r="J673">
        <v>7</v>
      </c>
      <c r="K673">
        <v>10</v>
      </c>
      <c r="L673">
        <v>6</v>
      </c>
      <c r="M673">
        <v>0</v>
      </c>
    </row>
    <row r="674" spans="1:13" x14ac:dyDescent="0.3">
      <c r="A674">
        <v>14</v>
      </c>
      <c r="B674" t="s">
        <v>13</v>
      </c>
      <c r="C674">
        <v>7.9</v>
      </c>
      <c r="D674" t="s">
        <v>14</v>
      </c>
      <c r="E674">
        <v>5.7</v>
      </c>
      <c r="F674">
        <v>1.6</v>
      </c>
      <c r="G674">
        <v>3.67</v>
      </c>
      <c r="H674">
        <v>0.6</v>
      </c>
      <c r="I674" t="s">
        <v>19</v>
      </c>
      <c r="J674">
        <v>4</v>
      </c>
      <c r="K674">
        <v>3</v>
      </c>
      <c r="L674">
        <v>4</v>
      </c>
      <c r="M674">
        <v>0</v>
      </c>
    </row>
    <row r="675" spans="1:13" x14ac:dyDescent="0.3">
      <c r="A675">
        <v>13</v>
      </c>
      <c r="B675" t="s">
        <v>13</v>
      </c>
      <c r="C675">
        <v>5.0999999999999996</v>
      </c>
      <c r="D675" t="s">
        <v>17</v>
      </c>
      <c r="E675">
        <v>5.3</v>
      </c>
      <c r="F675">
        <v>2.6</v>
      </c>
      <c r="G675">
        <v>2.95</v>
      </c>
      <c r="H675">
        <v>1.2</v>
      </c>
      <c r="I675" t="s">
        <v>19</v>
      </c>
      <c r="J675">
        <v>2</v>
      </c>
      <c r="K675">
        <v>6</v>
      </c>
      <c r="L675">
        <v>10</v>
      </c>
      <c r="M675">
        <v>0</v>
      </c>
    </row>
    <row r="676" spans="1:13" x14ac:dyDescent="0.3">
      <c r="A676">
        <v>13</v>
      </c>
      <c r="B676" t="s">
        <v>16</v>
      </c>
      <c r="C676">
        <v>2.8</v>
      </c>
      <c r="D676" t="s">
        <v>20</v>
      </c>
      <c r="E676">
        <v>6.4</v>
      </c>
      <c r="F676">
        <v>1.4</v>
      </c>
      <c r="G676">
        <v>2.38</v>
      </c>
      <c r="H676">
        <v>1.4</v>
      </c>
      <c r="I676" t="s">
        <v>19</v>
      </c>
      <c r="J676">
        <v>4</v>
      </c>
      <c r="K676">
        <v>8</v>
      </c>
      <c r="L676">
        <v>10</v>
      </c>
      <c r="M676">
        <v>0</v>
      </c>
    </row>
    <row r="677" spans="1:13" x14ac:dyDescent="0.3">
      <c r="A677">
        <v>19</v>
      </c>
      <c r="B677" t="s">
        <v>16</v>
      </c>
      <c r="C677">
        <v>3.4</v>
      </c>
      <c r="D677" t="s">
        <v>17</v>
      </c>
      <c r="E677">
        <v>4.3</v>
      </c>
      <c r="F677">
        <v>0.7</v>
      </c>
      <c r="G677">
        <v>2.17</v>
      </c>
      <c r="H677">
        <v>0.7</v>
      </c>
      <c r="I677" t="s">
        <v>18</v>
      </c>
      <c r="J677">
        <v>3</v>
      </c>
      <c r="K677">
        <v>1</v>
      </c>
      <c r="L677">
        <v>4</v>
      </c>
      <c r="M677">
        <v>0</v>
      </c>
    </row>
    <row r="678" spans="1:13" x14ac:dyDescent="0.3">
      <c r="A678">
        <v>18</v>
      </c>
      <c r="B678" t="s">
        <v>13</v>
      </c>
      <c r="C678">
        <v>6.3</v>
      </c>
      <c r="D678" t="s">
        <v>20</v>
      </c>
      <c r="E678">
        <v>6.9</v>
      </c>
      <c r="F678">
        <v>1</v>
      </c>
      <c r="G678">
        <v>3.22</v>
      </c>
      <c r="H678">
        <v>0.8</v>
      </c>
      <c r="I678" t="s">
        <v>19</v>
      </c>
      <c r="J678">
        <v>4</v>
      </c>
      <c r="K678">
        <v>6</v>
      </c>
      <c r="L678">
        <v>1</v>
      </c>
      <c r="M678">
        <v>0</v>
      </c>
    </row>
    <row r="679" spans="1:13" x14ac:dyDescent="0.3">
      <c r="A679">
        <v>17</v>
      </c>
      <c r="B679" t="s">
        <v>16</v>
      </c>
      <c r="C679">
        <v>1.1000000000000001</v>
      </c>
      <c r="D679" t="s">
        <v>17</v>
      </c>
      <c r="E679">
        <v>4.5999999999999996</v>
      </c>
      <c r="F679">
        <v>2.5</v>
      </c>
      <c r="G679">
        <v>3.93</v>
      </c>
      <c r="H679">
        <v>0.3</v>
      </c>
      <c r="I679" t="s">
        <v>18</v>
      </c>
      <c r="J679">
        <v>10</v>
      </c>
      <c r="K679">
        <v>6</v>
      </c>
      <c r="L679">
        <v>2</v>
      </c>
      <c r="M679">
        <v>0</v>
      </c>
    </row>
    <row r="680" spans="1:13" x14ac:dyDescent="0.3">
      <c r="A680">
        <v>19</v>
      </c>
      <c r="B680" t="s">
        <v>13</v>
      </c>
      <c r="C680">
        <v>3.8</v>
      </c>
      <c r="D680" t="s">
        <v>14</v>
      </c>
      <c r="E680">
        <v>7.1</v>
      </c>
      <c r="F680">
        <v>2.5</v>
      </c>
      <c r="G680">
        <v>3.81</v>
      </c>
      <c r="H680">
        <v>0.9</v>
      </c>
      <c r="I680" t="s">
        <v>15</v>
      </c>
      <c r="J680">
        <v>6</v>
      </c>
      <c r="K680">
        <v>9</v>
      </c>
      <c r="L680">
        <v>4</v>
      </c>
      <c r="M680">
        <v>0</v>
      </c>
    </row>
    <row r="681" spans="1:13" x14ac:dyDescent="0.3">
      <c r="A681">
        <v>13</v>
      </c>
      <c r="B681" t="s">
        <v>13</v>
      </c>
      <c r="C681">
        <v>2.1</v>
      </c>
      <c r="D681" t="s">
        <v>14</v>
      </c>
      <c r="E681">
        <v>4.0999999999999996</v>
      </c>
      <c r="F681">
        <v>1.6</v>
      </c>
      <c r="G681">
        <v>2.12</v>
      </c>
      <c r="H681">
        <v>1.8</v>
      </c>
      <c r="I681" t="s">
        <v>18</v>
      </c>
      <c r="J681">
        <v>10</v>
      </c>
      <c r="K681">
        <v>9</v>
      </c>
      <c r="L681">
        <v>6</v>
      </c>
      <c r="M681">
        <v>0</v>
      </c>
    </row>
    <row r="682" spans="1:13" x14ac:dyDescent="0.3">
      <c r="A682">
        <v>17</v>
      </c>
      <c r="B682" t="s">
        <v>16</v>
      </c>
      <c r="C682">
        <v>6.2</v>
      </c>
      <c r="D682" t="s">
        <v>20</v>
      </c>
      <c r="E682">
        <v>6.1</v>
      </c>
      <c r="F682">
        <v>2.4</v>
      </c>
      <c r="G682">
        <v>3.05</v>
      </c>
      <c r="H682">
        <v>1.8</v>
      </c>
      <c r="I682" t="s">
        <v>18</v>
      </c>
      <c r="J682">
        <v>3</v>
      </c>
      <c r="K682">
        <v>6</v>
      </c>
      <c r="L682">
        <v>8</v>
      </c>
      <c r="M682">
        <v>0</v>
      </c>
    </row>
    <row r="683" spans="1:13" x14ac:dyDescent="0.3">
      <c r="A683">
        <v>19</v>
      </c>
      <c r="B683" t="s">
        <v>13</v>
      </c>
      <c r="C683">
        <v>6.8</v>
      </c>
      <c r="D683" t="s">
        <v>14</v>
      </c>
      <c r="E683">
        <v>8.4</v>
      </c>
      <c r="F683">
        <v>2.1</v>
      </c>
      <c r="G683">
        <v>3.15</v>
      </c>
      <c r="H683">
        <v>2</v>
      </c>
      <c r="I683" t="s">
        <v>19</v>
      </c>
      <c r="J683">
        <v>4</v>
      </c>
      <c r="K683">
        <v>10</v>
      </c>
      <c r="L683">
        <v>1</v>
      </c>
      <c r="M683">
        <v>0</v>
      </c>
    </row>
    <row r="684" spans="1:13" x14ac:dyDescent="0.3">
      <c r="A684">
        <v>14</v>
      </c>
      <c r="B684" t="s">
        <v>13</v>
      </c>
      <c r="C684">
        <v>5.2</v>
      </c>
      <c r="D684" t="s">
        <v>14</v>
      </c>
      <c r="E684">
        <v>5.5</v>
      </c>
      <c r="F684">
        <v>1.6</v>
      </c>
      <c r="G684">
        <v>3.08</v>
      </c>
      <c r="H684">
        <v>0.5</v>
      </c>
      <c r="I684" t="s">
        <v>19</v>
      </c>
      <c r="J684">
        <v>3</v>
      </c>
      <c r="K684">
        <v>8</v>
      </c>
      <c r="L684">
        <v>1</v>
      </c>
      <c r="M684">
        <v>0</v>
      </c>
    </row>
    <row r="685" spans="1:13" x14ac:dyDescent="0.3">
      <c r="A685">
        <v>15</v>
      </c>
      <c r="B685" t="s">
        <v>13</v>
      </c>
      <c r="C685">
        <v>3.7</v>
      </c>
      <c r="D685" t="s">
        <v>20</v>
      </c>
      <c r="E685">
        <v>4</v>
      </c>
      <c r="F685">
        <v>0.9</v>
      </c>
      <c r="G685">
        <v>3</v>
      </c>
      <c r="H685">
        <v>1.4</v>
      </c>
      <c r="I685" t="s">
        <v>19</v>
      </c>
      <c r="J685">
        <v>1</v>
      </c>
      <c r="K685">
        <v>8</v>
      </c>
      <c r="L685">
        <v>10</v>
      </c>
      <c r="M685">
        <v>0</v>
      </c>
    </row>
    <row r="686" spans="1:13" x14ac:dyDescent="0.3">
      <c r="A686">
        <v>19</v>
      </c>
      <c r="B686" t="s">
        <v>13</v>
      </c>
      <c r="C686">
        <v>2.4</v>
      </c>
      <c r="D686" t="s">
        <v>20</v>
      </c>
      <c r="E686">
        <v>7.5</v>
      </c>
      <c r="F686">
        <v>1.8</v>
      </c>
      <c r="G686">
        <v>2.35</v>
      </c>
      <c r="H686">
        <v>1.4</v>
      </c>
      <c r="I686" t="s">
        <v>15</v>
      </c>
      <c r="J686">
        <v>3</v>
      </c>
      <c r="K686">
        <v>8</v>
      </c>
      <c r="L686">
        <v>6</v>
      </c>
      <c r="M686">
        <v>0</v>
      </c>
    </row>
    <row r="687" spans="1:13" x14ac:dyDescent="0.3">
      <c r="A687">
        <v>13</v>
      </c>
      <c r="B687" t="s">
        <v>13</v>
      </c>
      <c r="C687">
        <v>2.1</v>
      </c>
      <c r="D687" t="s">
        <v>17</v>
      </c>
      <c r="E687">
        <v>5.8</v>
      </c>
      <c r="F687">
        <v>2.7</v>
      </c>
      <c r="G687">
        <v>3.83</v>
      </c>
      <c r="H687">
        <v>1.9</v>
      </c>
      <c r="I687" t="s">
        <v>15</v>
      </c>
      <c r="J687">
        <v>4</v>
      </c>
      <c r="K687">
        <v>6</v>
      </c>
      <c r="L687">
        <v>6</v>
      </c>
      <c r="M687">
        <v>0</v>
      </c>
    </row>
    <row r="688" spans="1:13" x14ac:dyDescent="0.3">
      <c r="A688">
        <v>17</v>
      </c>
      <c r="B688" t="s">
        <v>16</v>
      </c>
      <c r="C688">
        <v>2.6</v>
      </c>
      <c r="D688" t="s">
        <v>17</v>
      </c>
      <c r="E688">
        <v>4.2</v>
      </c>
      <c r="F688">
        <v>0.7</v>
      </c>
      <c r="G688">
        <v>3.02</v>
      </c>
      <c r="H688">
        <v>1.6</v>
      </c>
      <c r="I688" t="s">
        <v>15</v>
      </c>
      <c r="J688">
        <v>7</v>
      </c>
      <c r="K688">
        <v>4</v>
      </c>
      <c r="L688">
        <v>7</v>
      </c>
      <c r="M688">
        <v>0</v>
      </c>
    </row>
    <row r="689" spans="1:13" x14ac:dyDescent="0.3">
      <c r="A689">
        <v>19</v>
      </c>
      <c r="B689" t="s">
        <v>13</v>
      </c>
      <c r="C689">
        <v>6.5</v>
      </c>
      <c r="D689" t="s">
        <v>14</v>
      </c>
      <c r="E689">
        <v>6</v>
      </c>
      <c r="F689">
        <v>1.5</v>
      </c>
      <c r="G689">
        <v>2.12</v>
      </c>
      <c r="H689">
        <v>1.7</v>
      </c>
      <c r="I689" t="s">
        <v>19</v>
      </c>
      <c r="J689">
        <v>8</v>
      </c>
      <c r="K689">
        <v>5</v>
      </c>
      <c r="L689">
        <v>7</v>
      </c>
      <c r="M689">
        <v>0</v>
      </c>
    </row>
    <row r="690" spans="1:13" x14ac:dyDescent="0.3">
      <c r="A690">
        <v>16</v>
      </c>
      <c r="B690" t="s">
        <v>16</v>
      </c>
      <c r="C690">
        <v>3.4</v>
      </c>
      <c r="D690" t="s">
        <v>14</v>
      </c>
      <c r="E690">
        <v>5.3</v>
      </c>
      <c r="F690">
        <v>1.8</v>
      </c>
      <c r="G690">
        <v>3.33</v>
      </c>
      <c r="H690">
        <v>0.3</v>
      </c>
      <c r="I690" t="s">
        <v>15</v>
      </c>
      <c r="J690">
        <v>9</v>
      </c>
      <c r="K690">
        <v>2</v>
      </c>
      <c r="L690">
        <v>4</v>
      </c>
      <c r="M690">
        <v>0</v>
      </c>
    </row>
    <row r="691" spans="1:13" x14ac:dyDescent="0.3">
      <c r="A691">
        <v>16</v>
      </c>
      <c r="B691" t="s">
        <v>13</v>
      </c>
      <c r="C691">
        <v>1.7</v>
      </c>
      <c r="D691" t="s">
        <v>20</v>
      </c>
      <c r="E691">
        <v>4.3</v>
      </c>
      <c r="F691">
        <v>1.4</v>
      </c>
      <c r="G691">
        <v>3.27</v>
      </c>
      <c r="H691">
        <v>1.2</v>
      </c>
      <c r="I691" t="s">
        <v>19</v>
      </c>
      <c r="J691">
        <v>10</v>
      </c>
      <c r="K691">
        <v>4</v>
      </c>
      <c r="L691">
        <v>10</v>
      </c>
      <c r="M691">
        <v>0</v>
      </c>
    </row>
    <row r="692" spans="1:13" x14ac:dyDescent="0.3">
      <c r="A692">
        <v>13</v>
      </c>
      <c r="B692" t="s">
        <v>13</v>
      </c>
      <c r="C692">
        <v>5.6</v>
      </c>
      <c r="D692" t="s">
        <v>20</v>
      </c>
      <c r="E692">
        <v>4.4000000000000004</v>
      </c>
      <c r="F692">
        <v>2.9</v>
      </c>
      <c r="G692">
        <v>3.19</v>
      </c>
      <c r="H692">
        <v>0.9</v>
      </c>
      <c r="I692" t="s">
        <v>19</v>
      </c>
      <c r="J692">
        <v>6</v>
      </c>
      <c r="K692">
        <v>3</v>
      </c>
      <c r="L692">
        <v>4</v>
      </c>
      <c r="M692">
        <v>0</v>
      </c>
    </row>
    <row r="693" spans="1:13" x14ac:dyDescent="0.3">
      <c r="A693">
        <v>15</v>
      </c>
      <c r="B693" t="s">
        <v>16</v>
      </c>
      <c r="C693">
        <v>8</v>
      </c>
      <c r="D693" t="s">
        <v>20</v>
      </c>
      <c r="E693">
        <v>5.7</v>
      </c>
      <c r="F693">
        <v>1.3</v>
      </c>
      <c r="G693">
        <v>3.54</v>
      </c>
      <c r="H693">
        <v>0.1</v>
      </c>
      <c r="I693" t="s">
        <v>18</v>
      </c>
      <c r="J693">
        <v>9</v>
      </c>
      <c r="K693">
        <v>7</v>
      </c>
      <c r="L693">
        <v>5</v>
      </c>
      <c r="M693">
        <v>1</v>
      </c>
    </row>
    <row r="694" spans="1:13" x14ac:dyDescent="0.3">
      <c r="A694">
        <v>15</v>
      </c>
      <c r="B694" t="s">
        <v>16</v>
      </c>
      <c r="C694">
        <v>5.7</v>
      </c>
      <c r="D694" t="s">
        <v>14</v>
      </c>
      <c r="E694">
        <v>8.4</v>
      </c>
      <c r="F694">
        <v>1.3</v>
      </c>
      <c r="G694">
        <v>2.48</v>
      </c>
      <c r="H694">
        <v>0.9</v>
      </c>
      <c r="I694" t="s">
        <v>18</v>
      </c>
      <c r="J694">
        <v>5</v>
      </c>
      <c r="K694">
        <v>2</v>
      </c>
      <c r="L694">
        <v>4</v>
      </c>
      <c r="M694">
        <v>0</v>
      </c>
    </row>
    <row r="695" spans="1:13" x14ac:dyDescent="0.3">
      <c r="A695">
        <v>16</v>
      </c>
      <c r="B695" t="s">
        <v>16</v>
      </c>
      <c r="C695">
        <v>4</v>
      </c>
      <c r="D695" t="s">
        <v>17</v>
      </c>
      <c r="E695">
        <v>5.4</v>
      </c>
      <c r="F695">
        <v>2.7</v>
      </c>
      <c r="G695">
        <v>2.88</v>
      </c>
      <c r="H695">
        <v>1.2</v>
      </c>
      <c r="I695" t="s">
        <v>19</v>
      </c>
      <c r="J695">
        <v>4</v>
      </c>
      <c r="K695">
        <v>10</v>
      </c>
      <c r="L695">
        <v>1</v>
      </c>
      <c r="M695">
        <v>0</v>
      </c>
    </row>
    <row r="696" spans="1:13" x14ac:dyDescent="0.3">
      <c r="A696">
        <v>13</v>
      </c>
      <c r="B696" t="s">
        <v>16</v>
      </c>
      <c r="C696">
        <v>3.5</v>
      </c>
      <c r="D696" t="s">
        <v>14</v>
      </c>
      <c r="E696">
        <v>5.3</v>
      </c>
      <c r="F696">
        <v>1.7</v>
      </c>
      <c r="G696">
        <v>2.2000000000000002</v>
      </c>
      <c r="H696">
        <v>0.8</v>
      </c>
      <c r="I696" t="s">
        <v>18</v>
      </c>
      <c r="J696">
        <v>6</v>
      </c>
      <c r="K696">
        <v>10</v>
      </c>
      <c r="L696">
        <v>8</v>
      </c>
      <c r="M696">
        <v>0</v>
      </c>
    </row>
    <row r="697" spans="1:13" x14ac:dyDescent="0.3">
      <c r="A697">
        <v>15</v>
      </c>
      <c r="B697" t="s">
        <v>16</v>
      </c>
      <c r="C697">
        <v>4.2</v>
      </c>
      <c r="D697" t="s">
        <v>17</v>
      </c>
      <c r="E697">
        <v>5.5</v>
      </c>
      <c r="F697">
        <v>1.3</v>
      </c>
      <c r="G697">
        <v>3.49</v>
      </c>
      <c r="H697">
        <v>0.5</v>
      </c>
      <c r="I697" t="s">
        <v>15</v>
      </c>
      <c r="J697">
        <v>2</v>
      </c>
      <c r="K697">
        <v>5</v>
      </c>
      <c r="L697">
        <v>2</v>
      </c>
      <c r="M697">
        <v>0</v>
      </c>
    </row>
    <row r="698" spans="1:13" x14ac:dyDescent="0.3">
      <c r="A698">
        <v>19</v>
      </c>
      <c r="B698" t="s">
        <v>16</v>
      </c>
      <c r="C698">
        <v>3.9</v>
      </c>
      <c r="D698" t="s">
        <v>17</v>
      </c>
      <c r="E698">
        <v>7.4</v>
      </c>
      <c r="F698">
        <v>2.5</v>
      </c>
      <c r="G698">
        <v>3.74</v>
      </c>
      <c r="H698">
        <v>0.3</v>
      </c>
      <c r="I698" t="s">
        <v>19</v>
      </c>
      <c r="J698">
        <v>5</v>
      </c>
      <c r="K698">
        <v>8</v>
      </c>
      <c r="L698">
        <v>3</v>
      </c>
      <c r="M698">
        <v>0</v>
      </c>
    </row>
    <row r="699" spans="1:13" x14ac:dyDescent="0.3">
      <c r="A699">
        <v>17</v>
      </c>
      <c r="B699" t="s">
        <v>16</v>
      </c>
      <c r="C699">
        <v>6.7</v>
      </c>
      <c r="D699" t="s">
        <v>14</v>
      </c>
      <c r="E699">
        <v>4.3</v>
      </c>
      <c r="F699">
        <v>0.6</v>
      </c>
      <c r="G699">
        <v>3.76</v>
      </c>
      <c r="H699">
        <v>0</v>
      </c>
      <c r="I699" t="s">
        <v>15</v>
      </c>
      <c r="J699">
        <v>2</v>
      </c>
      <c r="K699">
        <v>1</v>
      </c>
      <c r="L699">
        <v>7</v>
      </c>
      <c r="M699">
        <v>0</v>
      </c>
    </row>
    <row r="700" spans="1:13" x14ac:dyDescent="0.3">
      <c r="A700">
        <v>15</v>
      </c>
      <c r="B700" t="s">
        <v>13</v>
      </c>
      <c r="C700">
        <v>6.7</v>
      </c>
      <c r="D700" t="s">
        <v>20</v>
      </c>
      <c r="E700">
        <v>4.3</v>
      </c>
      <c r="F700">
        <v>1.8</v>
      </c>
      <c r="G700">
        <v>3.69</v>
      </c>
      <c r="H700">
        <v>0.7</v>
      </c>
      <c r="I700" t="s">
        <v>18</v>
      </c>
      <c r="J700">
        <v>2</v>
      </c>
      <c r="K700">
        <v>8</v>
      </c>
      <c r="L700">
        <v>7</v>
      </c>
      <c r="M700">
        <v>0</v>
      </c>
    </row>
    <row r="701" spans="1:13" x14ac:dyDescent="0.3">
      <c r="A701">
        <v>14</v>
      </c>
      <c r="B701" t="s">
        <v>16</v>
      </c>
      <c r="C701">
        <v>3.4</v>
      </c>
      <c r="D701" t="s">
        <v>14</v>
      </c>
      <c r="E701">
        <v>5.6</v>
      </c>
      <c r="F701">
        <v>1.7</v>
      </c>
      <c r="G701">
        <v>3.38</v>
      </c>
      <c r="H701">
        <v>0.3</v>
      </c>
      <c r="I701" t="s">
        <v>18</v>
      </c>
      <c r="J701">
        <v>9</v>
      </c>
      <c r="K701">
        <v>3</v>
      </c>
      <c r="L701">
        <v>1</v>
      </c>
      <c r="M701">
        <v>0</v>
      </c>
    </row>
    <row r="702" spans="1:13" x14ac:dyDescent="0.3">
      <c r="A702">
        <v>16</v>
      </c>
      <c r="B702" t="s">
        <v>13</v>
      </c>
      <c r="C702">
        <v>5</v>
      </c>
      <c r="D702" t="s">
        <v>17</v>
      </c>
      <c r="E702">
        <v>4.3</v>
      </c>
      <c r="F702">
        <v>0.7</v>
      </c>
      <c r="G702">
        <v>3.68</v>
      </c>
      <c r="H702">
        <v>1.2</v>
      </c>
      <c r="I702" t="s">
        <v>15</v>
      </c>
      <c r="J702">
        <v>6</v>
      </c>
      <c r="K702">
        <v>2</v>
      </c>
      <c r="L702">
        <v>4</v>
      </c>
      <c r="M702">
        <v>0</v>
      </c>
    </row>
    <row r="703" spans="1:13" x14ac:dyDescent="0.3">
      <c r="A703">
        <v>18</v>
      </c>
      <c r="B703" t="s">
        <v>16</v>
      </c>
      <c r="C703">
        <v>3.8</v>
      </c>
      <c r="D703" t="s">
        <v>14</v>
      </c>
      <c r="E703">
        <v>5.9</v>
      </c>
      <c r="F703">
        <v>1</v>
      </c>
      <c r="G703">
        <v>2.2200000000000002</v>
      </c>
      <c r="H703">
        <v>0.6</v>
      </c>
      <c r="I703" t="s">
        <v>15</v>
      </c>
      <c r="J703">
        <v>9</v>
      </c>
      <c r="K703">
        <v>10</v>
      </c>
      <c r="L703">
        <v>9</v>
      </c>
      <c r="M703">
        <v>0</v>
      </c>
    </row>
    <row r="704" spans="1:13" x14ac:dyDescent="0.3">
      <c r="A704">
        <v>15</v>
      </c>
      <c r="B704" t="s">
        <v>16</v>
      </c>
      <c r="C704">
        <v>7.3</v>
      </c>
      <c r="D704" t="s">
        <v>17</v>
      </c>
      <c r="E704">
        <v>7.3</v>
      </c>
      <c r="F704">
        <v>2.8</v>
      </c>
      <c r="G704">
        <v>2.46</v>
      </c>
      <c r="H704">
        <v>0.3</v>
      </c>
      <c r="I704" t="s">
        <v>15</v>
      </c>
      <c r="J704">
        <v>2</v>
      </c>
      <c r="K704">
        <v>7</v>
      </c>
      <c r="L704">
        <v>5</v>
      </c>
      <c r="M704">
        <v>0</v>
      </c>
    </row>
    <row r="705" spans="1:13" x14ac:dyDescent="0.3">
      <c r="A705">
        <v>18</v>
      </c>
      <c r="B705" t="s">
        <v>16</v>
      </c>
      <c r="C705">
        <v>7.2</v>
      </c>
      <c r="D705" t="s">
        <v>17</v>
      </c>
      <c r="E705">
        <v>5</v>
      </c>
      <c r="F705">
        <v>1.4</v>
      </c>
      <c r="G705">
        <v>3.65</v>
      </c>
      <c r="H705">
        <v>1.1000000000000001</v>
      </c>
      <c r="I705" t="s">
        <v>15</v>
      </c>
      <c r="J705">
        <v>8</v>
      </c>
      <c r="K705">
        <v>8</v>
      </c>
      <c r="L705">
        <v>4</v>
      </c>
      <c r="M705">
        <v>1</v>
      </c>
    </row>
    <row r="706" spans="1:13" x14ac:dyDescent="0.3">
      <c r="A706">
        <v>15</v>
      </c>
      <c r="B706" t="s">
        <v>16</v>
      </c>
      <c r="C706">
        <v>3.1</v>
      </c>
      <c r="D706" t="s">
        <v>20</v>
      </c>
      <c r="E706">
        <v>4.2</v>
      </c>
      <c r="F706">
        <v>2.1</v>
      </c>
      <c r="G706">
        <v>3.21</v>
      </c>
      <c r="H706">
        <v>1.1000000000000001</v>
      </c>
      <c r="I706" t="s">
        <v>19</v>
      </c>
      <c r="J706">
        <v>8</v>
      </c>
      <c r="K706">
        <v>2</v>
      </c>
      <c r="L706">
        <v>10</v>
      </c>
      <c r="M706">
        <v>0</v>
      </c>
    </row>
    <row r="707" spans="1:13" x14ac:dyDescent="0.3">
      <c r="A707">
        <v>15</v>
      </c>
      <c r="B707" t="s">
        <v>16</v>
      </c>
      <c r="C707">
        <v>8</v>
      </c>
      <c r="D707" t="s">
        <v>14</v>
      </c>
      <c r="E707">
        <v>4.4000000000000004</v>
      </c>
      <c r="F707">
        <v>0.7</v>
      </c>
      <c r="G707">
        <v>2.62</v>
      </c>
      <c r="H707">
        <v>1.6</v>
      </c>
      <c r="I707" t="s">
        <v>18</v>
      </c>
      <c r="J707">
        <v>6</v>
      </c>
      <c r="K707">
        <v>7</v>
      </c>
      <c r="L707">
        <v>2</v>
      </c>
      <c r="M707">
        <v>0</v>
      </c>
    </row>
    <row r="708" spans="1:13" x14ac:dyDescent="0.3">
      <c r="A708">
        <v>15</v>
      </c>
      <c r="B708" t="s">
        <v>13</v>
      </c>
      <c r="C708">
        <v>4.3</v>
      </c>
      <c r="D708" t="s">
        <v>14</v>
      </c>
      <c r="E708">
        <v>7.5</v>
      </c>
      <c r="F708">
        <v>1.1000000000000001</v>
      </c>
      <c r="G708">
        <v>2.06</v>
      </c>
      <c r="H708">
        <v>1.8</v>
      </c>
      <c r="I708" t="s">
        <v>19</v>
      </c>
      <c r="J708">
        <v>5</v>
      </c>
      <c r="K708">
        <v>7</v>
      </c>
      <c r="L708">
        <v>2</v>
      </c>
      <c r="M708">
        <v>0</v>
      </c>
    </row>
    <row r="709" spans="1:13" x14ac:dyDescent="0.3">
      <c r="A709">
        <v>14</v>
      </c>
      <c r="B709" t="s">
        <v>16</v>
      </c>
      <c r="C709">
        <v>4</v>
      </c>
      <c r="D709" t="s">
        <v>17</v>
      </c>
      <c r="E709">
        <v>5.0999999999999996</v>
      </c>
      <c r="F709">
        <v>1.1000000000000001</v>
      </c>
      <c r="G709">
        <v>3.98</v>
      </c>
      <c r="H709">
        <v>1.3</v>
      </c>
      <c r="I709" t="s">
        <v>19</v>
      </c>
      <c r="J709">
        <v>5</v>
      </c>
      <c r="K709">
        <v>4</v>
      </c>
      <c r="L709">
        <v>9</v>
      </c>
      <c r="M709">
        <v>0</v>
      </c>
    </row>
    <row r="710" spans="1:13" x14ac:dyDescent="0.3">
      <c r="A710">
        <v>15</v>
      </c>
      <c r="B710" t="s">
        <v>13</v>
      </c>
      <c r="C710">
        <v>6.9</v>
      </c>
      <c r="D710" t="s">
        <v>17</v>
      </c>
      <c r="E710">
        <v>5.6</v>
      </c>
      <c r="F710">
        <v>1.4</v>
      </c>
      <c r="G710">
        <v>2.09</v>
      </c>
      <c r="H710">
        <v>0.7</v>
      </c>
      <c r="I710" t="s">
        <v>15</v>
      </c>
      <c r="J710">
        <v>9</v>
      </c>
      <c r="K710">
        <v>5</v>
      </c>
      <c r="L710">
        <v>9</v>
      </c>
      <c r="M710">
        <v>0</v>
      </c>
    </row>
    <row r="711" spans="1:13" x14ac:dyDescent="0.3">
      <c r="A711">
        <v>13</v>
      </c>
      <c r="B711" t="s">
        <v>13</v>
      </c>
      <c r="C711">
        <v>7</v>
      </c>
      <c r="D711" t="s">
        <v>17</v>
      </c>
      <c r="E711">
        <v>4.4000000000000004</v>
      </c>
      <c r="F711">
        <v>0.9</v>
      </c>
      <c r="G711">
        <v>3.67</v>
      </c>
      <c r="H711">
        <v>0.4</v>
      </c>
      <c r="I711" t="s">
        <v>15</v>
      </c>
      <c r="J711">
        <v>5</v>
      </c>
      <c r="K711">
        <v>3</v>
      </c>
      <c r="L711">
        <v>6</v>
      </c>
      <c r="M711">
        <v>0</v>
      </c>
    </row>
    <row r="712" spans="1:13" x14ac:dyDescent="0.3">
      <c r="A712">
        <v>13</v>
      </c>
      <c r="B712" t="s">
        <v>13</v>
      </c>
      <c r="C712">
        <v>6.2</v>
      </c>
      <c r="D712" t="s">
        <v>14</v>
      </c>
      <c r="E712">
        <v>8.6</v>
      </c>
      <c r="F712">
        <v>1.8</v>
      </c>
      <c r="G712">
        <v>2.19</v>
      </c>
      <c r="H712">
        <v>0.7</v>
      </c>
      <c r="I712" t="s">
        <v>18</v>
      </c>
      <c r="J712">
        <v>8</v>
      </c>
      <c r="K712">
        <v>4</v>
      </c>
      <c r="L712">
        <v>7</v>
      </c>
      <c r="M712">
        <v>0</v>
      </c>
    </row>
    <row r="713" spans="1:13" x14ac:dyDescent="0.3">
      <c r="A713">
        <v>15</v>
      </c>
      <c r="B713" t="s">
        <v>13</v>
      </c>
      <c r="C713">
        <v>7.7</v>
      </c>
      <c r="D713" t="s">
        <v>14</v>
      </c>
      <c r="E713">
        <v>8</v>
      </c>
      <c r="F713">
        <v>1.3</v>
      </c>
      <c r="G713">
        <v>3.78</v>
      </c>
      <c r="H713">
        <v>1.1000000000000001</v>
      </c>
      <c r="I713" t="s">
        <v>19</v>
      </c>
      <c r="J713">
        <v>1</v>
      </c>
      <c r="K713">
        <v>6</v>
      </c>
      <c r="L713">
        <v>5</v>
      </c>
      <c r="M713">
        <v>0</v>
      </c>
    </row>
    <row r="714" spans="1:13" x14ac:dyDescent="0.3">
      <c r="A714">
        <v>19</v>
      </c>
      <c r="B714" t="s">
        <v>16</v>
      </c>
      <c r="C714">
        <v>5.0999999999999996</v>
      </c>
      <c r="D714" t="s">
        <v>20</v>
      </c>
      <c r="E714">
        <v>6.3</v>
      </c>
      <c r="F714">
        <v>2.2999999999999998</v>
      </c>
      <c r="G714">
        <v>2.5499999999999998</v>
      </c>
      <c r="H714">
        <v>2</v>
      </c>
      <c r="I714" t="s">
        <v>19</v>
      </c>
      <c r="J714">
        <v>6</v>
      </c>
      <c r="K714">
        <v>9</v>
      </c>
      <c r="L714">
        <v>7</v>
      </c>
      <c r="M714">
        <v>0</v>
      </c>
    </row>
    <row r="715" spans="1:13" x14ac:dyDescent="0.3">
      <c r="A715">
        <v>15</v>
      </c>
      <c r="B715" t="s">
        <v>13</v>
      </c>
      <c r="C715">
        <v>1</v>
      </c>
      <c r="D715" t="s">
        <v>17</v>
      </c>
      <c r="E715">
        <v>8.5</v>
      </c>
      <c r="F715">
        <v>2</v>
      </c>
      <c r="G715">
        <v>3.77</v>
      </c>
      <c r="H715">
        <v>1.9</v>
      </c>
      <c r="I715" t="s">
        <v>18</v>
      </c>
      <c r="J715">
        <v>4</v>
      </c>
      <c r="K715">
        <v>1</v>
      </c>
      <c r="L715">
        <v>7</v>
      </c>
      <c r="M715">
        <v>0</v>
      </c>
    </row>
    <row r="716" spans="1:13" x14ac:dyDescent="0.3">
      <c r="A716">
        <v>15</v>
      </c>
      <c r="B716" t="s">
        <v>16</v>
      </c>
      <c r="C716">
        <v>1.1000000000000001</v>
      </c>
      <c r="D716" t="s">
        <v>14</v>
      </c>
      <c r="E716">
        <v>4.5999999999999996</v>
      </c>
      <c r="F716">
        <v>1.8</v>
      </c>
      <c r="G716">
        <v>2.35</v>
      </c>
      <c r="H716">
        <v>1.1000000000000001</v>
      </c>
      <c r="I716" t="s">
        <v>19</v>
      </c>
      <c r="J716">
        <v>10</v>
      </c>
      <c r="K716">
        <v>6</v>
      </c>
      <c r="L716">
        <v>6</v>
      </c>
      <c r="M716">
        <v>0</v>
      </c>
    </row>
    <row r="717" spans="1:13" x14ac:dyDescent="0.3">
      <c r="A717">
        <v>13</v>
      </c>
      <c r="B717" t="s">
        <v>16</v>
      </c>
      <c r="C717">
        <v>7</v>
      </c>
      <c r="D717" t="s">
        <v>14</v>
      </c>
      <c r="E717">
        <v>4.9000000000000004</v>
      </c>
      <c r="F717">
        <v>1.2</v>
      </c>
      <c r="G717">
        <v>3.61</v>
      </c>
      <c r="H717">
        <v>0.2</v>
      </c>
      <c r="I717" t="s">
        <v>19</v>
      </c>
      <c r="J717">
        <v>2</v>
      </c>
      <c r="K717">
        <v>3</v>
      </c>
      <c r="L717">
        <v>5</v>
      </c>
      <c r="M717">
        <v>0</v>
      </c>
    </row>
    <row r="718" spans="1:13" x14ac:dyDescent="0.3">
      <c r="A718">
        <v>15</v>
      </c>
      <c r="B718" t="s">
        <v>16</v>
      </c>
      <c r="C718">
        <v>2.7</v>
      </c>
      <c r="D718" t="s">
        <v>20</v>
      </c>
      <c r="E718">
        <v>7.8</v>
      </c>
      <c r="F718">
        <v>1.8</v>
      </c>
      <c r="G718">
        <v>3.9</v>
      </c>
      <c r="H718">
        <v>1.4</v>
      </c>
      <c r="I718" t="s">
        <v>15</v>
      </c>
      <c r="J718">
        <v>5</v>
      </c>
      <c r="K718">
        <v>8</v>
      </c>
      <c r="L718">
        <v>9</v>
      </c>
      <c r="M718">
        <v>0</v>
      </c>
    </row>
    <row r="719" spans="1:13" x14ac:dyDescent="0.3">
      <c r="A719">
        <v>18</v>
      </c>
      <c r="B719" t="s">
        <v>13</v>
      </c>
      <c r="C719">
        <v>2.5</v>
      </c>
      <c r="D719" t="s">
        <v>14</v>
      </c>
      <c r="E719">
        <v>4.2</v>
      </c>
      <c r="F719">
        <v>1.4</v>
      </c>
      <c r="G719">
        <v>3.9</v>
      </c>
      <c r="H719">
        <v>0.7</v>
      </c>
      <c r="I719" t="s">
        <v>18</v>
      </c>
      <c r="J719">
        <v>5</v>
      </c>
      <c r="K719">
        <v>2</v>
      </c>
      <c r="L719">
        <v>3</v>
      </c>
      <c r="M719">
        <v>0</v>
      </c>
    </row>
    <row r="720" spans="1:13" x14ac:dyDescent="0.3">
      <c r="A720">
        <v>18</v>
      </c>
      <c r="B720" t="s">
        <v>16</v>
      </c>
      <c r="C720">
        <v>2.2999999999999998</v>
      </c>
      <c r="D720" t="s">
        <v>17</v>
      </c>
      <c r="E720">
        <v>4.3</v>
      </c>
      <c r="F720">
        <v>0.9</v>
      </c>
      <c r="G720">
        <v>3.27</v>
      </c>
      <c r="H720">
        <v>0.1</v>
      </c>
      <c r="I720" t="s">
        <v>18</v>
      </c>
      <c r="J720">
        <v>5</v>
      </c>
      <c r="K720">
        <v>9</v>
      </c>
      <c r="L720">
        <v>10</v>
      </c>
      <c r="M720">
        <v>0</v>
      </c>
    </row>
    <row r="721" spans="1:13" x14ac:dyDescent="0.3">
      <c r="A721">
        <v>17</v>
      </c>
      <c r="B721" t="s">
        <v>16</v>
      </c>
      <c r="C721">
        <v>2.7</v>
      </c>
      <c r="D721" t="s">
        <v>17</v>
      </c>
      <c r="E721">
        <v>6.6</v>
      </c>
      <c r="F721">
        <v>1.6</v>
      </c>
      <c r="G721">
        <v>3.36</v>
      </c>
      <c r="H721">
        <v>1.6</v>
      </c>
      <c r="I721" t="s">
        <v>18</v>
      </c>
      <c r="J721">
        <v>3</v>
      </c>
      <c r="K721">
        <v>1</v>
      </c>
      <c r="L721">
        <v>2</v>
      </c>
      <c r="M721">
        <v>0</v>
      </c>
    </row>
    <row r="722" spans="1:13" x14ac:dyDescent="0.3">
      <c r="A722">
        <v>14</v>
      </c>
      <c r="B722" t="s">
        <v>13</v>
      </c>
      <c r="C722">
        <v>3.2</v>
      </c>
      <c r="D722" t="s">
        <v>14</v>
      </c>
      <c r="E722">
        <v>5.4</v>
      </c>
      <c r="F722">
        <v>2.6</v>
      </c>
      <c r="G722">
        <v>3.18</v>
      </c>
      <c r="H722">
        <v>0.9</v>
      </c>
      <c r="I722" t="s">
        <v>15</v>
      </c>
      <c r="J722">
        <v>9</v>
      </c>
      <c r="K722">
        <v>1</v>
      </c>
      <c r="L722">
        <v>7</v>
      </c>
      <c r="M722">
        <v>0</v>
      </c>
    </row>
    <row r="723" spans="1:13" x14ac:dyDescent="0.3">
      <c r="A723">
        <v>18</v>
      </c>
      <c r="B723" t="s">
        <v>16</v>
      </c>
      <c r="C723">
        <v>3.8</v>
      </c>
      <c r="D723" t="s">
        <v>20</v>
      </c>
      <c r="E723">
        <v>5.3</v>
      </c>
      <c r="F723">
        <v>2.2999999999999998</v>
      </c>
      <c r="G723">
        <v>3.42</v>
      </c>
      <c r="H723">
        <v>0.4</v>
      </c>
      <c r="I723" t="s">
        <v>15</v>
      </c>
      <c r="J723">
        <v>4</v>
      </c>
      <c r="K723">
        <v>8</v>
      </c>
      <c r="L723">
        <v>2</v>
      </c>
      <c r="M723">
        <v>0</v>
      </c>
    </row>
    <row r="724" spans="1:13" x14ac:dyDescent="0.3">
      <c r="A724">
        <v>14</v>
      </c>
      <c r="B724" t="s">
        <v>16</v>
      </c>
      <c r="C724">
        <v>4.0999999999999996</v>
      </c>
      <c r="D724" t="s">
        <v>17</v>
      </c>
      <c r="E724">
        <v>5.4</v>
      </c>
      <c r="F724">
        <v>2.4</v>
      </c>
      <c r="G724">
        <v>2.71</v>
      </c>
      <c r="H724">
        <v>1.3</v>
      </c>
      <c r="I724" t="s">
        <v>15</v>
      </c>
      <c r="J724">
        <v>9</v>
      </c>
      <c r="K724">
        <v>5</v>
      </c>
      <c r="L724">
        <v>10</v>
      </c>
      <c r="M724">
        <v>0</v>
      </c>
    </row>
    <row r="725" spans="1:13" x14ac:dyDescent="0.3">
      <c r="A725">
        <v>13</v>
      </c>
      <c r="B725" t="s">
        <v>16</v>
      </c>
      <c r="C725">
        <v>2.2999999999999998</v>
      </c>
      <c r="D725" t="s">
        <v>17</v>
      </c>
      <c r="E725">
        <v>6.6</v>
      </c>
      <c r="F725">
        <v>1.4</v>
      </c>
      <c r="G725">
        <v>3.74</v>
      </c>
      <c r="H725">
        <v>1.5</v>
      </c>
      <c r="I725" t="s">
        <v>19</v>
      </c>
      <c r="J725">
        <v>6</v>
      </c>
      <c r="K725">
        <v>10</v>
      </c>
      <c r="L725">
        <v>1</v>
      </c>
      <c r="M725">
        <v>0</v>
      </c>
    </row>
    <row r="726" spans="1:13" x14ac:dyDescent="0.3">
      <c r="A726">
        <v>15</v>
      </c>
      <c r="B726" t="s">
        <v>13</v>
      </c>
      <c r="C726">
        <v>8</v>
      </c>
      <c r="D726" t="s">
        <v>14</v>
      </c>
      <c r="E726">
        <v>4.7</v>
      </c>
      <c r="F726">
        <v>0.6</v>
      </c>
      <c r="G726">
        <v>3.01</v>
      </c>
      <c r="H726">
        <v>1.8</v>
      </c>
      <c r="I726" t="s">
        <v>19</v>
      </c>
      <c r="J726">
        <v>2</v>
      </c>
      <c r="K726">
        <v>9</v>
      </c>
      <c r="L726">
        <v>10</v>
      </c>
      <c r="M726">
        <v>0</v>
      </c>
    </row>
    <row r="727" spans="1:13" x14ac:dyDescent="0.3">
      <c r="A727">
        <v>15</v>
      </c>
      <c r="B727" t="s">
        <v>16</v>
      </c>
      <c r="C727">
        <v>2.9</v>
      </c>
      <c r="D727" t="s">
        <v>17</v>
      </c>
      <c r="E727">
        <v>6.4</v>
      </c>
      <c r="F727">
        <v>0.7</v>
      </c>
      <c r="G727">
        <v>3.41</v>
      </c>
      <c r="H727">
        <v>1.6</v>
      </c>
      <c r="I727" t="s">
        <v>15</v>
      </c>
      <c r="J727">
        <v>3</v>
      </c>
      <c r="K727">
        <v>10</v>
      </c>
      <c r="L727">
        <v>7</v>
      </c>
      <c r="M727">
        <v>0</v>
      </c>
    </row>
    <row r="728" spans="1:13" x14ac:dyDescent="0.3">
      <c r="A728">
        <v>19</v>
      </c>
      <c r="B728" t="s">
        <v>16</v>
      </c>
      <c r="C728">
        <v>4.4000000000000004</v>
      </c>
      <c r="D728" t="s">
        <v>20</v>
      </c>
      <c r="E728">
        <v>5</v>
      </c>
      <c r="F728">
        <v>2.8</v>
      </c>
      <c r="G728">
        <v>2.69</v>
      </c>
      <c r="H728">
        <v>0.4</v>
      </c>
      <c r="I728" t="s">
        <v>18</v>
      </c>
      <c r="J728">
        <v>3</v>
      </c>
      <c r="K728">
        <v>8</v>
      </c>
      <c r="L728">
        <v>8</v>
      </c>
      <c r="M728">
        <v>0</v>
      </c>
    </row>
    <row r="729" spans="1:13" x14ac:dyDescent="0.3">
      <c r="A729">
        <v>18</v>
      </c>
      <c r="B729" t="s">
        <v>16</v>
      </c>
      <c r="C729">
        <v>3.1</v>
      </c>
      <c r="D729" t="s">
        <v>20</v>
      </c>
      <c r="E729">
        <v>6.8</v>
      </c>
      <c r="F729">
        <v>2</v>
      </c>
      <c r="G729">
        <v>3.77</v>
      </c>
      <c r="H729">
        <v>1.4</v>
      </c>
      <c r="I729" t="s">
        <v>15</v>
      </c>
      <c r="J729">
        <v>1</v>
      </c>
      <c r="K729">
        <v>3</v>
      </c>
      <c r="L729">
        <v>4</v>
      </c>
      <c r="M729">
        <v>0</v>
      </c>
    </row>
    <row r="730" spans="1:13" x14ac:dyDescent="0.3">
      <c r="A730">
        <v>18</v>
      </c>
      <c r="B730" t="s">
        <v>13</v>
      </c>
      <c r="C730">
        <v>7.9</v>
      </c>
      <c r="D730" t="s">
        <v>17</v>
      </c>
      <c r="E730">
        <v>7.5</v>
      </c>
      <c r="F730">
        <v>2</v>
      </c>
      <c r="G730">
        <v>2.77</v>
      </c>
      <c r="H730">
        <v>0.9</v>
      </c>
      <c r="I730" t="s">
        <v>15</v>
      </c>
      <c r="J730">
        <v>10</v>
      </c>
      <c r="K730">
        <v>4</v>
      </c>
      <c r="L730">
        <v>4</v>
      </c>
      <c r="M730">
        <v>0</v>
      </c>
    </row>
    <row r="731" spans="1:13" x14ac:dyDescent="0.3">
      <c r="A731">
        <v>14</v>
      </c>
      <c r="B731" t="s">
        <v>16</v>
      </c>
      <c r="C731">
        <v>1.2</v>
      </c>
      <c r="D731" t="s">
        <v>20</v>
      </c>
      <c r="E731">
        <v>7</v>
      </c>
      <c r="F731">
        <v>2.2000000000000002</v>
      </c>
      <c r="G731">
        <v>3.83</v>
      </c>
      <c r="H731">
        <v>0.8</v>
      </c>
      <c r="I731" t="s">
        <v>15</v>
      </c>
      <c r="J731">
        <v>6</v>
      </c>
      <c r="K731">
        <v>10</v>
      </c>
      <c r="L731">
        <v>5</v>
      </c>
      <c r="M731">
        <v>0</v>
      </c>
    </row>
    <row r="732" spans="1:13" x14ac:dyDescent="0.3">
      <c r="A732">
        <v>19</v>
      </c>
      <c r="B732" t="s">
        <v>16</v>
      </c>
      <c r="C732">
        <v>4</v>
      </c>
      <c r="D732" t="s">
        <v>20</v>
      </c>
      <c r="E732">
        <v>7.4</v>
      </c>
      <c r="F732">
        <v>2.7</v>
      </c>
      <c r="G732">
        <v>3.41</v>
      </c>
      <c r="H732">
        <v>1.4</v>
      </c>
      <c r="I732" t="s">
        <v>19</v>
      </c>
      <c r="J732">
        <v>9</v>
      </c>
      <c r="K732">
        <v>4</v>
      </c>
      <c r="L732">
        <v>7</v>
      </c>
      <c r="M732">
        <v>0</v>
      </c>
    </row>
    <row r="733" spans="1:13" x14ac:dyDescent="0.3">
      <c r="A733">
        <v>18</v>
      </c>
      <c r="B733" t="s">
        <v>13</v>
      </c>
      <c r="C733">
        <v>1</v>
      </c>
      <c r="D733" t="s">
        <v>14</v>
      </c>
      <c r="E733">
        <v>7.1</v>
      </c>
      <c r="F733">
        <v>0.8</v>
      </c>
      <c r="G733">
        <v>2.4700000000000002</v>
      </c>
      <c r="H733">
        <v>1.9</v>
      </c>
      <c r="I733" t="s">
        <v>18</v>
      </c>
      <c r="J733">
        <v>4</v>
      </c>
      <c r="K733">
        <v>2</v>
      </c>
      <c r="L733">
        <v>4</v>
      </c>
      <c r="M733">
        <v>0</v>
      </c>
    </row>
    <row r="734" spans="1:13" x14ac:dyDescent="0.3">
      <c r="A734">
        <v>19</v>
      </c>
      <c r="B734" t="s">
        <v>16</v>
      </c>
      <c r="C734">
        <v>7.9</v>
      </c>
      <c r="D734" t="s">
        <v>14</v>
      </c>
      <c r="E734">
        <v>5.7</v>
      </c>
      <c r="F734">
        <v>2.4</v>
      </c>
      <c r="G734">
        <v>3.59</v>
      </c>
      <c r="H734">
        <v>1.9</v>
      </c>
      <c r="I734" t="s">
        <v>18</v>
      </c>
      <c r="J734">
        <v>1</v>
      </c>
      <c r="K734">
        <v>9</v>
      </c>
      <c r="L734">
        <v>9</v>
      </c>
      <c r="M734">
        <v>0</v>
      </c>
    </row>
    <row r="735" spans="1:13" x14ac:dyDescent="0.3">
      <c r="A735">
        <v>14</v>
      </c>
      <c r="B735" t="s">
        <v>13</v>
      </c>
      <c r="C735">
        <v>6.2</v>
      </c>
      <c r="D735" t="s">
        <v>17</v>
      </c>
      <c r="E735">
        <v>4.4000000000000004</v>
      </c>
      <c r="F735">
        <v>0.7</v>
      </c>
      <c r="G735">
        <v>3.45</v>
      </c>
      <c r="H735">
        <v>0.5</v>
      </c>
      <c r="I735" t="s">
        <v>19</v>
      </c>
      <c r="J735">
        <v>9</v>
      </c>
      <c r="K735">
        <v>10</v>
      </c>
      <c r="L735">
        <v>3</v>
      </c>
      <c r="M735">
        <v>1</v>
      </c>
    </row>
    <row r="736" spans="1:13" x14ac:dyDescent="0.3">
      <c r="A736">
        <v>16</v>
      </c>
      <c r="B736" t="s">
        <v>16</v>
      </c>
      <c r="C736">
        <v>2.5</v>
      </c>
      <c r="D736" t="s">
        <v>14</v>
      </c>
      <c r="E736">
        <v>5.4</v>
      </c>
      <c r="F736">
        <v>2.2999999999999998</v>
      </c>
      <c r="G736">
        <v>3.43</v>
      </c>
      <c r="H736">
        <v>0.5</v>
      </c>
      <c r="I736" t="s">
        <v>18</v>
      </c>
      <c r="J736">
        <v>9</v>
      </c>
      <c r="K736">
        <v>1</v>
      </c>
      <c r="L736">
        <v>2</v>
      </c>
      <c r="M736">
        <v>0</v>
      </c>
    </row>
    <row r="737" spans="1:13" x14ac:dyDescent="0.3">
      <c r="A737">
        <v>16</v>
      </c>
      <c r="B737" t="s">
        <v>13</v>
      </c>
      <c r="C737">
        <v>4.7</v>
      </c>
      <c r="D737" t="s">
        <v>20</v>
      </c>
      <c r="E737">
        <v>8.1999999999999993</v>
      </c>
      <c r="F737">
        <v>2.6</v>
      </c>
      <c r="G737">
        <v>3.05</v>
      </c>
      <c r="H737">
        <v>1</v>
      </c>
      <c r="I737" t="s">
        <v>19</v>
      </c>
      <c r="J737">
        <v>4</v>
      </c>
      <c r="K737">
        <v>7</v>
      </c>
      <c r="L737">
        <v>2</v>
      </c>
      <c r="M737">
        <v>0</v>
      </c>
    </row>
    <row r="738" spans="1:13" x14ac:dyDescent="0.3">
      <c r="A738">
        <v>16</v>
      </c>
      <c r="B738" t="s">
        <v>13</v>
      </c>
      <c r="C738">
        <v>6.3</v>
      </c>
      <c r="D738" t="s">
        <v>14</v>
      </c>
      <c r="E738">
        <v>6.5</v>
      </c>
      <c r="F738">
        <v>1</v>
      </c>
      <c r="G738">
        <v>2.52</v>
      </c>
      <c r="H738">
        <v>0.4</v>
      </c>
      <c r="I738" t="s">
        <v>15</v>
      </c>
      <c r="J738">
        <v>1</v>
      </c>
      <c r="K738">
        <v>10</v>
      </c>
      <c r="L738">
        <v>6</v>
      </c>
      <c r="M738">
        <v>0</v>
      </c>
    </row>
    <row r="739" spans="1:13" x14ac:dyDescent="0.3">
      <c r="A739">
        <v>17</v>
      </c>
      <c r="B739" t="s">
        <v>16</v>
      </c>
      <c r="C739">
        <v>7.5</v>
      </c>
      <c r="D739" t="s">
        <v>17</v>
      </c>
      <c r="E739">
        <v>5.4</v>
      </c>
      <c r="F739">
        <v>2.2999999999999998</v>
      </c>
      <c r="G739">
        <v>3.44</v>
      </c>
      <c r="H739">
        <v>0.4</v>
      </c>
      <c r="I739" t="s">
        <v>19</v>
      </c>
      <c r="J739">
        <v>7</v>
      </c>
      <c r="K739">
        <v>9</v>
      </c>
      <c r="L739">
        <v>7</v>
      </c>
      <c r="M739">
        <v>1</v>
      </c>
    </row>
    <row r="740" spans="1:13" x14ac:dyDescent="0.3">
      <c r="A740">
        <v>18</v>
      </c>
      <c r="B740" t="s">
        <v>13</v>
      </c>
      <c r="C740">
        <v>2</v>
      </c>
      <c r="D740" t="s">
        <v>17</v>
      </c>
      <c r="E740">
        <v>8.4</v>
      </c>
      <c r="F740">
        <v>1.5</v>
      </c>
      <c r="G740">
        <v>2.83</v>
      </c>
      <c r="H740">
        <v>1.2</v>
      </c>
      <c r="I740" t="s">
        <v>15</v>
      </c>
      <c r="J740">
        <v>9</v>
      </c>
      <c r="K740">
        <v>4</v>
      </c>
      <c r="L740">
        <v>5</v>
      </c>
      <c r="M740">
        <v>0</v>
      </c>
    </row>
    <row r="741" spans="1:13" x14ac:dyDescent="0.3">
      <c r="A741">
        <v>13</v>
      </c>
      <c r="B741" t="s">
        <v>16</v>
      </c>
      <c r="C741">
        <v>6.3</v>
      </c>
      <c r="D741" t="s">
        <v>14</v>
      </c>
      <c r="E741">
        <v>8.4</v>
      </c>
      <c r="F741">
        <v>1.6</v>
      </c>
      <c r="G741">
        <v>2.0299999999999998</v>
      </c>
      <c r="H741">
        <v>1.5</v>
      </c>
      <c r="I741" t="s">
        <v>19</v>
      </c>
      <c r="J741">
        <v>5</v>
      </c>
      <c r="K741">
        <v>3</v>
      </c>
      <c r="L741">
        <v>9</v>
      </c>
      <c r="M741">
        <v>0</v>
      </c>
    </row>
    <row r="742" spans="1:13" x14ac:dyDescent="0.3">
      <c r="A742">
        <v>16</v>
      </c>
      <c r="B742" t="s">
        <v>13</v>
      </c>
      <c r="C742">
        <v>6.6</v>
      </c>
      <c r="D742" t="s">
        <v>20</v>
      </c>
      <c r="E742">
        <v>8.9</v>
      </c>
      <c r="F742">
        <v>2</v>
      </c>
      <c r="G742">
        <v>3.44</v>
      </c>
      <c r="H742">
        <v>1.7</v>
      </c>
      <c r="I742" t="s">
        <v>15</v>
      </c>
      <c r="J742">
        <v>10</v>
      </c>
      <c r="K742">
        <v>9</v>
      </c>
      <c r="L742">
        <v>3</v>
      </c>
      <c r="M742">
        <v>0</v>
      </c>
    </row>
    <row r="743" spans="1:13" x14ac:dyDescent="0.3">
      <c r="A743">
        <v>19</v>
      </c>
      <c r="B743" t="s">
        <v>16</v>
      </c>
      <c r="C743">
        <v>3.6</v>
      </c>
      <c r="D743" t="s">
        <v>20</v>
      </c>
      <c r="E743">
        <v>5.6</v>
      </c>
      <c r="F743">
        <v>1.7</v>
      </c>
      <c r="G743">
        <v>3.57</v>
      </c>
      <c r="H743">
        <v>1.5</v>
      </c>
      <c r="I743" t="s">
        <v>15</v>
      </c>
      <c r="J743">
        <v>10</v>
      </c>
      <c r="K743">
        <v>4</v>
      </c>
      <c r="L743">
        <v>3</v>
      </c>
      <c r="M743">
        <v>0</v>
      </c>
    </row>
    <row r="744" spans="1:13" x14ac:dyDescent="0.3">
      <c r="A744">
        <v>16</v>
      </c>
      <c r="B744" t="s">
        <v>16</v>
      </c>
      <c r="C744">
        <v>3.2</v>
      </c>
      <c r="D744" t="s">
        <v>20</v>
      </c>
      <c r="E744">
        <v>4.5999999999999996</v>
      </c>
      <c r="F744">
        <v>2.5</v>
      </c>
      <c r="G744">
        <v>2.62</v>
      </c>
      <c r="H744">
        <v>1.8</v>
      </c>
      <c r="I744" t="s">
        <v>15</v>
      </c>
      <c r="J744">
        <v>9</v>
      </c>
      <c r="K744">
        <v>5</v>
      </c>
      <c r="L744">
        <v>1</v>
      </c>
      <c r="M744">
        <v>0</v>
      </c>
    </row>
    <row r="745" spans="1:13" x14ac:dyDescent="0.3">
      <c r="A745">
        <v>13</v>
      </c>
      <c r="B745" t="s">
        <v>16</v>
      </c>
      <c r="C745">
        <v>3.1</v>
      </c>
      <c r="D745" t="s">
        <v>14</v>
      </c>
      <c r="E745">
        <v>6.4</v>
      </c>
      <c r="F745">
        <v>1.6</v>
      </c>
      <c r="G745">
        <v>3.69</v>
      </c>
      <c r="H745">
        <v>0.9</v>
      </c>
      <c r="I745" t="s">
        <v>19</v>
      </c>
      <c r="J745">
        <v>1</v>
      </c>
      <c r="K745">
        <v>2</v>
      </c>
      <c r="L745">
        <v>1</v>
      </c>
      <c r="M745">
        <v>0</v>
      </c>
    </row>
    <row r="746" spans="1:13" x14ac:dyDescent="0.3">
      <c r="A746">
        <v>18</v>
      </c>
      <c r="B746" t="s">
        <v>13</v>
      </c>
      <c r="C746">
        <v>6.7</v>
      </c>
      <c r="D746" t="s">
        <v>14</v>
      </c>
      <c r="E746">
        <v>8.8000000000000007</v>
      </c>
      <c r="F746">
        <v>1.9</v>
      </c>
      <c r="G746">
        <v>2.5499999999999998</v>
      </c>
      <c r="H746">
        <v>1</v>
      </c>
      <c r="I746" t="s">
        <v>15</v>
      </c>
      <c r="J746">
        <v>5</v>
      </c>
      <c r="K746">
        <v>8</v>
      </c>
      <c r="L746">
        <v>3</v>
      </c>
      <c r="M746">
        <v>0</v>
      </c>
    </row>
    <row r="747" spans="1:13" x14ac:dyDescent="0.3">
      <c r="A747">
        <v>17</v>
      </c>
      <c r="B747" t="s">
        <v>13</v>
      </c>
      <c r="C747">
        <v>6.6</v>
      </c>
      <c r="D747" t="s">
        <v>17</v>
      </c>
      <c r="E747">
        <v>8.1999999999999993</v>
      </c>
      <c r="F747">
        <v>0.7</v>
      </c>
      <c r="G747">
        <v>2.88</v>
      </c>
      <c r="H747">
        <v>0.8</v>
      </c>
      <c r="I747" t="s">
        <v>15</v>
      </c>
      <c r="J747">
        <v>1</v>
      </c>
      <c r="K747">
        <v>7</v>
      </c>
      <c r="L747">
        <v>7</v>
      </c>
      <c r="M747">
        <v>0</v>
      </c>
    </row>
    <row r="748" spans="1:13" x14ac:dyDescent="0.3">
      <c r="A748">
        <v>14</v>
      </c>
      <c r="B748" t="s">
        <v>16</v>
      </c>
      <c r="C748">
        <v>7</v>
      </c>
      <c r="D748" t="s">
        <v>14</v>
      </c>
      <c r="E748">
        <v>4.5</v>
      </c>
      <c r="F748">
        <v>1.6</v>
      </c>
      <c r="G748">
        <v>2.83</v>
      </c>
      <c r="H748">
        <v>0.4</v>
      </c>
      <c r="I748" t="s">
        <v>19</v>
      </c>
      <c r="J748">
        <v>8</v>
      </c>
      <c r="K748">
        <v>1</v>
      </c>
      <c r="L748">
        <v>7</v>
      </c>
      <c r="M748">
        <v>0</v>
      </c>
    </row>
    <row r="749" spans="1:13" x14ac:dyDescent="0.3">
      <c r="A749">
        <v>16</v>
      </c>
      <c r="B749" t="s">
        <v>16</v>
      </c>
      <c r="C749">
        <v>4.8</v>
      </c>
      <c r="D749" t="s">
        <v>20</v>
      </c>
      <c r="E749">
        <v>5.0999999999999996</v>
      </c>
      <c r="F749">
        <v>2.1</v>
      </c>
      <c r="G749">
        <v>2.4900000000000002</v>
      </c>
      <c r="H749">
        <v>1.6</v>
      </c>
      <c r="I749" t="s">
        <v>15</v>
      </c>
      <c r="J749">
        <v>4</v>
      </c>
      <c r="K749">
        <v>9</v>
      </c>
      <c r="L749">
        <v>1</v>
      </c>
      <c r="M749">
        <v>0</v>
      </c>
    </row>
    <row r="750" spans="1:13" x14ac:dyDescent="0.3">
      <c r="A750">
        <v>13</v>
      </c>
      <c r="B750" t="s">
        <v>16</v>
      </c>
      <c r="C750">
        <v>5.8</v>
      </c>
      <c r="D750" t="s">
        <v>14</v>
      </c>
      <c r="E750">
        <v>6.3</v>
      </c>
      <c r="F750">
        <v>1.1000000000000001</v>
      </c>
      <c r="G750">
        <v>3.09</v>
      </c>
      <c r="H750">
        <v>0.9</v>
      </c>
      <c r="I750" t="s">
        <v>19</v>
      </c>
      <c r="J750">
        <v>8</v>
      </c>
      <c r="K750">
        <v>4</v>
      </c>
      <c r="L750">
        <v>9</v>
      </c>
      <c r="M750">
        <v>0</v>
      </c>
    </row>
    <row r="751" spans="1:13" x14ac:dyDescent="0.3">
      <c r="A751">
        <v>19</v>
      </c>
      <c r="B751" t="s">
        <v>16</v>
      </c>
      <c r="C751">
        <v>6</v>
      </c>
      <c r="D751" t="s">
        <v>20</v>
      </c>
      <c r="E751">
        <v>6.3</v>
      </c>
      <c r="F751">
        <v>2.8</v>
      </c>
      <c r="G751">
        <v>3.98</v>
      </c>
      <c r="H751">
        <v>2</v>
      </c>
      <c r="I751" t="s">
        <v>19</v>
      </c>
      <c r="J751">
        <v>2</v>
      </c>
      <c r="K751">
        <v>6</v>
      </c>
      <c r="L751">
        <v>2</v>
      </c>
      <c r="M751">
        <v>0</v>
      </c>
    </row>
    <row r="752" spans="1:13" x14ac:dyDescent="0.3">
      <c r="A752">
        <v>15</v>
      </c>
      <c r="B752" t="s">
        <v>13</v>
      </c>
      <c r="C752">
        <v>4</v>
      </c>
      <c r="D752" t="s">
        <v>20</v>
      </c>
      <c r="E752">
        <v>5.2</v>
      </c>
      <c r="F752">
        <v>1.8</v>
      </c>
      <c r="G752">
        <v>3.3</v>
      </c>
      <c r="H752">
        <v>0.7</v>
      </c>
      <c r="I752" t="s">
        <v>19</v>
      </c>
      <c r="J752">
        <v>10</v>
      </c>
      <c r="K752">
        <v>5</v>
      </c>
      <c r="L752">
        <v>1</v>
      </c>
      <c r="M752">
        <v>0</v>
      </c>
    </row>
    <row r="753" spans="1:13" x14ac:dyDescent="0.3">
      <c r="A753">
        <v>14</v>
      </c>
      <c r="B753" t="s">
        <v>16</v>
      </c>
      <c r="C753">
        <v>5.8</v>
      </c>
      <c r="D753" t="s">
        <v>20</v>
      </c>
      <c r="E753">
        <v>4.8</v>
      </c>
      <c r="F753">
        <v>2.6</v>
      </c>
      <c r="G753">
        <v>2.08</v>
      </c>
      <c r="H753">
        <v>0.8</v>
      </c>
      <c r="I753" t="s">
        <v>19</v>
      </c>
      <c r="J753">
        <v>6</v>
      </c>
      <c r="K753">
        <v>4</v>
      </c>
      <c r="L753">
        <v>9</v>
      </c>
      <c r="M753">
        <v>0</v>
      </c>
    </row>
    <row r="754" spans="1:13" x14ac:dyDescent="0.3">
      <c r="A754">
        <v>19</v>
      </c>
      <c r="B754" t="s">
        <v>13</v>
      </c>
      <c r="C754">
        <v>5.2</v>
      </c>
      <c r="D754" t="s">
        <v>14</v>
      </c>
      <c r="E754">
        <v>7.6</v>
      </c>
      <c r="F754">
        <v>1.3</v>
      </c>
      <c r="G754">
        <v>3.89</v>
      </c>
      <c r="H754">
        <v>1.5</v>
      </c>
      <c r="I754" t="s">
        <v>18</v>
      </c>
      <c r="J754">
        <v>4</v>
      </c>
      <c r="K754">
        <v>5</v>
      </c>
      <c r="L754">
        <v>8</v>
      </c>
      <c r="M754">
        <v>0</v>
      </c>
    </row>
    <row r="755" spans="1:13" x14ac:dyDescent="0.3">
      <c r="A755">
        <v>17</v>
      </c>
      <c r="B755" t="s">
        <v>13</v>
      </c>
      <c r="C755">
        <v>2.9</v>
      </c>
      <c r="D755" t="s">
        <v>20</v>
      </c>
      <c r="E755">
        <v>6.7</v>
      </c>
      <c r="F755">
        <v>1.5</v>
      </c>
      <c r="G755">
        <v>3.62</v>
      </c>
      <c r="H755">
        <v>0.8</v>
      </c>
      <c r="I755" t="s">
        <v>19</v>
      </c>
      <c r="J755">
        <v>10</v>
      </c>
      <c r="K755">
        <v>6</v>
      </c>
      <c r="L755">
        <v>4</v>
      </c>
      <c r="M755">
        <v>0</v>
      </c>
    </row>
    <row r="756" spans="1:13" x14ac:dyDescent="0.3">
      <c r="A756">
        <v>18</v>
      </c>
      <c r="B756" t="s">
        <v>16</v>
      </c>
      <c r="C756">
        <v>7.5</v>
      </c>
      <c r="D756" t="s">
        <v>17</v>
      </c>
      <c r="E756">
        <v>7.5</v>
      </c>
      <c r="F756">
        <v>1.4</v>
      </c>
      <c r="G756">
        <v>3.14</v>
      </c>
      <c r="H756">
        <v>2</v>
      </c>
      <c r="I756" t="s">
        <v>15</v>
      </c>
      <c r="J756">
        <v>2</v>
      </c>
      <c r="K756">
        <v>9</v>
      </c>
      <c r="L756">
        <v>2</v>
      </c>
      <c r="M756">
        <v>0</v>
      </c>
    </row>
    <row r="757" spans="1:13" x14ac:dyDescent="0.3">
      <c r="A757">
        <v>13</v>
      </c>
      <c r="B757" t="s">
        <v>16</v>
      </c>
      <c r="C757">
        <v>5.8</v>
      </c>
      <c r="D757" t="s">
        <v>14</v>
      </c>
      <c r="E757">
        <v>6.1</v>
      </c>
      <c r="F757">
        <v>1.2</v>
      </c>
      <c r="G757">
        <v>3.81</v>
      </c>
      <c r="H757">
        <v>1.8</v>
      </c>
      <c r="I757" t="s">
        <v>19</v>
      </c>
      <c r="J757">
        <v>6</v>
      </c>
      <c r="K757">
        <v>10</v>
      </c>
      <c r="L757">
        <v>6</v>
      </c>
      <c r="M757">
        <v>0</v>
      </c>
    </row>
    <row r="758" spans="1:13" x14ac:dyDescent="0.3">
      <c r="A758">
        <v>14</v>
      </c>
      <c r="B758" t="s">
        <v>13</v>
      </c>
      <c r="C758">
        <v>7.6</v>
      </c>
      <c r="D758" t="s">
        <v>14</v>
      </c>
      <c r="E758">
        <v>5.8</v>
      </c>
      <c r="F758">
        <v>1.9</v>
      </c>
      <c r="G758">
        <v>3.49</v>
      </c>
      <c r="H758">
        <v>1.7</v>
      </c>
      <c r="I758" t="s">
        <v>18</v>
      </c>
      <c r="J758">
        <v>10</v>
      </c>
      <c r="K758">
        <v>1</v>
      </c>
      <c r="L758">
        <v>3</v>
      </c>
      <c r="M758">
        <v>0</v>
      </c>
    </row>
    <row r="759" spans="1:13" x14ac:dyDescent="0.3">
      <c r="A759">
        <v>15</v>
      </c>
      <c r="B759" t="s">
        <v>16</v>
      </c>
      <c r="C759">
        <v>1.3</v>
      </c>
      <c r="D759" t="s">
        <v>17</v>
      </c>
      <c r="E759">
        <v>7.6</v>
      </c>
      <c r="F759">
        <v>0.6</v>
      </c>
      <c r="G759">
        <v>3.46</v>
      </c>
      <c r="H759">
        <v>1.9</v>
      </c>
      <c r="I759" t="s">
        <v>15</v>
      </c>
      <c r="J759">
        <v>1</v>
      </c>
      <c r="K759">
        <v>1</v>
      </c>
      <c r="L759">
        <v>4</v>
      </c>
      <c r="M759">
        <v>0</v>
      </c>
    </row>
    <row r="760" spans="1:13" x14ac:dyDescent="0.3">
      <c r="A760">
        <v>15</v>
      </c>
      <c r="B760" t="s">
        <v>13</v>
      </c>
      <c r="C760">
        <v>3.7</v>
      </c>
      <c r="D760" t="s">
        <v>20</v>
      </c>
      <c r="E760">
        <v>5.7</v>
      </c>
      <c r="F760">
        <v>1.3</v>
      </c>
      <c r="G760">
        <v>3.24</v>
      </c>
      <c r="H760">
        <v>0.2</v>
      </c>
      <c r="I760" t="s">
        <v>15</v>
      </c>
      <c r="J760">
        <v>4</v>
      </c>
      <c r="K760">
        <v>9</v>
      </c>
      <c r="L760">
        <v>10</v>
      </c>
      <c r="M760">
        <v>0</v>
      </c>
    </row>
    <row r="761" spans="1:13" x14ac:dyDescent="0.3">
      <c r="A761">
        <v>18</v>
      </c>
      <c r="B761" t="s">
        <v>13</v>
      </c>
      <c r="C761">
        <v>3.6</v>
      </c>
      <c r="D761" t="s">
        <v>14</v>
      </c>
      <c r="E761">
        <v>4.7</v>
      </c>
      <c r="F761">
        <v>2.5</v>
      </c>
      <c r="G761">
        <v>2.73</v>
      </c>
      <c r="H761">
        <v>1.2</v>
      </c>
      <c r="I761" t="s">
        <v>19</v>
      </c>
      <c r="J761">
        <v>9</v>
      </c>
      <c r="K761">
        <v>7</v>
      </c>
      <c r="L761">
        <v>6</v>
      </c>
      <c r="M761">
        <v>0</v>
      </c>
    </row>
    <row r="762" spans="1:13" x14ac:dyDescent="0.3">
      <c r="A762">
        <v>15</v>
      </c>
      <c r="B762" t="s">
        <v>13</v>
      </c>
      <c r="C762">
        <v>6.4</v>
      </c>
      <c r="D762" t="s">
        <v>17</v>
      </c>
      <c r="E762">
        <v>6.9</v>
      </c>
      <c r="F762">
        <v>2.9</v>
      </c>
      <c r="G762">
        <v>2.48</v>
      </c>
      <c r="H762">
        <v>0.9</v>
      </c>
      <c r="I762" t="s">
        <v>15</v>
      </c>
      <c r="J762">
        <v>8</v>
      </c>
      <c r="K762">
        <v>4</v>
      </c>
      <c r="L762">
        <v>8</v>
      </c>
      <c r="M762">
        <v>0</v>
      </c>
    </row>
    <row r="763" spans="1:13" x14ac:dyDescent="0.3">
      <c r="A763">
        <v>13</v>
      </c>
      <c r="B763" t="s">
        <v>13</v>
      </c>
      <c r="C763">
        <v>6</v>
      </c>
      <c r="D763" t="s">
        <v>17</v>
      </c>
      <c r="E763">
        <v>4.8</v>
      </c>
      <c r="F763">
        <v>2.6</v>
      </c>
      <c r="G763">
        <v>2.74</v>
      </c>
      <c r="H763">
        <v>1.6</v>
      </c>
      <c r="I763" t="s">
        <v>18</v>
      </c>
      <c r="J763">
        <v>6</v>
      </c>
      <c r="K763">
        <v>10</v>
      </c>
      <c r="L763">
        <v>8</v>
      </c>
      <c r="M763">
        <v>0</v>
      </c>
    </row>
    <row r="764" spans="1:13" x14ac:dyDescent="0.3">
      <c r="A764">
        <v>14</v>
      </c>
      <c r="B764" t="s">
        <v>16</v>
      </c>
      <c r="C764">
        <v>1.3</v>
      </c>
      <c r="D764" t="s">
        <v>17</v>
      </c>
      <c r="E764">
        <v>7.7</v>
      </c>
      <c r="F764">
        <v>1.9</v>
      </c>
      <c r="G764">
        <v>2.27</v>
      </c>
      <c r="H764">
        <v>1.5</v>
      </c>
      <c r="I764" t="s">
        <v>15</v>
      </c>
      <c r="J764">
        <v>7</v>
      </c>
      <c r="K764">
        <v>2</v>
      </c>
      <c r="L764">
        <v>2</v>
      </c>
      <c r="M764">
        <v>0</v>
      </c>
    </row>
    <row r="765" spans="1:13" x14ac:dyDescent="0.3">
      <c r="A765">
        <v>18</v>
      </c>
      <c r="B765" t="s">
        <v>13</v>
      </c>
      <c r="C765">
        <v>3.7</v>
      </c>
      <c r="D765" t="s">
        <v>14</v>
      </c>
      <c r="E765">
        <v>7</v>
      </c>
      <c r="F765">
        <v>1.4</v>
      </c>
      <c r="G765">
        <v>2.0499999999999998</v>
      </c>
      <c r="H765">
        <v>0.4</v>
      </c>
      <c r="I765" t="s">
        <v>19</v>
      </c>
      <c r="J765">
        <v>10</v>
      </c>
      <c r="K765">
        <v>9</v>
      </c>
      <c r="L765">
        <v>5</v>
      </c>
      <c r="M765">
        <v>0</v>
      </c>
    </row>
    <row r="766" spans="1:13" x14ac:dyDescent="0.3">
      <c r="A766">
        <v>18</v>
      </c>
      <c r="B766" t="s">
        <v>16</v>
      </c>
      <c r="C766">
        <v>8</v>
      </c>
      <c r="D766" t="s">
        <v>17</v>
      </c>
      <c r="E766">
        <v>4.3</v>
      </c>
      <c r="F766">
        <v>0.8</v>
      </c>
      <c r="G766">
        <v>3.44</v>
      </c>
      <c r="H766">
        <v>0.8</v>
      </c>
      <c r="I766" t="s">
        <v>19</v>
      </c>
      <c r="J766">
        <v>3</v>
      </c>
      <c r="K766">
        <v>4</v>
      </c>
      <c r="L766">
        <v>4</v>
      </c>
      <c r="M766">
        <v>0</v>
      </c>
    </row>
    <row r="767" spans="1:13" x14ac:dyDescent="0.3">
      <c r="A767">
        <v>19</v>
      </c>
      <c r="B767" t="s">
        <v>16</v>
      </c>
      <c r="C767">
        <v>4.0999999999999996</v>
      </c>
      <c r="D767" t="s">
        <v>20</v>
      </c>
      <c r="E767">
        <v>7.5</v>
      </c>
      <c r="F767">
        <v>2.7</v>
      </c>
      <c r="G767">
        <v>2.66</v>
      </c>
      <c r="H767">
        <v>1.6</v>
      </c>
      <c r="I767" t="s">
        <v>18</v>
      </c>
      <c r="J767">
        <v>5</v>
      </c>
      <c r="K767">
        <v>10</v>
      </c>
      <c r="L767">
        <v>5</v>
      </c>
      <c r="M767">
        <v>0</v>
      </c>
    </row>
    <row r="768" spans="1:13" x14ac:dyDescent="0.3">
      <c r="A768">
        <v>13</v>
      </c>
      <c r="B768" t="s">
        <v>13</v>
      </c>
      <c r="C768">
        <v>3.9</v>
      </c>
      <c r="D768" t="s">
        <v>20</v>
      </c>
      <c r="E768">
        <v>8.6999999999999993</v>
      </c>
      <c r="F768">
        <v>1.5</v>
      </c>
      <c r="G768">
        <v>2.71</v>
      </c>
      <c r="H768">
        <v>0.7</v>
      </c>
      <c r="I768" t="s">
        <v>15</v>
      </c>
      <c r="J768">
        <v>7</v>
      </c>
      <c r="K768">
        <v>1</v>
      </c>
      <c r="L768">
        <v>4</v>
      </c>
      <c r="M768">
        <v>0</v>
      </c>
    </row>
    <row r="769" spans="1:13" x14ac:dyDescent="0.3">
      <c r="A769">
        <v>15</v>
      </c>
      <c r="B769" t="s">
        <v>16</v>
      </c>
      <c r="C769">
        <v>6.4</v>
      </c>
      <c r="D769" t="s">
        <v>14</v>
      </c>
      <c r="E769">
        <v>5.9</v>
      </c>
      <c r="F769">
        <v>1.6</v>
      </c>
      <c r="G769">
        <v>3.97</v>
      </c>
      <c r="H769">
        <v>1</v>
      </c>
      <c r="I769" t="s">
        <v>18</v>
      </c>
      <c r="J769">
        <v>10</v>
      </c>
      <c r="K769">
        <v>2</v>
      </c>
      <c r="L769">
        <v>6</v>
      </c>
      <c r="M769">
        <v>0</v>
      </c>
    </row>
    <row r="770" spans="1:13" x14ac:dyDescent="0.3">
      <c r="A770">
        <v>19</v>
      </c>
      <c r="B770" t="s">
        <v>16</v>
      </c>
      <c r="C770">
        <v>1.3</v>
      </c>
      <c r="D770" t="s">
        <v>17</v>
      </c>
      <c r="E770">
        <v>6.5</v>
      </c>
      <c r="F770">
        <v>2.1</v>
      </c>
      <c r="G770">
        <v>3.68</v>
      </c>
      <c r="H770">
        <v>1.1000000000000001</v>
      </c>
      <c r="I770" t="s">
        <v>18</v>
      </c>
      <c r="J770">
        <v>7</v>
      </c>
      <c r="K770">
        <v>1</v>
      </c>
      <c r="L770">
        <v>9</v>
      </c>
      <c r="M770">
        <v>0</v>
      </c>
    </row>
    <row r="771" spans="1:13" x14ac:dyDescent="0.3">
      <c r="A771">
        <v>18</v>
      </c>
      <c r="B771" t="s">
        <v>16</v>
      </c>
      <c r="C771">
        <v>5</v>
      </c>
      <c r="D771" t="s">
        <v>14</v>
      </c>
      <c r="E771">
        <v>6.6</v>
      </c>
      <c r="F771">
        <v>1.8</v>
      </c>
      <c r="G771">
        <v>3.87</v>
      </c>
      <c r="H771">
        <v>1.2</v>
      </c>
      <c r="I771" t="s">
        <v>18</v>
      </c>
      <c r="J771">
        <v>3</v>
      </c>
      <c r="K771">
        <v>4</v>
      </c>
      <c r="L771">
        <v>2</v>
      </c>
      <c r="M771">
        <v>0</v>
      </c>
    </row>
    <row r="772" spans="1:13" x14ac:dyDescent="0.3">
      <c r="A772">
        <v>18</v>
      </c>
      <c r="B772" t="s">
        <v>13</v>
      </c>
      <c r="C772">
        <v>5.5</v>
      </c>
      <c r="D772" t="s">
        <v>20</v>
      </c>
      <c r="E772">
        <v>5.2</v>
      </c>
      <c r="F772">
        <v>1.4</v>
      </c>
      <c r="G772">
        <v>3.24</v>
      </c>
      <c r="H772">
        <v>0.9</v>
      </c>
      <c r="I772" t="s">
        <v>19</v>
      </c>
      <c r="J772">
        <v>10</v>
      </c>
      <c r="K772">
        <v>5</v>
      </c>
      <c r="L772">
        <v>7</v>
      </c>
      <c r="M772">
        <v>0</v>
      </c>
    </row>
    <row r="773" spans="1:13" x14ac:dyDescent="0.3">
      <c r="A773">
        <v>13</v>
      </c>
      <c r="B773" t="s">
        <v>16</v>
      </c>
      <c r="C773">
        <v>7.6</v>
      </c>
      <c r="D773" t="s">
        <v>14</v>
      </c>
      <c r="E773">
        <v>7.9</v>
      </c>
      <c r="F773">
        <v>3</v>
      </c>
      <c r="G773">
        <v>2.54</v>
      </c>
      <c r="H773">
        <v>1.2</v>
      </c>
      <c r="I773" t="s">
        <v>18</v>
      </c>
      <c r="J773">
        <v>8</v>
      </c>
      <c r="K773">
        <v>8</v>
      </c>
      <c r="L773">
        <v>1</v>
      </c>
      <c r="M773">
        <v>0</v>
      </c>
    </row>
    <row r="774" spans="1:13" x14ac:dyDescent="0.3">
      <c r="A774">
        <v>19</v>
      </c>
      <c r="B774" t="s">
        <v>16</v>
      </c>
      <c r="C774">
        <v>6.3</v>
      </c>
      <c r="D774" t="s">
        <v>20</v>
      </c>
      <c r="E774">
        <v>5.7</v>
      </c>
      <c r="F774">
        <v>2.2999999999999998</v>
      </c>
      <c r="G774">
        <v>2.16</v>
      </c>
      <c r="H774">
        <v>1.9</v>
      </c>
      <c r="I774" t="s">
        <v>18</v>
      </c>
      <c r="J774">
        <v>6</v>
      </c>
      <c r="K774">
        <v>3</v>
      </c>
      <c r="L774">
        <v>6</v>
      </c>
      <c r="M774">
        <v>0</v>
      </c>
    </row>
    <row r="775" spans="1:13" x14ac:dyDescent="0.3">
      <c r="A775">
        <v>18</v>
      </c>
      <c r="B775" t="s">
        <v>16</v>
      </c>
      <c r="C775">
        <v>2</v>
      </c>
      <c r="D775" t="s">
        <v>14</v>
      </c>
      <c r="E775">
        <v>5.9</v>
      </c>
      <c r="F775">
        <v>2.9</v>
      </c>
      <c r="G775">
        <v>3.52</v>
      </c>
      <c r="H775">
        <v>1.1000000000000001</v>
      </c>
      <c r="I775" t="s">
        <v>18</v>
      </c>
      <c r="J775">
        <v>8</v>
      </c>
      <c r="K775">
        <v>6</v>
      </c>
      <c r="L775">
        <v>10</v>
      </c>
      <c r="M775">
        <v>0</v>
      </c>
    </row>
    <row r="776" spans="1:13" x14ac:dyDescent="0.3">
      <c r="A776">
        <v>15</v>
      </c>
      <c r="B776" t="s">
        <v>13</v>
      </c>
      <c r="C776">
        <v>4</v>
      </c>
      <c r="D776" t="s">
        <v>17</v>
      </c>
      <c r="E776">
        <v>4.5</v>
      </c>
      <c r="F776">
        <v>1.9</v>
      </c>
      <c r="G776">
        <v>3.22</v>
      </c>
      <c r="H776">
        <v>0.2</v>
      </c>
      <c r="I776" t="s">
        <v>19</v>
      </c>
      <c r="J776">
        <v>4</v>
      </c>
      <c r="K776">
        <v>5</v>
      </c>
      <c r="L776">
        <v>3</v>
      </c>
      <c r="M776">
        <v>0</v>
      </c>
    </row>
    <row r="777" spans="1:13" x14ac:dyDescent="0.3">
      <c r="A777">
        <v>14</v>
      </c>
      <c r="B777" t="s">
        <v>13</v>
      </c>
      <c r="C777">
        <v>4.9000000000000004</v>
      </c>
      <c r="D777" t="s">
        <v>14</v>
      </c>
      <c r="E777">
        <v>5.5</v>
      </c>
      <c r="F777">
        <v>1.6</v>
      </c>
      <c r="G777">
        <v>2.85</v>
      </c>
      <c r="H777">
        <v>0.4</v>
      </c>
      <c r="I777" t="s">
        <v>15</v>
      </c>
      <c r="J777">
        <v>8</v>
      </c>
      <c r="K777">
        <v>1</v>
      </c>
      <c r="L777">
        <v>8</v>
      </c>
      <c r="M777">
        <v>0</v>
      </c>
    </row>
    <row r="778" spans="1:13" x14ac:dyDescent="0.3">
      <c r="A778">
        <v>14</v>
      </c>
      <c r="B778" t="s">
        <v>16</v>
      </c>
      <c r="C778">
        <v>6.9</v>
      </c>
      <c r="D778" t="s">
        <v>17</v>
      </c>
      <c r="E778">
        <v>8</v>
      </c>
      <c r="F778">
        <v>1.6</v>
      </c>
      <c r="G778">
        <v>2.64</v>
      </c>
      <c r="H778">
        <v>0.1</v>
      </c>
      <c r="I778" t="s">
        <v>19</v>
      </c>
      <c r="J778">
        <v>3</v>
      </c>
      <c r="K778">
        <v>3</v>
      </c>
      <c r="L778">
        <v>3</v>
      </c>
      <c r="M778">
        <v>0</v>
      </c>
    </row>
    <row r="779" spans="1:13" x14ac:dyDescent="0.3">
      <c r="A779">
        <v>15</v>
      </c>
      <c r="B779" t="s">
        <v>13</v>
      </c>
      <c r="C779">
        <v>5.4</v>
      </c>
      <c r="D779" t="s">
        <v>17</v>
      </c>
      <c r="E779">
        <v>4.2</v>
      </c>
      <c r="F779">
        <v>1.8</v>
      </c>
      <c r="G779">
        <v>2.15</v>
      </c>
      <c r="H779">
        <v>0.3</v>
      </c>
      <c r="I779" t="s">
        <v>19</v>
      </c>
      <c r="J779">
        <v>1</v>
      </c>
      <c r="K779">
        <v>10</v>
      </c>
      <c r="L779">
        <v>5</v>
      </c>
      <c r="M779">
        <v>0</v>
      </c>
    </row>
    <row r="780" spans="1:13" x14ac:dyDescent="0.3">
      <c r="A780">
        <v>13</v>
      </c>
      <c r="B780" t="s">
        <v>16</v>
      </c>
      <c r="C780">
        <v>3.8</v>
      </c>
      <c r="D780" t="s">
        <v>20</v>
      </c>
      <c r="E780">
        <v>8.9</v>
      </c>
      <c r="F780">
        <v>2.5</v>
      </c>
      <c r="G780">
        <v>2.29</v>
      </c>
      <c r="H780">
        <v>0.6</v>
      </c>
      <c r="I780" t="s">
        <v>18</v>
      </c>
      <c r="J780">
        <v>9</v>
      </c>
      <c r="K780">
        <v>9</v>
      </c>
      <c r="L780">
        <v>7</v>
      </c>
      <c r="M780">
        <v>0</v>
      </c>
    </row>
    <row r="781" spans="1:13" x14ac:dyDescent="0.3">
      <c r="A781">
        <v>15</v>
      </c>
      <c r="B781" t="s">
        <v>13</v>
      </c>
      <c r="C781">
        <v>7.8</v>
      </c>
      <c r="D781" t="s">
        <v>20</v>
      </c>
      <c r="E781">
        <v>6.8</v>
      </c>
      <c r="F781">
        <v>0.6</v>
      </c>
      <c r="G781">
        <v>3.2</v>
      </c>
      <c r="H781">
        <v>1.7</v>
      </c>
      <c r="I781" t="s">
        <v>19</v>
      </c>
      <c r="J781">
        <v>1</v>
      </c>
      <c r="K781">
        <v>7</v>
      </c>
      <c r="L781">
        <v>5</v>
      </c>
      <c r="M781">
        <v>0</v>
      </c>
    </row>
    <row r="782" spans="1:13" x14ac:dyDescent="0.3">
      <c r="A782">
        <v>15</v>
      </c>
      <c r="B782" t="s">
        <v>13</v>
      </c>
      <c r="C782">
        <v>3.5</v>
      </c>
      <c r="D782" t="s">
        <v>20</v>
      </c>
      <c r="E782">
        <v>8.8000000000000007</v>
      </c>
      <c r="F782">
        <v>1.8</v>
      </c>
      <c r="G782">
        <v>3.5</v>
      </c>
      <c r="H782">
        <v>0.8</v>
      </c>
      <c r="I782" t="s">
        <v>15</v>
      </c>
      <c r="J782">
        <v>3</v>
      </c>
      <c r="K782">
        <v>6</v>
      </c>
      <c r="L782">
        <v>3</v>
      </c>
      <c r="M782">
        <v>0</v>
      </c>
    </row>
    <row r="783" spans="1:13" x14ac:dyDescent="0.3">
      <c r="A783">
        <v>19</v>
      </c>
      <c r="B783" t="s">
        <v>16</v>
      </c>
      <c r="C783">
        <v>5.4</v>
      </c>
      <c r="D783" t="s">
        <v>14</v>
      </c>
      <c r="E783">
        <v>7.3</v>
      </c>
      <c r="F783">
        <v>2</v>
      </c>
      <c r="G783">
        <v>3.98</v>
      </c>
      <c r="H783">
        <v>0.9</v>
      </c>
      <c r="I783" t="s">
        <v>19</v>
      </c>
      <c r="J783">
        <v>6</v>
      </c>
      <c r="K783">
        <v>6</v>
      </c>
      <c r="L783">
        <v>1</v>
      </c>
      <c r="M783">
        <v>0</v>
      </c>
    </row>
    <row r="784" spans="1:13" x14ac:dyDescent="0.3">
      <c r="A784">
        <v>17</v>
      </c>
      <c r="B784" t="s">
        <v>13</v>
      </c>
      <c r="C784">
        <v>3.8</v>
      </c>
      <c r="D784" t="s">
        <v>20</v>
      </c>
      <c r="E784">
        <v>5.7</v>
      </c>
      <c r="F784">
        <v>2</v>
      </c>
      <c r="G784">
        <v>3.01</v>
      </c>
      <c r="H784">
        <v>1</v>
      </c>
      <c r="I784" t="s">
        <v>15</v>
      </c>
      <c r="J784">
        <v>1</v>
      </c>
      <c r="K784">
        <v>3</v>
      </c>
      <c r="L784">
        <v>1</v>
      </c>
      <c r="M784">
        <v>0</v>
      </c>
    </row>
    <row r="785" spans="1:13" x14ac:dyDescent="0.3">
      <c r="A785">
        <v>17</v>
      </c>
      <c r="B785" t="s">
        <v>13</v>
      </c>
      <c r="C785">
        <v>8</v>
      </c>
      <c r="D785" t="s">
        <v>14</v>
      </c>
      <c r="E785">
        <v>6.9</v>
      </c>
      <c r="F785">
        <v>2.2000000000000002</v>
      </c>
      <c r="G785">
        <v>2.36</v>
      </c>
      <c r="H785">
        <v>1.6</v>
      </c>
      <c r="I785" t="s">
        <v>15</v>
      </c>
      <c r="J785">
        <v>4</v>
      </c>
      <c r="K785">
        <v>2</v>
      </c>
      <c r="L785">
        <v>8</v>
      </c>
      <c r="M785">
        <v>0</v>
      </c>
    </row>
    <row r="786" spans="1:13" x14ac:dyDescent="0.3">
      <c r="A786">
        <v>14</v>
      </c>
      <c r="B786" t="s">
        <v>16</v>
      </c>
      <c r="C786">
        <v>3.7</v>
      </c>
      <c r="D786" t="s">
        <v>17</v>
      </c>
      <c r="E786">
        <v>5.7</v>
      </c>
      <c r="F786">
        <v>1.7</v>
      </c>
      <c r="G786">
        <v>2.88</v>
      </c>
      <c r="H786">
        <v>0.2</v>
      </c>
      <c r="I786" t="s">
        <v>15</v>
      </c>
      <c r="J786">
        <v>9</v>
      </c>
      <c r="K786">
        <v>10</v>
      </c>
      <c r="L786">
        <v>3</v>
      </c>
      <c r="M786">
        <v>0</v>
      </c>
    </row>
    <row r="787" spans="1:13" x14ac:dyDescent="0.3">
      <c r="A787">
        <v>19</v>
      </c>
      <c r="B787" t="s">
        <v>16</v>
      </c>
      <c r="C787">
        <v>5</v>
      </c>
      <c r="D787" t="s">
        <v>14</v>
      </c>
      <c r="E787">
        <v>6.3</v>
      </c>
      <c r="F787">
        <v>2.9</v>
      </c>
      <c r="G787">
        <v>2.04</v>
      </c>
      <c r="H787">
        <v>0.5</v>
      </c>
      <c r="I787" t="s">
        <v>19</v>
      </c>
      <c r="J787">
        <v>5</v>
      </c>
      <c r="K787">
        <v>2</v>
      </c>
      <c r="L787">
        <v>2</v>
      </c>
      <c r="M787">
        <v>0</v>
      </c>
    </row>
    <row r="788" spans="1:13" x14ac:dyDescent="0.3">
      <c r="A788">
        <v>19</v>
      </c>
      <c r="B788" t="s">
        <v>16</v>
      </c>
      <c r="C788">
        <v>4.2</v>
      </c>
      <c r="D788" t="s">
        <v>14</v>
      </c>
      <c r="E788">
        <v>7.1</v>
      </c>
      <c r="F788">
        <v>2.5</v>
      </c>
      <c r="G788">
        <v>3.91</v>
      </c>
      <c r="H788">
        <v>1.5</v>
      </c>
      <c r="I788" t="s">
        <v>18</v>
      </c>
      <c r="J788">
        <v>6</v>
      </c>
      <c r="K788">
        <v>8</v>
      </c>
      <c r="L788">
        <v>9</v>
      </c>
      <c r="M788">
        <v>0</v>
      </c>
    </row>
    <row r="789" spans="1:13" x14ac:dyDescent="0.3">
      <c r="A789">
        <v>16</v>
      </c>
      <c r="B789" t="s">
        <v>13</v>
      </c>
      <c r="C789">
        <v>4.5999999999999996</v>
      </c>
      <c r="D789" t="s">
        <v>14</v>
      </c>
      <c r="E789">
        <v>8.1999999999999993</v>
      </c>
      <c r="F789">
        <v>1.5</v>
      </c>
      <c r="G789">
        <v>2.13</v>
      </c>
      <c r="H789">
        <v>1</v>
      </c>
      <c r="I789" t="s">
        <v>15</v>
      </c>
      <c r="J789">
        <v>3</v>
      </c>
      <c r="K789">
        <v>2</v>
      </c>
      <c r="L789">
        <v>2</v>
      </c>
      <c r="M789">
        <v>0</v>
      </c>
    </row>
    <row r="790" spans="1:13" x14ac:dyDescent="0.3">
      <c r="A790">
        <v>18</v>
      </c>
      <c r="B790" t="s">
        <v>13</v>
      </c>
      <c r="C790">
        <v>5.5</v>
      </c>
      <c r="D790" t="s">
        <v>14</v>
      </c>
      <c r="E790">
        <v>5</v>
      </c>
      <c r="F790">
        <v>0.9</v>
      </c>
      <c r="G790">
        <v>2.93</v>
      </c>
      <c r="H790">
        <v>1.1000000000000001</v>
      </c>
      <c r="I790" t="s">
        <v>15</v>
      </c>
      <c r="J790">
        <v>4</v>
      </c>
      <c r="K790">
        <v>10</v>
      </c>
      <c r="L790">
        <v>10</v>
      </c>
      <c r="M790">
        <v>0</v>
      </c>
    </row>
    <row r="791" spans="1:13" x14ac:dyDescent="0.3">
      <c r="A791">
        <v>19</v>
      </c>
      <c r="B791" t="s">
        <v>16</v>
      </c>
      <c r="C791">
        <v>1.8</v>
      </c>
      <c r="D791" t="s">
        <v>14</v>
      </c>
      <c r="E791">
        <v>4.5</v>
      </c>
      <c r="F791">
        <v>2.8</v>
      </c>
      <c r="G791">
        <v>3.22</v>
      </c>
      <c r="H791">
        <v>1.6</v>
      </c>
      <c r="I791" t="s">
        <v>19</v>
      </c>
      <c r="J791">
        <v>5</v>
      </c>
      <c r="K791">
        <v>3</v>
      </c>
      <c r="L791">
        <v>10</v>
      </c>
      <c r="M791">
        <v>0</v>
      </c>
    </row>
    <row r="792" spans="1:13" x14ac:dyDescent="0.3">
      <c r="A792">
        <v>14</v>
      </c>
      <c r="B792" t="s">
        <v>16</v>
      </c>
      <c r="C792">
        <v>6.6</v>
      </c>
      <c r="D792" t="s">
        <v>17</v>
      </c>
      <c r="E792">
        <v>6.2</v>
      </c>
      <c r="F792">
        <v>1.8</v>
      </c>
      <c r="G792">
        <v>2.36</v>
      </c>
      <c r="H792">
        <v>1.7</v>
      </c>
      <c r="I792" t="s">
        <v>18</v>
      </c>
      <c r="J792">
        <v>4</v>
      </c>
      <c r="K792">
        <v>1</v>
      </c>
      <c r="L792">
        <v>8</v>
      </c>
      <c r="M792">
        <v>0</v>
      </c>
    </row>
    <row r="793" spans="1:13" x14ac:dyDescent="0.3">
      <c r="A793">
        <v>15</v>
      </c>
      <c r="B793" t="s">
        <v>16</v>
      </c>
      <c r="C793">
        <v>4.4000000000000004</v>
      </c>
      <c r="D793" t="s">
        <v>17</v>
      </c>
      <c r="E793">
        <v>5.3</v>
      </c>
      <c r="F793">
        <v>0.9</v>
      </c>
      <c r="G793">
        <v>3.75</v>
      </c>
      <c r="H793">
        <v>0.5</v>
      </c>
      <c r="I793" t="s">
        <v>18</v>
      </c>
      <c r="J793">
        <v>10</v>
      </c>
      <c r="K793">
        <v>5</v>
      </c>
      <c r="L793">
        <v>5</v>
      </c>
      <c r="M793">
        <v>0</v>
      </c>
    </row>
    <row r="794" spans="1:13" x14ac:dyDescent="0.3">
      <c r="A794">
        <v>14</v>
      </c>
      <c r="B794" t="s">
        <v>16</v>
      </c>
      <c r="C794">
        <v>4.7</v>
      </c>
      <c r="D794" t="s">
        <v>17</v>
      </c>
      <c r="E794">
        <v>4.4000000000000004</v>
      </c>
      <c r="F794">
        <v>2.1</v>
      </c>
      <c r="G794">
        <v>3.92</v>
      </c>
      <c r="H794">
        <v>0.9</v>
      </c>
      <c r="I794" t="s">
        <v>15</v>
      </c>
      <c r="J794">
        <v>10</v>
      </c>
      <c r="K794">
        <v>1</v>
      </c>
      <c r="L794">
        <v>4</v>
      </c>
      <c r="M794">
        <v>0</v>
      </c>
    </row>
    <row r="795" spans="1:13" x14ac:dyDescent="0.3">
      <c r="A795">
        <v>18</v>
      </c>
      <c r="B795" t="s">
        <v>16</v>
      </c>
      <c r="C795">
        <v>7.1</v>
      </c>
      <c r="D795" t="s">
        <v>14</v>
      </c>
      <c r="E795">
        <v>5.7</v>
      </c>
      <c r="F795">
        <v>0.6</v>
      </c>
      <c r="G795">
        <v>2.9</v>
      </c>
      <c r="H795">
        <v>1.7</v>
      </c>
      <c r="I795" t="s">
        <v>19</v>
      </c>
      <c r="J795">
        <v>3</v>
      </c>
      <c r="K795">
        <v>1</v>
      </c>
      <c r="L795">
        <v>6</v>
      </c>
      <c r="M795">
        <v>0</v>
      </c>
    </row>
    <row r="796" spans="1:13" x14ac:dyDescent="0.3">
      <c r="A796">
        <v>17</v>
      </c>
      <c r="B796" t="s">
        <v>13</v>
      </c>
      <c r="C796">
        <v>4</v>
      </c>
      <c r="D796" t="s">
        <v>20</v>
      </c>
      <c r="E796">
        <v>8.5</v>
      </c>
      <c r="F796">
        <v>1</v>
      </c>
      <c r="G796">
        <v>2.16</v>
      </c>
      <c r="H796">
        <v>0.1</v>
      </c>
      <c r="I796" t="s">
        <v>15</v>
      </c>
      <c r="J796">
        <v>1</v>
      </c>
      <c r="K796">
        <v>7</v>
      </c>
      <c r="L796">
        <v>5</v>
      </c>
      <c r="M796">
        <v>0</v>
      </c>
    </row>
    <row r="797" spans="1:13" x14ac:dyDescent="0.3">
      <c r="A797">
        <v>18</v>
      </c>
      <c r="B797" t="s">
        <v>16</v>
      </c>
      <c r="C797">
        <v>5.5</v>
      </c>
      <c r="D797" t="s">
        <v>14</v>
      </c>
      <c r="E797">
        <v>5.3</v>
      </c>
      <c r="F797">
        <v>2.6</v>
      </c>
      <c r="G797">
        <v>3.09</v>
      </c>
      <c r="H797">
        <v>2</v>
      </c>
      <c r="I797" t="s">
        <v>15</v>
      </c>
      <c r="J797">
        <v>8</v>
      </c>
      <c r="K797">
        <v>6</v>
      </c>
      <c r="L797">
        <v>3</v>
      </c>
      <c r="M797">
        <v>0</v>
      </c>
    </row>
    <row r="798" spans="1:13" x14ac:dyDescent="0.3">
      <c r="A798">
        <v>19</v>
      </c>
      <c r="B798" t="s">
        <v>13</v>
      </c>
      <c r="C798">
        <v>5.6</v>
      </c>
      <c r="D798" t="s">
        <v>17</v>
      </c>
      <c r="E798">
        <v>6.5</v>
      </c>
      <c r="F798">
        <v>1.4</v>
      </c>
      <c r="G798">
        <v>3.19</v>
      </c>
      <c r="H798">
        <v>0</v>
      </c>
      <c r="I798" t="s">
        <v>18</v>
      </c>
      <c r="J798">
        <v>9</v>
      </c>
      <c r="K798">
        <v>9</v>
      </c>
      <c r="L798">
        <v>7</v>
      </c>
      <c r="M798">
        <v>0</v>
      </c>
    </row>
    <row r="799" spans="1:13" x14ac:dyDescent="0.3">
      <c r="A799">
        <v>14</v>
      </c>
      <c r="B799" t="s">
        <v>16</v>
      </c>
      <c r="C799">
        <v>3.7</v>
      </c>
      <c r="D799" t="s">
        <v>20</v>
      </c>
      <c r="E799">
        <v>7.1</v>
      </c>
      <c r="F799">
        <v>1.7</v>
      </c>
      <c r="G799">
        <v>2.5</v>
      </c>
      <c r="H799">
        <v>1.8</v>
      </c>
      <c r="I799" t="s">
        <v>19</v>
      </c>
      <c r="J799">
        <v>10</v>
      </c>
      <c r="K799">
        <v>4</v>
      </c>
      <c r="L799">
        <v>5</v>
      </c>
      <c r="M799">
        <v>0</v>
      </c>
    </row>
    <row r="800" spans="1:13" x14ac:dyDescent="0.3">
      <c r="A800">
        <v>16</v>
      </c>
      <c r="B800" t="s">
        <v>13</v>
      </c>
      <c r="C800">
        <v>1.8</v>
      </c>
      <c r="D800" t="s">
        <v>17</v>
      </c>
      <c r="E800">
        <v>7.4</v>
      </c>
      <c r="F800">
        <v>2.2999999999999998</v>
      </c>
      <c r="G800">
        <v>3.76</v>
      </c>
      <c r="H800">
        <v>0.8</v>
      </c>
      <c r="I800" t="s">
        <v>15</v>
      </c>
      <c r="J800">
        <v>9</v>
      </c>
      <c r="K800">
        <v>5</v>
      </c>
      <c r="L800">
        <v>8</v>
      </c>
      <c r="M800">
        <v>0</v>
      </c>
    </row>
    <row r="801" spans="1:13" x14ac:dyDescent="0.3">
      <c r="A801">
        <v>16</v>
      </c>
      <c r="B801" t="s">
        <v>16</v>
      </c>
      <c r="C801">
        <v>7.6</v>
      </c>
      <c r="D801" t="s">
        <v>17</v>
      </c>
      <c r="E801">
        <v>4.2</v>
      </c>
      <c r="F801">
        <v>2.8</v>
      </c>
      <c r="G801">
        <v>3.87</v>
      </c>
      <c r="H801">
        <v>0.7</v>
      </c>
      <c r="I801" t="s">
        <v>18</v>
      </c>
      <c r="J801">
        <v>10</v>
      </c>
      <c r="K801">
        <v>2</v>
      </c>
      <c r="L801">
        <v>9</v>
      </c>
      <c r="M801">
        <v>0</v>
      </c>
    </row>
    <row r="802" spans="1:13" x14ac:dyDescent="0.3">
      <c r="A802">
        <v>18</v>
      </c>
      <c r="B802" t="s">
        <v>13</v>
      </c>
      <c r="C802">
        <v>5.7</v>
      </c>
      <c r="D802" t="s">
        <v>17</v>
      </c>
      <c r="E802">
        <v>8</v>
      </c>
      <c r="F802">
        <v>2.5</v>
      </c>
      <c r="G802">
        <v>3.4</v>
      </c>
      <c r="H802">
        <v>0.1</v>
      </c>
      <c r="I802" t="s">
        <v>15</v>
      </c>
      <c r="J802">
        <v>5</v>
      </c>
      <c r="K802">
        <v>2</v>
      </c>
      <c r="L802">
        <v>1</v>
      </c>
      <c r="M802">
        <v>0</v>
      </c>
    </row>
    <row r="803" spans="1:13" x14ac:dyDescent="0.3">
      <c r="A803">
        <v>14</v>
      </c>
      <c r="B803" t="s">
        <v>16</v>
      </c>
      <c r="C803">
        <v>6.1</v>
      </c>
      <c r="D803" t="s">
        <v>14</v>
      </c>
      <c r="E803">
        <v>7</v>
      </c>
      <c r="F803">
        <v>2.7</v>
      </c>
      <c r="G803">
        <v>3.97</v>
      </c>
      <c r="H803">
        <v>1</v>
      </c>
      <c r="I803" t="s">
        <v>19</v>
      </c>
      <c r="J803">
        <v>1</v>
      </c>
      <c r="K803">
        <v>8</v>
      </c>
      <c r="L803">
        <v>8</v>
      </c>
      <c r="M803">
        <v>0</v>
      </c>
    </row>
    <row r="804" spans="1:13" x14ac:dyDescent="0.3">
      <c r="A804">
        <v>13</v>
      </c>
      <c r="B804" t="s">
        <v>16</v>
      </c>
      <c r="C804">
        <v>6</v>
      </c>
      <c r="D804" t="s">
        <v>14</v>
      </c>
      <c r="E804">
        <v>7.2</v>
      </c>
      <c r="F804">
        <v>0.6</v>
      </c>
      <c r="G804">
        <v>2.11</v>
      </c>
      <c r="H804">
        <v>1.1000000000000001</v>
      </c>
      <c r="I804" t="s">
        <v>15</v>
      </c>
      <c r="J804">
        <v>1</v>
      </c>
      <c r="K804">
        <v>3</v>
      </c>
      <c r="L804">
        <v>6</v>
      </c>
      <c r="M804">
        <v>0</v>
      </c>
    </row>
    <row r="805" spans="1:13" x14ac:dyDescent="0.3">
      <c r="A805">
        <v>15</v>
      </c>
      <c r="B805" t="s">
        <v>16</v>
      </c>
      <c r="C805">
        <v>3.1</v>
      </c>
      <c r="D805" t="s">
        <v>17</v>
      </c>
      <c r="E805">
        <v>4.2</v>
      </c>
      <c r="F805">
        <v>2.4</v>
      </c>
      <c r="G805">
        <v>3.41</v>
      </c>
      <c r="H805">
        <v>0.2</v>
      </c>
      <c r="I805" t="s">
        <v>15</v>
      </c>
      <c r="J805">
        <v>3</v>
      </c>
      <c r="K805">
        <v>7</v>
      </c>
      <c r="L805">
        <v>5</v>
      </c>
      <c r="M805">
        <v>0</v>
      </c>
    </row>
    <row r="806" spans="1:13" x14ac:dyDescent="0.3">
      <c r="A806">
        <v>17</v>
      </c>
      <c r="B806" t="s">
        <v>13</v>
      </c>
      <c r="C806">
        <v>7.6</v>
      </c>
      <c r="D806" t="s">
        <v>14</v>
      </c>
      <c r="E806">
        <v>6</v>
      </c>
      <c r="F806">
        <v>2</v>
      </c>
      <c r="G806">
        <v>3.82</v>
      </c>
      <c r="H806">
        <v>1.5</v>
      </c>
      <c r="I806" t="s">
        <v>15</v>
      </c>
      <c r="J806">
        <v>8</v>
      </c>
      <c r="K806">
        <v>9</v>
      </c>
      <c r="L806">
        <v>7</v>
      </c>
      <c r="M806">
        <v>0</v>
      </c>
    </row>
    <row r="807" spans="1:13" x14ac:dyDescent="0.3">
      <c r="A807">
        <v>17</v>
      </c>
      <c r="B807" t="s">
        <v>13</v>
      </c>
      <c r="C807">
        <v>6</v>
      </c>
      <c r="D807" t="s">
        <v>20</v>
      </c>
      <c r="E807">
        <v>5.3</v>
      </c>
      <c r="F807">
        <v>2.7</v>
      </c>
      <c r="G807">
        <v>3.2</v>
      </c>
      <c r="H807">
        <v>1.4</v>
      </c>
      <c r="I807" t="s">
        <v>19</v>
      </c>
      <c r="J807">
        <v>8</v>
      </c>
      <c r="K807">
        <v>2</v>
      </c>
      <c r="L807">
        <v>4</v>
      </c>
      <c r="M807">
        <v>0</v>
      </c>
    </row>
    <row r="808" spans="1:13" x14ac:dyDescent="0.3">
      <c r="A808">
        <v>13</v>
      </c>
      <c r="B808" t="s">
        <v>16</v>
      </c>
      <c r="C808">
        <v>3.5</v>
      </c>
      <c r="D808" t="s">
        <v>14</v>
      </c>
      <c r="E808">
        <v>5.3</v>
      </c>
      <c r="F808">
        <v>2.7</v>
      </c>
      <c r="G808">
        <v>3.7</v>
      </c>
      <c r="H808">
        <v>0.5</v>
      </c>
      <c r="I808" t="s">
        <v>15</v>
      </c>
      <c r="J808">
        <v>3</v>
      </c>
      <c r="K808">
        <v>7</v>
      </c>
      <c r="L808">
        <v>2</v>
      </c>
      <c r="M808">
        <v>0</v>
      </c>
    </row>
    <row r="809" spans="1:13" x14ac:dyDescent="0.3">
      <c r="A809">
        <v>14</v>
      </c>
      <c r="B809" t="s">
        <v>16</v>
      </c>
      <c r="C809">
        <v>1.3</v>
      </c>
      <c r="D809" t="s">
        <v>17</v>
      </c>
      <c r="E809">
        <v>7.5</v>
      </c>
      <c r="F809">
        <v>1.4</v>
      </c>
      <c r="G809">
        <v>3.85</v>
      </c>
      <c r="H809">
        <v>1.6</v>
      </c>
      <c r="I809" t="s">
        <v>19</v>
      </c>
      <c r="J809">
        <v>10</v>
      </c>
      <c r="K809">
        <v>8</v>
      </c>
      <c r="L809">
        <v>7</v>
      </c>
      <c r="M809">
        <v>0</v>
      </c>
    </row>
    <row r="810" spans="1:13" x14ac:dyDescent="0.3">
      <c r="A810">
        <v>18</v>
      </c>
      <c r="B810" t="s">
        <v>16</v>
      </c>
      <c r="C810">
        <v>2.8</v>
      </c>
      <c r="D810" t="s">
        <v>17</v>
      </c>
      <c r="E810">
        <v>7</v>
      </c>
      <c r="F810">
        <v>2.9</v>
      </c>
      <c r="G810">
        <v>3.91</v>
      </c>
      <c r="H810">
        <v>1.1000000000000001</v>
      </c>
      <c r="I810" t="s">
        <v>19</v>
      </c>
      <c r="J810">
        <v>9</v>
      </c>
      <c r="K810">
        <v>9</v>
      </c>
      <c r="L810">
        <v>1</v>
      </c>
      <c r="M810">
        <v>0</v>
      </c>
    </row>
    <row r="811" spans="1:13" x14ac:dyDescent="0.3">
      <c r="A811">
        <v>14</v>
      </c>
      <c r="B811" t="s">
        <v>13</v>
      </c>
      <c r="C811">
        <v>3.9</v>
      </c>
      <c r="D811" t="s">
        <v>20</v>
      </c>
      <c r="E811">
        <v>4.8</v>
      </c>
      <c r="F811">
        <v>0.8</v>
      </c>
      <c r="G811">
        <v>3.32</v>
      </c>
      <c r="H811">
        <v>0.3</v>
      </c>
      <c r="I811" t="s">
        <v>18</v>
      </c>
      <c r="J811">
        <v>5</v>
      </c>
      <c r="K811">
        <v>2</v>
      </c>
      <c r="L811">
        <v>5</v>
      </c>
      <c r="M811">
        <v>0</v>
      </c>
    </row>
    <row r="812" spans="1:13" x14ac:dyDescent="0.3">
      <c r="A812">
        <v>19</v>
      </c>
      <c r="B812" t="s">
        <v>13</v>
      </c>
      <c r="C812">
        <v>3.9</v>
      </c>
      <c r="D812" t="s">
        <v>20</v>
      </c>
      <c r="E812">
        <v>4.8</v>
      </c>
      <c r="F812">
        <v>2.8</v>
      </c>
      <c r="G812">
        <v>3.98</v>
      </c>
      <c r="H812">
        <v>1.9</v>
      </c>
      <c r="I812" t="s">
        <v>19</v>
      </c>
      <c r="J812">
        <v>7</v>
      </c>
      <c r="K812">
        <v>5</v>
      </c>
      <c r="L812">
        <v>3</v>
      </c>
      <c r="M812">
        <v>0</v>
      </c>
    </row>
    <row r="813" spans="1:13" x14ac:dyDescent="0.3">
      <c r="A813">
        <v>14</v>
      </c>
      <c r="B813" t="s">
        <v>13</v>
      </c>
      <c r="C813">
        <v>7.4</v>
      </c>
      <c r="D813" t="s">
        <v>14</v>
      </c>
      <c r="E813">
        <v>8.9</v>
      </c>
      <c r="F813">
        <v>2.4</v>
      </c>
      <c r="G813">
        <v>2.29</v>
      </c>
      <c r="H813">
        <v>1.1000000000000001</v>
      </c>
      <c r="I813" t="s">
        <v>15</v>
      </c>
      <c r="J813">
        <v>10</v>
      </c>
      <c r="K813">
        <v>4</v>
      </c>
      <c r="L813">
        <v>8</v>
      </c>
      <c r="M813">
        <v>0</v>
      </c>
    </row>
    <row r="814" spans="1:13" x14ac:dyDescent="0.3">
      <c r="A814">
        <v>19</v>
      </c>
      <c r="B814" t="s">
        <v>16</v>
      </c>
      <c r="C814">
        <v>5.4</v>
      </c>
      <c r="D814" t="s">
        <v>17</v>
      </c>
      <c r="E814">
        <v>7.4</v>
      </c>
      <c r="F814">
        <v>1.7</v>
      </c>
      <c r="G814">
        <v>2.88</v>
      </c>
      <c r="H814">
        <v>0.6</v>
      </c>
      <c r="I814" t="s">
        <v>15</v>
      </c>
      <c r="J814">
        <v>6</v>
      </c>
      <c r="K814">
        <v>10</v>
      </c>
      <c r="L814">
        <v>9</v>
      </c>
      <c r="M814">
        <v>0</v>
      </c>
    </row>
    <row r="815" spans="1:13" x14ac:dyDescent="0.3">
      <c r="A815">
        <v>19</v>
      </c>
      <c r="B815" t="s">
        <v>16</v>
      </c>
      <c r="C815">
        <v>6.6</v>
      </c>
      <c r="D815" t="s">
        <v>20</v>
      </c>
      <c r="E815">
        <v>6.8</v>
      </c>
      <c r="F815">
        <v>0.8</v>
      </c>
      <c r="G815">
        <v>2.64</v>
      </c>
      <c r="H815">
        <v>1.5</v>
      </c>
      <c r="I815" t="s">
        <v>15</v>
      </c>
      <c r="J815">
        <v>5</v>
      </c>
      <c r="K815">
        <v>4</v>
      </c>
      <c r="L815">
        <v>6</v>
      </c>
      <c r="M815">
        <v>0</v>
      </c>
    </row>
    <row r="816" spans="1:13" x14ac:dyDescent="0.3">
      <c r="A816">
        <v>17</v>
      </c>
      <c r="B816" t="s">
        <v>13</v>
      </c>
      <c r="C816">
        <v>5.9</v>
      </c>
      <c r="D816" t="s">
        <v>14</v>
      </c>
      <c r="E816">
        <v>7.4</v>
      </c>
      <c r="F816">
        <v>1.7</v>
      </c>
      <c r="G816">
        <v>2.5</v>
      </c>
      <c r="H816">
        <v>0.7</v>
      </c>
      <c r="I816" t="s">
        <v>18</v>
      </c>
      <c r="J816">
        <v>6</v>
      </c>
      <c r="K816">
        <v>7</v>
      </c>
      <c r="L816">
        <v>1</v>
      </c>
      <c r="M816">
        <v>0</v>
      </c>
    </row>
    <row r="817" spans="1:13" x14ac:dyDescent="0.3">
      <c r="A817">
        <v>17</v>
      </c>
      <c r="B817" t="s">
        <v>13</v>
      </c>
      <c r="C817">
        <v>3.3</v>
      </c>
      <c r="D817" t="s">
        <v>20</v>
      </c>
      <c r="E817">
        <v>5.2</v>
      </c>
      <c r="F817">
        <v>1.8</v>
      </c>
      <c r="G817">
        <v>2.1</v>
      </c>
      <c r="H817">
        <v>1.2</v>
      </c>
      <c r="I817" t="s">
        <v>15</v>
      </c>
      <c r="J817">
        <v>2</v>
      </c>
      <c r="K817">
        <v>3</v>
      </c>
      <c r="L817">
        <v>9</v>
      </c>
      <c r="M817">
        <v>0</v>
      </c>
    </row>
    <row r="818" spans="1:13" x14ac:dyDescent="0.3">
      <c r="A818">
        <v>15</v>
      </c>
      <c r="B818" t="s">
        <v>16</v>
      </c>
      <c r="C818">
        <v>2.8</v>
      </c>
      <c r="D818" t="s">
        <v>14</v>
      </c>
      <c r="E818">
        <v>7.7</v>
      </c>
      <c r="F818">
        <v>1</v>
      </c>
      <c r="G818">
        <v>3.73</v>
      </c>
      <c r="H818">
        <v>0.5</v>
      </c>
      <c r="I818" t="s">
        <v>19</v>
      </c>
      <c r="J818">
        <v>6</v>
      </c>
      <c r="K818">
        <v>10</v>
      </c>
      <c r="L818">
        <v>1</v>
      </c>
      <c r="M818">
        <v>0</v>
      </c>
    </row>
    <row r="819" spans="1:13" x14ac:dyDescent="0.3">
      <c r="A819">
        <v>14</v>
      </c>
      <c r="B819" t="s">
        <v>16</v>
      </c>
      <c r="C819">
        <v>7.3</v>
      </c>
      <c r="D819" t="s">
        <v>17</v>
      </c>
      <c r="E819">
        <v>8.8000000000000007</v>
      </c>
      <c r="F819">
        <v>2.5</v>
      </c>
      <c r="G819">
        <v>2.12</v>
      </c>
      <c r="H819">
        <v>0.5</v>
      </c>
      <c r="I819" t="s">
        <v>18</v>
      </c>
      <c r="J819">
        <v>10</v>
      </c>
      <c r="K819">
        <v>10</v>
      </c>
      <c r="L819">
        <v>1</v>
      </c>
      <c r="M819">
        <v>0</v>
      </c>
    </row>
    <row r="820" spans="1:13" x14ac:dyDescent="0.3">
      <c r="A820">
        <v>18</v>
      </c>
      <c r="B820" t="s">
        <v>13</v>
      </c>
      <c r="C820">
        <v>2.8</v>
      </c>
      <c r="D820" t="s">
        <v>14</v>
      </c>
      <c r="E820">
        <v>6.9</v>
      </c>
      <c r="F820">
        <v>2.2999999999999998</v>
      </c>
      <c r="G820">
        <v>3.11</v>
      </c>
      <c r="H820">
        <v>0.1</v>
      </c>
      <c r="I820" t="s">
        <v>19</v>
      </c>
      <c r="J820">
        <v>7</v>
      </c>
      <c r="K820">
        <v>1</v>
      </c>
      <c r="L820">
        <v>9</v>
      </c>
      <c r="M820">
        <v>0</v>
      </c>
    </row>
    <row r="821" spans="1:13" x14ac:dyDescent="0.3">
      <c r="A821">
        <v>18</v>
      </c>
      <c r="B821" t="s">
        <v>16</v>
      </c>
      <c r="C821">
        <v>7.2</v>
      </c>
      <c r="D821" t="s">
        <v>17</v>
      </c>
      <c r="E821">
        <v>7.7</v>
      </c>
      <c r="F821">
        <v>1.2</v>
      </c>
      <c r="G821">
        <v>3.7</v>
      </c>
      <c r="H821">
        <v>0.1</v>
      </c>
      <c r="I821" t="s">
        <v>15</v>
      </c>
      <c r="J821">
        <v>6</v>
      </c>
      <c r="K821">
        <v>3</v>
      </c>
      <c r="L821">
        <v>9</v>
      </c>
      <c r="M821">
        <v>0</v>
      </c>
    </row>
    <row r="822" spans="1:13" x14ac:dyDescent="0.3">
      <c r="A822">
        <v>19</v>
      </c>
      <c r="B822" t="s">
        <v>16</v>
      </c>
      <c r="C822">
        <v>7.1</v>
      </c>
      <c r="D822" t="s">
        <v>17</v>
      </c>
      <c r="E822">
        <v>6.3</v>
      </c>
      <c r="F822">
        <v>0.8</v>
      </c>
      <c r="G822">
        <v>3.66</v>
      </c>
      <c r="H822">
        <v>0.5</v>
      </c>
      <c r="I822" t="s">
        <v>18</v>
      </c>
      <c r="J822">
        <v>3</v>
      </c>
      <c r="K822">
        <v>7</v>
      </c>
      <c r="L822">
        <v>7</v>
      </c>
      <c r="M822">
        <v>0</v>
      </c>
    </row>
    <row r="823" spans="1:13" x14ac:dyDescent="0.3">
      <c r="A823">
        <v>13</v>
      </c>
      <c r="B823" t="s">
        <v>16</v>
      </c>
      <c r="C823">
        <v>4.3</v>
      </c>
      <c r="D823" t="s">
        <v>17</v>
      </c>
      <c r="E823">
        <v>4.4000000000000004</v>
      </c>
      <c r="F823">
        <v>0.9</v>
      </c>
      <c r="G823">
        <v>2.35</v>
      </c>
      <c r="H823">
        <v>1.5</v>
      </c>
      <c r="I823" t="s">
        <v>18</v>
      </c>
      <c r="J823">
        <v>3</v>
      </c>
      <c r="K823">
        <v>1</v>
      </c>
      <c r="L823">
        <v>7</v>
      </c>
      <c r="M823">
        <v>0</v>
      </c>
    </row>
    <row r="824" spans="1:13" x14ac:dyDescent="0.3">
      <c r="A824">
        <v>19</v>
      </c>
      <c r="B824" t="s">
        <v>13</v>
      </c>
      <c r="C824">
        <v>1.6</v>
      </c>
      <c r="D824" t="s">
        <v>20</v>
      </c>
      <c r="E824">
        <v>4.4000000000000004</v>
      </c>
      <c r="F824">
        <v>1.4</v>
      </c>
      <c r="G824">
        <v>2.0299999999999998</v>
      </c>
      <c r="H824">
        <v>1.1000000000000001</v>
      </c>
      <c r="I824" t="s">
        <v>18</v>
      </c>
      <c r="J824">
        <v>2</v>
      </c>
      <c r="K824">
        <v>9</v>
      </c>
      <c r="L824">
        <v>5</v>
      </c>
      <c r="M824">
        <v>0</v>
      </c>
    </row>
    <row r="825" spans="1:13" x14ac:dyDescent="0.3">
      <c r="A825">
        <v>19</v>
      </c>
      <c r="B825" t="s">
        <v>16</v>
      </c>
      <c r="C825">
        <v>1.4</v>
      </c>
      <c r="D825" t="s">
        <v>20</v>
      </c>
      <c r="E825">
        <v>8</v>
      </c>
      <c r="F825">
        <v>2.5</v>
      </c>
      <c r="G825">
        <v>3.54</v>
      </c>
      <c r="H825">
        <v>1.8</v>
      </c>
      <c r="I825" t="s">
        <v>15</v>
      </c>
      <c r="J825">
        <v>4</v>
      </c>
      <c r="K825">
        <v>8</v>
      </c>
      <c r="L825">
        <v>3</v>
      </c>
      <c r="M825">
        <v>0</v>
      </c>
    </row>
    <row r="826" spans="1:13" x14ac:dyDescent="0.3">
      <c r="A826">
        <v>18</v>
      </c>
      <c r="B826" t="s">
        <v>16</v>
      </c>
      <c r="C826">
        <v>3.2</v>
      </c>
      <c r="D826" t="s">
        <v>14</v>
      </c>
      <c r="E826">
        <v>6.8</v>
      </c>
      <c r="F826">
        <v>2.2999999999999998</v>
      </c>
      <c r="G826">
        <v>3.16</v>
      </c>
      <c r="H826">
        <v>1.8</v>
      </c>
      <c r="I826" t="s">
        <v>15</v>
      </c>
      <c r="J826">
        <v>4</v>
      </c>
      <c r="K826">
        <v>8</v>
      </c>
      <c r="L826">
        <v>5</v>
      </c>
      <c r="M826">
        <v>0</v>
      </c>
    </row>
    <row r="827" spans="1:13" x14ac:dyDescent="0.3">
      <c r="A827">
        <v>17</v>
      </c>
      <c r="B827" t="s">
        <v>13</v>
      </c>
      <c r="C827">
        <v>1.5</v>
      </c>
      <c r="D827" t="s">
        <v>20</v>
      </c>
      <c r="E827">
        <v>8</v>
      </c>
      <c r="F827">
        <v>0.5</v>
      </c>
      <c r="G827">
        <v>3.01</v>
      </c>
      <c r="H827">
        <v>0.4</v>
      </c>
      <c r="I827" t="s">
        <v>19</v>
      </c>
      <c r="J827">
        <v>10</v>
      </c>
      <c r="K827">
        <v>2</v>
      </c>
      <c r="L827">
        <v>3</v>
      </c>
      <c r="M827">
        <v>0</v>
      </c>
    </row>
    <row r="828" spans="1:13" x14ac:dyDescent="0.3">
      <c r="A828">
        <v>18</v>
      </c>
      <c r="B828" t="s">
        <v>13</v>
      </c>
      <c r="C828">
        <v>7.5</v>
      </c>
      <c r="D828" t="s">
        <v>17</v>
      </c>
      <c r="E828">
        <v>5.0999999999999996</v>
      </c>
      <c r="F828">
        <v>2.6</v>
      </c>
      <c r="G828">
        <v>3.82</v>
      </c>
      <c r="H828">
        <v>0.7</v>
      </c>
      <c r="I828" t="s">
        <v>15</v>
      </c>
      <c r="J828">
        <v>7</v>
      </c>
      <c r="K828">
        <v>3</v>
      </c>
      <c r="L828">
        <v>8</v>
      </c>
      <c r="M828">
        <v>0</v>
      </c>
    </row>
    <row r="829" spans="1:13" x14ac:dyDescent="0.3">
      <c r="A829">
        <v>14</v>
      </c>
      <c r="B829" t="s">
        <v>16</v>
      </c>
      <c r="C829">
        <v>3.5</v>
      </c>
      <c r="D829" t="s">
        <v>14</v>
      </c>
      <c r="E829">
        <v>4.5999999999999996</v>
      </c>
      <c r="F829">
        <v>0.7</v>
      </c>
      <c r="G829">
        <v>2.74</v>
      </c>
      <c r="H829">
        <v>1</v>
      </c>
      <c r="I829" t="s">
        <v>15</v>
      </c>
      <c r="J829">
        <v>2</v>
      </c>
      <c r="K829">
        <v>7</v>
      </c>
      <c r="L829">
        <v>8</v>
      </c>
      <c r="M829">
        <v>0</v>
      </c>
    </row>
    <row r="830" spans="1:13" x14ac:dyDescent="0.3">
      <c r="A830">
        <v>17</v>
      </c>
      <c r="B830" t="s">
        <v>13</v>
      </c>
      <c r="C830">
        <v>4.4000000000000004</v>
      </c>
      <c r="D830" t="s">
        <v>20</v>
      </c>
      <c r="E830">
        <v>8.1999999999999993</v>
      </c>
      <c r="F830">
        <v>2.7</v>
      </c>
      <c r="G830">
        <v>3.13</v>
      </c>
      <c r="H830">
        <v>0.3</v>
      </c>
      <c r="I830" t="s">
        <v>19</v>
      </c>
      <c r="J830">
        <v>3</v>
      </c>
      <c r="K830">
        <v>1</v>
      </c>
      <c r="L830">
        <v>2</v>
      </c>
      <c r="M830">
        <v>0</v>
      </c>
    </row>
    <row r="831" spans="1:13" x14ac:dyDescent="0.3">
      <c r="A831">
        <v>17</v>
      </c>
      <c r="B831" t="s">
        <v>13</v>
      </c>
      <c r="C831">
        <v>4.5999999999999996</v>
      </c>
      <c r="D831" t="s">
        <v>17</v>
      </c>
      <c r="E831">
        <v>5.0999999999999996</v>
      </c>
      <c r="F831">
        <v>2.5</v>
      </c>
      <c r="G831">
        <v>2.13</v>
      </c>
      <c r="H831">
        <v>1</v>
      </c>
      <c r="I831" t="s">
        <v>19</v>
      </c>
      <c r="J831">
        <v>2</v>
      </c>
      <c r="K831">
        <v>5</v>
      </c>
      <c r="L831">
        <v>6</v>
      </c>
      <c r="M831">
        <v>0</v>
      </c>
    </row>
    <row r="832" spans="1:13" x14ac:dyDescent="0.3">
      <c r="A832">
        <v>13</v>
      </c>
      <c r="B832" t="s">
        <v>13</v>
      </c>
      <c r="C832">
        <v>5.9</v>
      </c>
      <c r="D832" t="s">
        <v>17</v>
      </c>
      <c r="E832">
        <v>6.6</v>
      </c>
      <c r="F832">
        <v>2.6</v>
      </c>
      <c r="G832">
        <v>3.58</v>
      </c>
      <c r="H832">
        <v>1.6</v>
      </c>
      <c r="I832" t="s">
        <v>19</v>
      </c>
      <c r="J832">
        <v>7</v>
      </c>
      <c r="K832">
        <v>7</v>
      </c>
      <c r="L832">
        <v>10</v>
      </c>
      <c r="M832">
        <v>0</v>
      </c>
    </row>
    <row r="833" spans="1:13" x14ac:dyDescent="0.3">
      <c r="A833">
        <v>16</v>
      </c>
      <c r="B833" t="s">
        <v>16</v>
      </c>
      <c r="C833">
        <v>7.8</v>
      </c>
      <c r="D833" t="s">
        <v>17</v>
      </c>
      <c r="E833">
        <v>4.7</v>
      </c>
      <c r="F833">
        <v>1.1000000000000001</v>
      </c>
      <c r="G833">
        <v>3.53</v>
      </c>
      <c r="H833">
        <v>2</v>
      </c>
      <c r="I833" t="s">
        <v>19</v>
      </c>
      <c r="J833">
        <v>9</v>
      </c>
      <c r="K833">
        <v>3</v>
      </c>
      <c r="L833">
        <v>8</v>
      </c>
      <c r="M833">
        <v>0</v>
      </c>
    </row>
    <row r="834" spans="1:13" x14ac:dyDescent="0.3">
      <c r="A834">
        <v>15</v>
      </c>
      <c r="B834" t="s">
        <v>16</v>
      </c>
      <c r="C834">
        <v>4.8</v>
      </c>
      <c r="D834" t="s">
        <v>17</v>
      </c>
      <c r="E834">
        <v>7.3</v>
      </c>
      <c r="F834">
        <v>1.9</v>
      </c>
      <c r="G834">
        <v>2.76</v>
      </c>
      <c r="H834">
        <v>0.9</v>
      </c>
      <c r="I834" t="s">
        <v>18</v>
      </c>
      <c r="J834">
        <v>2</v>
      </c>
      <c r="K834">
        <v>10</v>
      </c>
      <c r="L834">
        <v>1</v>
      </c>
      <c r="M834">
        <v>0</v>
      </c>
    </row>
    <row r="835" spans="1:13" x14ac:dyDescent="0.3">
      <c r="A835">
        <v>16</v>
      </c>
      <c r="B835" t="s">
        <v>16</v>
      </c>
      <c r="C835">
        <v>7.4</v>
      </c>
      <c r="D835" t="s">
        <v>17</v>
      </c>
      <c r="E835">
        <v>4.5999999999999996</v>
      </c>
      <c r="F835">
        <v>1</v>
      </c>
      <c r="G835">
        <v>2.23</v>
      </c>
      <c r="H835">
        <v>1.1000000000000001</v>
      </c>
      <c r="I835" t="s">
        <v>15</v>
      </c>
      <c r="J835">
        <v>2</v>
      </c>
      <c r="K835">
        <v>4</v>
      </c>
      <c r="L835">
        <v>5</v>
      </c>
      <c r="M835">
        <v>0</v>
      </c>
    </row>
    <row r="836" spans="1:13" x14ac:dyDescent="0.3">
      <c r="A836">
        <v>18</v>
      </c>
      <c r="B836" t="s">
        <v>13</v>
      </c>
      <c r="C836">
        <v>2.7</v>
      </c>
      <c r="D836" t="s">
        <v>14</v>
      </c>
      <c r="E836">
        <v>7.9</v>
      </c>
      <c r="F836">
        <v>1.2</v>
      </c>
      <c r="G836">
        <v>2.75</v>
      </c>
      <c r="H836">
        <v>1.9</v>
      </c>
      <c r="I836" t="s">
        <v>19</v>
      </c>
      <c r="J836">
        <v>5</v>
      </c>
      <c r="K836">
        <v>8</v>
      </c>
      <c r="L836">
        <v>3</v>
      </c>
      <c r="M836">
        <v>0</v>
      </c>
    </row>
    <row r="837" spans="1:13" x14ac:dyDescent="0.3">
      <c r="A837">
        <v>13</v>
      </c>
      <c r="B837" t="s">
        <v>16</v>
      </c>
      <c r="C837">
        <v>5.3</v>
      </c>
      <c r="D837" t="s">
        <v>17</v>
      </c>
      <c r="E837">
        <v>6.4</v>
      </c>
      <c r="F837">
        <v>1.1000000000000001</v>
      </c>
      <c r="G837">
        <v>3.32</v>
      </c>
      <c r="H837">
        <v>1.9</v>
      </c>
      <c r="I837" t="s">
        <v>19</v>
      </c>
      <c r="J837">
        <v>8</v>
      </c>
      <c r="K837">
        <v>5</v>
      </c>
      <c r="L837">
        <v>10</v>
      </c>
      <c r="M837">
        <v>0</v>
      </c>
    </row>
    <row r="838" spans="1:13" x14ac:dyDescent="0.3">
      <c r="A838">
        <v>16</v>
      </c>
      <c r="B838" t="s">
        <v>16</v>
      </c>
      <c r="C838">
        <v>3.6</v>
      </c>
      <c r="D838" t="s">
        <v>20</v>
      </c>
      <c r="E838">
        <v>4.4000000000000004</v>
      </c>
      <c r="F838">
        <v>2.4</v>
      </c>
      <c r="G838">
        <v>2.5299999999999998</v>
      </c>
      <c r="H838">
        <v>0.7</v>
      </c>
      <c r="I838" t="s">
        <v>19</v>
      </c>
      <c r="J838">
        <v>1</v>
      </c>
      <c r="K838">
        <v>7</v>
      </c>
      <c r="L838">
        <v>5</v>
      </c>
      <c r="M838">
        <v>0</v>
      </c>
    </row>
    <row r="839" spans="1:13" x14ac:dyDescent="0.3">
      <c r="A839">
        <v>18</v>
      </c>
      <c r="B839" t="s">
        <v>13</v>
      </c>
      <c r="C839">
        <v>2.5</v>
      </c>
      <c r="D839" t="s">
        <v>20</v>
      </c>
      <c r="E839">
        <v>5.7</v>
      </c>
      <c r="F839">
        <v>2.1</v>
      </c>
      <c r="G839">
        <v>3.33</v>
      </c>
      <c r="H839">
        <v>0.6</v>
      </c>
      <c r="I839" t="s">
        <v>15</v>
      </c>
      <c r="J839">
        <v>8</v>
      </c>
      <c r="K839">
        <v>4</v>
      </c>
      <c r="L839">
        <v>6</v>
      </c>
      <c r="M839">
        <v>0</v>
      </c>
    </row>
    <row r="840" spans="1:13" x14ac:dyDescent="0.3">
      <c r="A840">
        <v>15</v>
      </c>
      <c r="B840" t="s">
        <v>13</v>
      </c>
      <c r="C840">
        <v>4.5</v>
      </c>
      <c r="D840" t="s">
        <v>20</v>
      </c>
      <c r="E840">
        <v>7</v>
      </c>
      <c r="F840">
        <v>1.5</v>
      </c>
      <c r="G840">
        <v>3.16</v>
      </c>
      <c r="H840">
        <v>1.7</v>
      </c>
      <c r="I840" t="s">
        <v>19</v>
      </c>
      <c r="J840">
        <v>4</v>
      </c>
      <c r="K840">
        <v>7</v>
      </c>
      <c r="L840">
        <v>10</v>
      </c>
      <c r="M840">
        <v>0</v>
      </c>
    </row>
    <row r="841" spans="1:13" x14ac:dyDescent="0.3">
      <c r="A841">
        <v>18</v>
      </c>
      <c r="B841" t="s">
        <v>16</v>
      </c>
      <c r="C841">
        <v>1.9</v>
      </c>
      <c r="D841" t="s">
        <v>20</v>
      </c>
      <c r="E841">
        <v>5.0999999999999996</v>
      </c>
      <c r="F841">
        <v>2.9</v>
      </c>
      <c r="G841">
        <v>2.62</v>
      </c>
      <c r="H841">
        <v>1</v>
      </c>
      <c r="I841" t="s">
        <v>15</v>
      </c>
      <c r="J841">
        <v>4</v>
      </c>
      <c r="K841">
        <v>3</v>
      </c>
      <c r="L841">
        <v>2</v>
      </c>
      <c r="M841">
        <v>0</v>
      </c>
    </row>
    <row r="842" spans="1:13" x14ac:dyDescent="0.3">
      <c r="A842">
        <v>17</v>
      </c>
      <c r="B842" t="s">
        <v>13</v>
      </c>
      <c r="C842">
        <v>3.8</v>
      </c>
      <c r="D842" t="s">
        <v>14</v>
      </c>
      <c r="E842">
        <v>7.7</v>
      </c>
      <c r="F842">
        <v>0.7</v>
      </c>
      <c r="G842">
        <v>3.45</v>
      </c>
      <c r="H842">
        <v>1</v>
      </c>
      <c r="I842" t="s">
        <v>15</v>
      </c>
      <c r="J842">
        <v>2</v>
      </c>
      <c r="K842">
        <v>8</v>
      </c>
      <c r="L842">
        <v>9</v>
      </c>
      <c r="M842">
        <v>0</v>
      </c>
    </row>
    <row r="843" spans="1:13" x14ac:dyDescent="0.3">
      <c r="A843">
        <v>18</v>
      </c>
      <c r="B843" t="s">
        <v>16</v>
      </c>
      <c r="C843">
        <v>3.9</v>
      </c>
      <c r="D843" t="s">
        <v>20</v>
      </c>
      <c r="E843">
        <v>4</v>
      </c>
      <c r="F843">
        <v>1.8</v>
      </c>
      <c r="G843">
        <v>2.19</v>
      </c>
      <c r="H843">
        <v>1.4</v>
      </c>
      <c r="I843" t="s">
        <v>18</v>
      </c>
      <c r="J843">
        <v>1</v>
      </c>
      <c r="K843">
        <v>2</v>
      </c>
      <c r="L843">
        <v>5</v>
      </c>
      <c r="M843">
        <v>0</v>
      </c>
    </row>
    <row r="844" spans="1:13" x14ac:dyDescent="0.3">
      <c r="A844">
        <v>17</v>
      </c>
      <c r="B844" t="s">
        <v>16</v>
      </c>
      <c r="C844">
        <v>1.1000000000000001</v>
      </c>
      <c r="D844" t="s">
        <v>20</v>
      </c>
      <c r="E844">
        <v>8.6999999999999993</v>
      </c>
      <c r="F844">
        <v>2.1</v>
      </c>
      <c r="G844">
        <v>3.01</v>
      </c>
      <c r="H844">
        <v>0.7</v>
      </c>
      <c r="I844" t="s">
        <v>19</v>
      </c>
      <c r="J844">
        <v>1</v>
      </c>
      <c r="K844">
        <v>1</v>
      </c>
      <c r="L844">
        <v>3</v>
      </c>
      <c r="M844">
        <v>0</v>
      </c>
    </row>
    <row r="845" spans="1:13" x14ac:dyDescent="0.3">
      <c r="A845">
        <v>15</v>
      </c>
      <c r="B845" t="s">
        <v>16</v>
      </c>
      <c r="C845">
        <v>3.9</v>
      </c>
      <c r="D845" t="s">
        <v>20</v>
      </c>
      <c r="E845">
        <v>8.6999999999999993</v>
      </c>
      <c r="F845">
        <v>1.1000000000000001</v>
      </c>
      <c r="G845">
        <v>2.82</v>
      </c>
      <c r="H845">
        <v>0.3</v>
      </c>
      <c r="I845" t="s">
        <v>18</v>
      </c>
      <c r="J845">
        <v>5</v>
      </c>
      <c r="K845">
        <v>10</v>
      </c>
      <c r="L845">
        <v>6</v>
      </c>
      <c r="M845">
        <v>0</v>
      </c>
    </row>
    <row r="846" spans="1:13" x14ac:dyDescent="0.3">
      <c r="A846">
        <v>16</v>
      </c>
      <c r="B846" t="s">
        <v>13</v>
      </c>
      <c r="C846">
        <v>8</v>
      </c>
      <c r="D846" t="s">
        <v>14</v>
      </c>
      <c r="E846">
        <v>8.1</v>
      </c>
      <c r="F846">
        <v>2.5</v>
      </c>
      <c r="G846">
        <v>2.7</v>
      </c>
      <c r="H846">
        <v>1.7</v>
      </c>
      <c r="I846" t="s">
        <v>19</v>
      </c>
      <c r="J846">
        <v>4</v>
      </c>
      <c r="K846">
        <v>5</v>
      </c>
      <c r="L846">
        <v>7</v>
      </c>
      <c r="M846">
        <v>0</v>
      </c>
    </row>
    <row r="847" spans="1:13" x14ac:dyDescent="0.3">
      <c r="A847">
        <v>14</v>
      </c>
      <c r="B847" t="s">
        <v>16</v>
      </c>
      <c r="C847">
        <v>1.2</v>
      </c>
      <c r="D847" t="s">
        <v>17</v>
      </c>
      <c r="E847">
        <v>8.5</v>
      </c>
      <c r="F847">
        <v>2.2999999999999998</v>
      </c>
      <c r="G847">
        <v>3.91</v>
      </c>
      <c r="H847">
        <v>1.8</v>
      </c>
      <c r="I847" t="s">
        <v>18</v>
      </c>
      <c r="J847">
        <v>1</v>
      </c>
      <c r="K847">
        <v>8</v>
      </c>
      <c r="L847">
        <v>1</v>
      </c>
      <c r="M847">
        <v>0</v>
      </c>
    </row>
    <row r="848" spans="1:13" x14ac:dyDescent="0.3">
      <c r="A848">
        <v>15</v>
      </c>
      <c r="B848" t="s">
        <v>13</v>
      </c>
      <c r="C848">
        <v>2.2000000000000002</v>
      </c>
      <c r="D848" t="s">
        <v>14</v>
      </c>
      <c r="E848">
        <v>6.1</v>
      </c>
      <c r="F848">
        <v>0.9</v>
      </c>
      <c r="G848">
        <v>3.81</v>
      </c>
      <c r="H848">
        <v>0.1</v>
      </c>
      <c r="I848" t="s">
        <v>18</v>
      </c>
      <c r="J848">
        <v>2</v>
      </c>
      <c r="K848">
        <v>7</v>
      </c>
      <c r="L848">
        <v>3</v>
      </c>
      <c r="M848">
        <v>0</v>
      </c>
    </row>
    <row r="849" spans="1:13" x14ac:dyDescent="0.3">
      <c r="A849">
        <v>15</v>
      </c>
      <c r="B849" t="s">
        <v>16</v>
      </c>
      <c r="C849">
        <v>4.2</v>
      </c>
      <c r="D849" t="s">
        <v>17</v>
      </c>
      <c r="E849">
        <v>6.8</v>
      </c>
      <c r="F849">
        <v>1.4</v>
      </c>
      <c r="G849">
        <v>2.0099999999999998</v>
      </c>
      <c r="H849">
        <v>1</v>
      </c>
      <c r="I849" t="s">
        <v>15</v>
      </c>
      <c r="J849">
        <v>6</v>
      </c>
      <c r="K849">
        <v>6</v>
      </c>
      <c r="L849">
        <v>4</v>
      </c>
      <c r="M849">
        <v>0</v>
      </c>
    </row>
    <row r="850" spans="1:13" x14ac:dyDescent="0.3">
      <c r="A850">
        <v>19</v>
      </c>
      <c r="B850" t="s">
        <v>13</v>
      </c>
      <c r="C850">
        <v>6</v>
      </c>
      <c r="D850" t="s">
        <v>20</v>
      </c>
      <c r="E850">
        <v>5.6</v>
      </c>
      <c r="F850">
        <v>1.1000000000000001</v>
      </c>
      <c r="G850">
        <v>2.4300000000000002</v>
      </c>
      <c r="H850">
        <v>1.7</v>
      </c>
      <c r="I850" t="s">
        <v>19</v>
      </c>
      <c r="J850">
        <v>1</v>
      </c>
      <c r="K850">
        <v>3</v>
      </c>
      <c r="L850">
        <v>3</v>
      </c>
      <c r="M850">
        <v>0</v>
      </c>
    </row>
    <row r="851" spans="1:13" x14ac:dyDescent="0.3">
      <c r="A851">
        <v>19</v>
      </c>
      <c r="B851" t="s">
        <v>13</v>
      </c>
      <c r="C851">
        <v>5.4</v>
      </c>
      <c r="D851" t="s">
        <v>14</v>
      </c>
      <c r="E851">
        <v>4.9000000000000004</v>
      </c>
      <c r="F851">
        <v>0.6</v>
      </c>
      <c r="G851">
        <v>3.17</v>
      </c>
      <c r="H851">
        <v>0</v>
      </c>
      <c r="I851" t="s">
        <v>15</v>
      </c>
      <c r="J851">
        <v>5</v>
      </c>
      <c r="K851">
        <v>6</v>
      </c>
      <c r="L851">
        <v>10</v>
      </c>
      <c r="M851">
        <v>0</v>
      </c>
    </row>
    <row r="852" spans="1:13" x14ac:dyDescent="0.3">
      <c r="A852">
        <v>15</v>
      </c>
      <c r="B852" t="s">
        <v>16</v>
      </c>
      <c r="C852">
        <v>2.7</v>
      </c>
      <c r="D852" t="s">
        <v>17</v>
      </c>
      <c r="E852">
        <v>7.6</v>
      </c>
      <c r="F852">
        <v>2.5</v>
      </c>
      <c r="G852">
        <v>2.37</v>
      </c>
      <c r="H852">
        <v>1.9</v>
      </c>
      <c r="I852" t="s">
        <v>18</v>
      </c>
      <c r="J852">
        <v>1</v>
      </c>
      <c r="K852">
        <v>8</v>
      </c>
      <c r="L852">
        <v>7</v>
      </c>
      <c r="M852">
        <v>0</v>
      </c>
    </row>
    <row r="853" spans="1:13" x14ac:dyDescent="0.3">
      <c r="A853">
        <v>19</v>
      </c>
      <c r="B853" t="s">
        <v>16</v>
      </c>
      <c r="C853">
        <v>1.9</v>
      </c>
      <c r="D853" t="s">
        <v>20</v>
      </c>
      <c r="E853">
        <v>6.2</v>
      </c>
      <c r="F853">
        <v>0.9</v>
      </c>
      <c r="G853">
        <v>2.4700000000000002</v>
      </c>
      <c r="H853">
        <v>1.4</v>
      </c>
      <c r="I853" t="s">
        <v>15</v>
      </c>
      <c r="J853">
        <v>5</v>
      </c>
      <c r="K853">
        <v>6</v>
      </c>
      <c r="L853">
        <v>7</v>
      </c>
      <c r="M853">
        <v>0</v>
      </c>
    </row>
    <row r="854" spans="1:13" x14ac:dyDescent="0.3">
      <c r="A854">
        <v>14</v>
      </c>
      <c r="B854" t="s">
        <v>13</v>
      </c>
      <c r="C854">
        <v>1.5</v>
      </c>
      <c r="D854" t="s">
        <v>20</v>
      </c>
      <c r="E854">
        <v>6.8</v>
      </c>
      <c r="F854">
        <v>0.8</v>
      </c>
      <c r="G854">
        <v>3.14</v>
      </c>
      <c r="H854">
        <v>0</v>
      </c>
      <c r="I854" t="s">
        <v>19</v>
      </c>
      <c r="J854">
        <v>4</v>
      </c>
      <c r="K854">
        <v>5</v>
      </c>
      <c r="L854">
        <v>8</v>
      </c>
      <c r="M854">
        <v>0</v>
      </c>
    </row>
    <row r="855" spans="1:13" x14ac:dyDescent="0.3">
      <c r="A855">
        <v>17</v>
      </c>
      <c r="B855" t="s">
        <v>16</v>
      </c>
      <c r="C855">
        <v>2.6</v>
      </c>
      <c r="D855" t="s">
        <v>17</v>
      </c>
      <c r="E855">
        <v>4.8</v>
      </c>
      <c r="F855">
        <v>0.7</v>
      </c>
      <c r="G855">
        <v>2.52</v>
      </c>
      <c r="H855">
        <v>1.8</v>
      </c>
      <c r="I855" t="s">
        <v>19</v>
      </c>
      <c r="J855">
        <v>9</v>
      </c>
      <c r="K855">
        <v>6</v>
      </c>
      <c r="L855">
        <v>6</v>
      </c>
      <c r="M855">
        <v>0</v>
      </c>
    </row>
    <row r="856" spans="1:13" x14ac:dyDescent="0.3">
      <c r="A856">
        <v>16</v>
      </c>
      <c r="B856" t="s">
        <v>13</v>
      </c>
      <c r="C856">
        <v>1.2</v>
      </c>
      <c r="D856" t="s">
        <v>14</v>
      </c>
      <c r="E856">
        <v>7.3</v>
      </c>
      <c r="F856">
        <v>1</v>
      </c>
      <c r="G856">
        <v>2.36</v>
      </c>
      <c r="H856">
        <v>1.1000000000000001</v>
      </c>
      <c r="I856" t="s">
        <v>19</v>
      </c>
      <c r="J856">
        <v>5</v>
      </c>
      <c r="K856">
        <v>3</v>
      </c>
      <c r="L856">
        <v>6</v>
      </c>
      <c r="M856">
        <v>0</v>
      </c>
    </row>
    <row r="857" spans="1:13" x14ac:dyDescent="0.3">
      <c r="A857">
        <v>18</v>
      </c>
      <c r="B857" t="s">
        <v>16</v>
      </c>
      <c r="C857">
        <v>1.8</v>
      </c>
      <c r="D857" t="s">
        <v>20</v>
      </c>
      <c r="E857">
        <v>7.8</v>
      </c>
      <c r="F857">
        <v>2</v>
      </c>
      <c r="G857">
        <v>2.67</v>
      </c>
      <c r="H857">
        <v>0.8</v>
      </c>
      <c r="I857" t="s">
        <v>15</v>
      </c>
      <c r="J857">
        <v>4</v>
      </c>
      <c r="K857">
        <v>6</v>
      </c>
      <c r="L857">
        <v>3</v>
      </c>
      <c r="M857">
        <v>0</v>
      </c>
    </row>
    <row r="858" spans="1:13" x14ac:dyDescent="0.3">
      <c r="A858">
        <v>19</v>
      </c>
      <c r="B858" t="s">
        <v>13</v>
      </c>
      <c r="C858">
        <v>4.8</v>
      </c>
      <c r="D858" t="s">
        <v>20</v>
      </c>
      <c r="E858">
        <v>7.5</v>
      </c>
      <c r="F858">
        <v>1</v>
      </c>
      <c r="G858">
        <v>2.68</v>
      </c>
      <c r="H858">
        <v>1.5</v>
      </c>
      <c r="I858" t="s">
        <v>15</v>
      </c>
      <c r="J858">
        <v>9</v>
      </c>
      <c r="K858">
        <v>4</v>
      </c>
      <c r="L858">
        <v>6</v>
      </c>
      <c r="M858">
        <v>0</v>
      </c>
    </row>
    <row r="859" spans="1:13" x14ac:dyDescent="0.3">
      <c r="A859">
        <v>19</v>
      </c>
      <c r="B859" t="s">
        <v>13</v>
      </c>
      <c r="C859">
        <v>2.1</v>
      </c>
      <c r="D859" t="s">
        <v>20</v>
      </c>
      <c r="E859">
        <v>5.6</v>
      </c>
      <c r="F859">
        <v>2.4</v>
      </c>
      <c r="G859">
        <v>3.56</v>
      </c>
      <c r="H859">
        <v>1</v>
      </c>
      <c r="I859" t="s">
        <v>18</v>
      </c>
      <c r="J859">
        <v>9</v>
      </c>
      <c r="K859">
        <v>3</v>
      </c>
      <c r="L859">
        <v>4</v>
      </c>
      <c r="M859">
        <v>0</v>
      </c>
    </row>
    <row r="860" spans="1:13" x14ac:dyDescent="0.3">
      <c r="A860">
        <v>15</v>
      </c>
      <c r="B860" t="s">
        <v>13</v>
      </c>
      <c r="C860">
        <v>4.4000000000000004</v>
      </c>
      <c r="D860" t="s">
        <v>14</v>
      </c>
      <c r="E860">
        <v>6</v>
      </c>
      <c r="F860">
        <v>0.5</v>
      </c>
      <c r="G860">
        <v>3.33</v>
      </c>
      <c r="H860">
        <v>0.7</v>
      </c>
      <c r="I860" t="s">
        <v>19</v>
      </c>
      <c r="J860">
        <v>1</v>
      </c>
      <c r="K860">
        <v>6</v>
      </c>
      <c r="L860">
        <v>10</v>
      </c>
      <c r="M860">
        <v>0</v>
      </c>
    </row>
    <row r="861" spans="1:13" x14ac:dyDescent="0.3">
      <c r="A861">
        <v>14</v>
      </c>
      <c r="B861" t="s">
        <v>13</v>
      </c>
      <c r="C861">
        <v>2.8</v>
      </c>
      <c r="D861" t="s">
        <v>20</v>
      </c>
      <c r="E861">
        <v>4.3</v>
      </c>
      <c r="F861">
        <v>3</v>
      </c>
      <c r="G861">
        <v>2.14</v>
      </c>
      <c r="H861">
        <v>1.9</v>
      </c>
      <c r="I861" t="s">
        <v>19</v>
      </c>
      <c r="J861">
        <v>9</v>
      </c>
      <c r="K861">
        <v>3</v>
      </c>
      <c r="L861">
        <v>7</v>
      </c>
      <c r="M861">
        <v>0</v>
      </c>
    </row>
    <row r="862" spans="1:13" x14ac:dyDescent="0.3">
      <c r="A862">
        <v>15</v>
      </c>
      <c r="B862" t="s">
        <v>13</v>
      </c>
      <c r="C862">
        <v>3.5</v>
      </c>
      <c r="D862" t="s">
        <v>17</v>
      </c>
      <c r="E862">
        <v>4.5</v>
      </c>
      <c r="F862">
        <v>2.7</v>
      </c>
      <c r="G862">
        <v>2.4700000000000002</v>
      </c>
      <c r="H862">
        <v>1.4</v>
      </c>
      <c r="I862" t="s">
        <v>15</v>
      </c>
      <c r="J862">
        <v>1</v>
      </c>
      <c r="K862">
        <v>5</v>
      </c>
      <c r="L862">
        <v>10</v>
      </c>
      <c r="M862">
        <v>0</v>
      </c>
    </row>
    <row r="863" spans="1:13" x14ac:dyDescent="0.3">
      <c r="A863">
        <v>15</v>
      </c>
      <c r="B863" t="s">
        <v>13</v>
      </c>
      <c r="C863">
        <v>6.8</v>
      </c>
      <c r="D863" t="s">
        <v>20</v>
      </c>
      <c r="E863">
        <v>6.6</v>
      </c>
      <c r="F863">
        <v>2.1</v>
      </c>
      <c r="G863">
        <v>3.43</v>
      </c>
      <c r="H863">
        <v>1.7</v>
      </c>
      <c r="I863" t="s">
        <v>15</v>
      </c>
      <c r="J863">
        <v>10</v>
      </c>
      <c r="K863">
        <v>10</v>
      </c>
      <c r="L863">
        <v>8</v>
      </c>
      <c r="M863">
        <v>0</v>
      </c>
    </row>
    <row r="864" spans="1:13" x14ac:dyDescent="0.3">
      <c r="A864">
        <v>14</v>
      </c>
      <c r="B864" t="s">
        <v>13</v>
      </c>
      <c r="C864">
        <v>7</v>
      </c>
      <c r="D864" t="s">
        <v>14</v>
      </c>
      <c r="E864">
        <v>5.2</v>
      </c>
      <c r="F864">
        <v>1.4</v>
      </c>
      <c r="G864">
        <v>3.27</v>
      </c>
      <c r="H864">
        <v>1.7</v>
      </c>
      <c r="I864" t="s">
        <v>19</v>
      </c>
      <c r="J864">
        <v>5</v>
      </c>
      <c r="K864">
        <v>7</v>
      </c>
      <c r="L864">
        <v>8</v>
      </c>
      <c r="M864">
        <v>0</v>
      </c>
    </row>
    <row r="865" spans="1:13" x14ac:dyDescent="0.3">
      <c r="A865">
        <v>17</v>
      </c>
      <c r="B865" t="s">
        <v>16</v>
      </c>
      <c r="C865">
        <v>7.5</v>
      </c>
      <c r="D865" t="s">
        <v>20</v>
      </c>
      <c r="E865">
        <v>8.1</v>
      </c>
      <c r="F865">
        <v>2.8</v>
      </c>
      <c r="G865">
        <v>2.58</v>
      </c>
      <c r="H865">
        <v>0.5</v>
      </c>
      <c r="I865" t="s">
        <v>19</v>
      </c>
      <c r="J865">
        <v>2</v>
      </c>
      <c r="K865">
        <v>2</v>
      </c>
      <c r="L865">
        <v>3</v>
      </c>
      <c r="M865">
        <v>0</v>
      </c>
    </row>
    <row r="866" spans="1:13" x14ac:dyDescent="0.3">
      <c r="A866">
        <v>17</v>
      </c>
      <c r="B866" t="s">
        <v>16</v>
      </c>
      <c r="C866">
        <v>2.5</v>
      </c>
      <c r="D866" t="s">
        <v>14</v>
      </c>
      <c r="E866">
        <v>4.4000000000000004</v>
      </c>
      <c r="F866">
        <v>2</v>
      </c>
      <c r="G866">
        <v>3.29</v>
      </c>
      <c r="H866">
        <v>0.7</v>
      </c>
      <c r="I866" t="s">
        <v>15</v>
      </c>
      <c r="J866">
        <v>4</v>
      </c>
      <c r="K866">
        <v>6</v>
      </c>
      <c r="L866">
        <v>5</v>
      </c>
      <c r="M866">
        <v>0</v>
      </c>
    </row>
    <row r="867" spans="1:13" x14ac:dyDescent="0.3">
      <c r="A867">
        <v>15</v>
      </c>
      <c r="B867" t="s">
        <v>13</v>
      </c>
      <c r="C867">
        <v>6.5</v>
      </c>
      <c r="D867" t="s">
        <v>17</v>
      </c>
      <c r="E867">
        <v>5.4</v>
      </c>
      <c r="F867">
        <v>2.1</v>
      </c>
      <c r="G867">
        <v>3.44</v>
      </c>
      <c r="H867">
        <v>1.8</v>
      </c>
      <c r="I867" t="s">
        <v>15</v>
      </c>
      <c r="J867">
        <v>7</v>
      </c>
      <c r="K867">
        <v>3</v>
      </c>
      <c r="L867">
        <v>6</v>
      </c>
      <c r="M867">
        <v>0</v>
      </c>
    </row>
    <row r="868" spans="1:13" x14ac:dyDescent="0.3">
      <c r="A868">
        <v>13</v>
      </c>
      <c r="B868" t="s">
        <v>13</v>
      </c>
      <c r="C868">
        <v>7.7</v>
      </c>
      <c r="D868" t="s">
        <v>14</v>
      </c>
      <c r="E868">
        <v>4.4000000000000004</v>
      </c>
      <c r="F868">
        <v>2</v>
      </c>
      <c r="G868">
        <v>3.09</v>
      </c>
      <c r="H868">
        <v>1</v>
      </c>
      <c r="I868" t="s">
        <v>18</v>
      </c>
      <c r="J868">
        <v>8</v>
      </c>
      <c r="K868">
        <v>7</v>
      </c>
      <c r="L868">
        <v>8</v>
      </c>
      <c r="M868">
        <v>1</v>
      </c>
    </row>
    <row r="869" spans="1:13" x14ac:dyDescent="0.3">
      <c r="A869">
        <v>18</v>
      </c>
      <c r="B869" t="s">
        <v>16</v>
      </c>
      <c r="C869">
        <v>3.2</v>
      </c>
      <c r="D869" t="s">
        <v>20</v>
      </c>
      <c r="E869">
        <v>7.8</v>
      </c>
      <c r="F869">
        <v>0.7</v>
      </c>
      <c r="G869">
        <v>3.46</v>
      </c>
      <c r="H869">
        <v>1.3</v>
      </c>
      <c r="I869" t="s">
        <v>15</v>
      </c>
      <c r="J869">
        <v>5</v>
      </c>
      <c r="K869">
        <v>10</v>
      </c>
      <c r="L869">
        <v>6</v>
      </c>
      <c r="M869">
        <v>0</v>
      </c>
    </row>
    <row r="870" spans="1:13" x14ac:dyDescent="0.3">
      <c r="A870">
        <v>16</v>
      </c>
      <c r="B870" t="s">
        <v>16</v>
      </c>
      <c r="C870">
        <v>5.3</v>
      </c>
      <c r="D870" t="s">
        <v>17</v>
      </c>
      <c r="E870">
        <v>4.3</v>
      </c>
      <c r="F870">
        <v>1.5</v>
      </c>
      <c r="G870">
        <v>2.54</v>
      </c>
      <c r="H870">
        <v>0.3</v>
      </c>
      <c r="I870" t="s">
        <v>18</v>
      </c>
      <c r="J870">
        <v>7</v>
      </c>
      <c r="K870">
        <v>7</v>
      </c>
      <c r="L870">
        <v>10</v>
      </c>
      <c r="M870">
        <v>1</v>
      </c>
    </row>
    <row r="871" spans="1:13" x14ac:dyDescent="0.3">
      <c r="A871">
        <v>14</v>
      </c>
      <c r="B871" t="s">
        <v>13</v>
      </c>
      <c r="C871">
        <v>5</v>
      </c>
      <c r="D871" t="s">
        <v>17</v>
      </c>
      <c r="E871">
        <v>5.2</v>
      </c>
      <c r="F871">
        <v>0.5</v>
      </c>
      <c r="G871">
        <v>3.55</v>
      </c>
      <c r="H871">
        <v>0.4</v>
      </c>
      <c r="I871" t="s">
        <v>15</v>
      </c>
      <c r="J871">
        <v>10</v>
      </c>
      <c r="K871">
        <v>6</v>
      </c>
      <c r="L871">
        <v>8</v>
      </c>
      <c r="M871">
        <v>0</v>
      </c>
    </row>
    <row r="872" spans="1:13" x14ac:dyDescent="0.3">
      <c r="A872">
        <v>19</v>
      </c>
      <c r="B872" t="s">
        <v>13</v>
      </c>
      <c r="C872">
        <v>6.1</v>
      </c>
      <c r="D872" t="s">
        <v>14</v>
      </c>
      <c r="E872">
        <v>7.1</v>
      </c>
      <c r="F872">
        <v>2.2999999999999998</v>
      </c>
      <c r="G872">
        <v>3.22</v>
      </c>
      <c r="H872">
        <v>0.5</v>
      </c>
      <c r="I872" t="s">
        <v>15</v>
      </c>
      <c r="J872">
        <v>4</v>
      </c>
      <c r="K872">
        <v>3</v>
      </c>
      <c r="L872">
        <v>7</v>
      </c>
      <c r="M872">
        <v>0</v>
      </c>
    </row>
    <row r="873" spans="1:13" x14ac:dyDescent="0.3">
      <c r="A873">
        <v>17</v>
      </c>
      <c r="B873" t="s">
        <v>13</v>
      </c>
      <c r="C873">
        <v>4.2</v>
      </c>
      <c r="D873" t="s">
        <v>17</v>
      </c>
      <c r="E873">
        <v>7.3</v>
      </c>
      <c r="F873">
        <v>2.6</v>
      </c>
      <c r="G873">
        <v>3.2</v>
      </c>
      <c r="H873">
        <v>0.2</v>
      </c>
      <c r="I873" t="s">
        <v>18</v>
      </c>
      <c r="J873">
        <v>7</v>
      </c>
      <c r="K873">
        <v>1</v>
      </c>
      <c r="L873">
        <v>3</v>
      </c>
      <c r="M873">
        <v>0</v>
      </c>
    </row>
    <row r="874" spans="1:13" x14ac:dyDescent="0.3">
      <c r="A874">
        <v>15</v>
      </c>
      <c r="B874" t="s">
        <v>13</v>
      </c>
      <c r="C874">
        <v>4.7</v>
      </c>
      <c r="D874" t="s">
        <v>14</v>
      </c>
      <c r="E874">
        <v>8.1999999999999993</v>
      </c>
      <c r="F874">
        <v>2.2999999999999998</v>
      </c>
      <c r="G874">
        <v>3.35</v>
      </c>
      <c r="H874">
        <v>0.6</v>
      </c>
      <c r="I874" t="s">
        <v>15</v>
      </c>
      <c r="J874">
        <v>6</v>
      </c>
      <c r="K874">
        <v>2</v>
      </c>
      <c r="L874">
        <v>5</v>
      </c>
      <c r="M874">
        <v>0</v>
      </c>
    </row>
    <row r="875" spans="1:13" x14ac:dyDescent="0.3">
      <c r="A875">
        <v>18</v>
      </c>
      <c r="B875" t="s">
        <v>13</v>
      </c>
      <c r="C875">
        <v>1.6</v>
      </c>
      <c r="D875" t="s">
        <v>17</v>
      </c>
      <c r="E875">
        <v>5.8</v>
      </c>
      <c r="F875">
        <v>0.6</v>
      </c>
      <c r="G875">
        <v>3.63</v>
      </c>
      <c r="H875">
        <v>1.1000000000000001</v>
      </c>
      <c r="I875" t="s">
        <v>18</v>
      </c>
      <c r="J875">
        <v>6</v>
      </c>
      <c r="K875">
        <v>9</v>
      </c>
      <c r="L875">
        <v>7</v>
      </c>
      <c r="M875">
        <v>0</v>
      </c>
    </row>
    <row r="876" spans="1:13" x14ac:dyDescent="0.3">
      <c r="A876">
        <v>14</v>
      </c>
      <c r="B876" t="s">
        <v>16</v>
      </c>
      <c r="C876">
        <v>1.7</v>
      </c>
      <c r="D876" t="s">
        <v>17</v>
      </c>
      <c r="E876">
        <v>6.5</v>
      </c>
      <c r="F876">
        <v>2.7</v>
      </c>
      <c r="G876">
        <v>2.06</v>
      </c>
      <c r="H876">
        <v>0.1</v>
      </c>
      <c r="I876" t="s">
        <v>19</v>
      </c>
      <c r="J876">
        <v>9</v>
      </c>
      <c r="K876">
        <v>5</v>
      </c>
      <c r="L876">
        <v>9</v>
      </c>
      <c r="M876">
        <v>0</v>
      </c>
    </row>
    <row r="877" spans="1:13" x14ac:dyDescent="0.3">
      <c r="A877">
        <v>18</v>
      </c>
      <c r="B877" t="s">
        <v>13</v>
      </c>
      <c r="C877">
        <v>4.5999999999999996</v>
      </c>
      <c r="D877" t="s">
        <v>14</v>
      </c>
      <c r="E877">
        <v>4.0999999999999996</v>
      </c>
      <c r="F877">
        <v>1.4</v>
      </c>
      <c r="G877">
        <v>2.2799999999999998</v>
      </c>
      <c r="H877">
        <v>0.4</v>
      </c>
      <c r="I877" t="s">
        <v>19</v>
      </c>
      <c r="J877">
        <v>4</v>
      </c>
      <c r="K877">
        <v>10</v>
      </c>
      <c r="L877">
        <v>10</v>
      </c>
      <c r="M877">
        <v>0</v>
      </c>
    </row>
    <row r="878" spans="1:13" x14ac:dyDescent="0.3">
      <c r="A878">
        <v>13</v>
      </c>
      <c r="B878" t="s">
        <v>16</v>
      </c>
      <c r="C878">
        <v>2.5</v>
      </c>
      <c r="D878" t="s">
        <v>17</v>
      </c>
      <c r="E878">
        <v>6.8</v>
      </c>
      <c r="F878">
        <v>2.8</v>
      </c>
      <c r="G878">
        <v>2.77</v>
      </c>
      <c r="H878">
        <v>0.5</v>
      </c>
      <c r="I878" t="s">
        <v>15</v>
      </c>
      <c r="J878">
        <v>2</v>
      </c>
      <c r="K878">
        <v>6</v>
      </c>
      <c r="L878">
        <v>10</v>
      </c>
      <c r="M878">
        <v>0</v>
      </c>
    </row>
    <row r="879" spans="1:13" x14ac:dyDescent="0.3">
      <c r="A879">
        <v>16</v>
      </c>
      <c r="B879" t="s">
        <v>16</v>
      </c>
      <c r="C879">
        <v>4.2</v>
      </c>
      <c r="D879" t="s">
        <v>17</v>
      </c>
      <c r="E879">
        <v>6.3</v>
      </c>
      <c r="F879">
        <v>1.2</v>
      </c>
      <c r="G879">
        <v>3.72</v>
      </c>
      <c r="H879">
        <v>1.9</v>
      </c>
      <c r="I879" t="s">
        <v>15</v>
      </c>
      <c r="J879">
        <v>5</v>
      </c>
      <c r="K879">
        <v>3</v>
      </c>
      <c r="L879">
        <v>7</v>
      </c>
      <c r="M879">
        <v>0</v>
      </c>
    </row>
    <row r="880" spans="1:13" x14ac:dyDescent="0.3">
      <c r="A880">
        <v>19</v>
      </c>
      <c r="B880" t="s">
        <v>16</v>
      </c>
      <c r="C880">
        <v>1.2</v>
      </c>
      <c r="D880" t="s">
        <v>17</v>
      </c>
      <c r="E880">
        <v>4.8</v>
      </c>
      <c r="F880">
        <v>1.7</v>
      </c>
      <c r="G880">
        <v>2.16</v>
      </c>
      <c r="H880">
        <v>0.6</v>
      </c>
      <c r="I880" t="s">
        <v>19</v>
      </c>
      <c r="J880">
        <v>10</v>
      </c>
      <c r="K880">
        <v>10</v>
      </c>
      <c r="L880">
        <v>10</v>
      </c>
      <c r="M880">
        <v>0</v>
      </c>
    </row>
    <row r="881" spans="1:13" x14ac:dyDescent="0.3">
      <c r="A881">
        <v>15</v>
      </c>
      <c r="B881" t="s">
        <v>13</v>
      </c>
      <c r="C881">
        <v>2.7</v>
      </c>
      <c r="D881" t="s">
        <v>14</v>
      </c>
      <c r="E881">
        <v>7.2</v>
      </c>
      <c r="F881">
        <v>2.9</v>
      </c>
      <c r="G881">
        <v>3.27</v>
      </c>
      <c r="H881">
        <v>0.8</v>
      </c>
      <c r="I881" t="s">
        <v>19</v>
      </c>
      <c r="J881">
        <v>5</v>
      </c>
      <c r="K881">
        <v>2</v>
      </c>
      <c r="L881">
        <v>9</v>
      </c>
      <c r="M881">
        <v>0</v>
      </c>
    </row>
    <row r="882" spans="1:13" x14ac:dyDescent="0.3">
      <c r="A882">
        <v>13</v>
      </c>
      <c r="B882" t="s">
        <v>13</v>
      </c>
      <c r="C882">
        <v>1.5</v>
      </c>
      <c r="D882" t="s">
        <v>20</v>
      </c>
      <c r="E882">
        <v>5.2</v>
      </c>
      <c r="F882">
        <v>0.8</v>
      </c>
      <c r="G882">
        <v>2.16</v>
      </c>
      <c r="H882">
        <v>0.9</v>
      </c>
      <c r="I882" t="s">
        <v>19</v>
      </c>
      <c r="J882">
        <v>10</v>
      </c>
      <c r="K882">
        <v>6</v>
      </c>
      <c r="L882">
        <v>8</v>
      </c>
      <c r="M882">
        <v>0</v>
      </c>
    </row>
    <row r="883" spans="1:13" x14ac:dyDescent="0.3">
      <c r="A883">
        <v>15</v>
      </c>
      <c r="B883" t="s">
        <v>13</v>
      </c>
      <c r="C883">
        <v>3.2</v>
      </c>
      <c r="D883" t="s">
        <v>14</v>
      </c>
      <c r="E883">
        <v>5.6</v>
      </c>
      <c r="F883">
        <v>0.7</v>
      </c>
      <c r="G883">
        <v>3.1</v>
      </c>
      <c r="H883">
        <v>1.5</v>
      </c>
      <c r="I883" t="s">
        <v>18</v>
      </c>
      <c r="J883">
        <v>6</v>
      </c>
      <c r="K883">
        <v>3</v>
      </c>
      <c r="L883">
        <v>1</v>
      </c>
      <c r="M883">
        <v>0</v>
      </c>
    </row>
    <row r="884" spans="1:13" x14ac:dyDescent="0.3">
      <c r="A884">
        <v>19</v>
      </c>
      <c r="B884" t="s">
        <v>16</v>
      </c>
      <c r="C884">
        <v>7.3</v>
      </c>
      <c r="D884" t="s">
        <v>20</v>
      </c>
      <c r="E884">
        <v>7.4</v>
      </c>
      <c r="F884">
        <v>1.5</v>
      </c>
      <c r="G884">
        <v>2.84</v>
      </c>
      <c r="H884">
        <v>1</v>
      </c>
      <c r="I884" t="s">
        <v>19</v>
      </c>
      <c r="J884">
        <v>9</v>
      </c>
      <c r="K884">
        <v>8</v>
      </c>
      <c r="L884">
        <v>5</v>
      </c>
      <c r="M884">
        <v>0</v>
      </c>
    </row>
    <row r="885" spans="1:13" x14ac:dyDescent="0.3">
      <c r="A885">
        <v>16</v>
      </c>
      <c r="B885" t="s">
        <v>13</v>
      </c>
      <c r="C885">
        <v>2</v>
      </c>
      <c r="D885" t="s">
        <v>14</v>
      </c>
      <c r="E885">
        <v>8.1999999999999993</v>
      </c>
      <c r="F885">
        <v>1</v>
      </c>
      <c r="G885">
        <v>3.15</v>
      </c>
      <c r="H885">
        <v>0.9</v>
      </c>
      <c r="I885" t="s">
        <v>19</v>
      </c>
      <c r="J885">
        <v>9</v>
      </c>
      <c r="K885">
        <v>7</v>
      </c>
      <c r="L885">
        <v>10</v>
      </c>
      <c r="M885">
        <v>0</v>
      </c>
    </row>
    <row r="886" spans="1:13" x14ac:dyDescent="0.3">
      <c r="A886">
        <v>19</v>
      </c>
      <c r="B886" t="s">
        <v>13</v>
      </c>
      <c r="C886">
        <v>2.5</v>
      </c>
      <c r="D886" t="s">
        <v>17</v>
      </c>
      <c r="E886">
        <v>7.1</v>
      </c>
      <c r="F886">
        <v>1.9</v>
      </c>
      <c r="G886">
        <v>2.35</v>
      </c>
      <c r="H886">
        <v>1.1000000000000001</v>
      </c>
      <c r="I886" t="s">
        <v>15</v>
      </c>
      <c r="J886">
        <v>4</v>
      </c>
      <c r="K886">
        <v>4</v>
      </c>
      <c r="L886">
        <v>8</v>
      </c>
      <c r="M886">
        <v>0</v>
      </c>
    </row>
    <row r="887" spans="1:13" x14ac:dyDescent="0.3">
      <c r="A887">
        <v>16</v>
      </c>
      <c r="B887" t="s">
        <v>16</v>
      </c>
      <c r="C887">
        <v>7.7</v>
      </c>
      <c r="D887" t="s">
        <v>14</v>
      </c>
      <c r="E887">
        <v>4.7</v>
      </c>
      <c r="F887">
        <v>2.9</v>
      </c>
      <c r="G887">
        <v>2.17</v>
      </c>
      <c r="H887">
        <v>1.2</v>
      </c>
      <c r="I887" t="s">
        <v>19</v>
      </c>
      <c r="J887">
        <v>5</v>
      </c>
      <c r="K887">
        <v>7</v>
      </c>
      <c r="L887">
        <v>6</v>
      </c>
      <c r="M887">
        <v>0</v>
      </c>
    </row>
    <row r="888" spans="1:13" x14ac:dyDescent="0.3">
      <c r="A888">
        <v>19</v>
      </c>
      <c r="B888" t="s">
        <v>16</v>
      </c>
      <c r="C888">
        <v>3.9</v>
      </c>
      <c r="D888" t="s">
        <v>20</v>
      </c>
      <c r="E888">
        <v>7.9</v>
      </c>
      <c r="F888">
        <v>2.1</v>
      </c>
      <c r="G888">
        <v>3.52</v>
      </c>
      <c r="H888">
        <v>0.6</v>
      </c>
      <c r="I888" t="s">
        <v>18</v>
      </c>
      <c r="J888">
        <v>3</v>
      </c>
      <c r="K888">
        <v>2</v>
      </c>
      <c r="L888">
        <v>4</v>
      </c>
      <c r="M888">
        <v>0</v>
      </c>
    </row>
    <row r="889" spans="1:13" x14ac:dyDescent="0.3">
      <c r="A889">
        <v>16</v>
      </c>
      <c r="B889" t="s">
        <v>16</v>
      </c>
      <c r="C889">
        <v>3.5</v>
      </c>
      <c r="D889" t="s">
        <v>17</v>
      </c>
      <c r="E889">
        <v>6.1</v>
      </c>
      <c r="F889">
        <v>2.7</v>
      </c>
      <c r="G889">
        <v>3.83</v>
      </c>
      <c r="H889">
        <v>0.1</v>
      </c>
      <c r="I889" t="s">
        <v>19</v>
      </c>
      <c r="J889">
        <v>4</v>
      </c>
      <c r="K889">
        <v>5</v>
      </c>
      <c r="L889">
        <v>10</v>
      </c>
      <c r="M889">
        <v>0</v>
      </c>
    </row>
    <row r="890" spans="1:13" x14ac:dyDescent="0.3">
      <c r="A890">
        <v>17</v>
      </c>
      <c r="B890" t="s">
        <v>13</v>
      </c>
      <c r="C890">
        <v>4.9000000000000004</v>
      </c>
      <c r="D890" t="s">
        <v>14</v>
      </c>
      <c r="E890">
        <v>6.4</v>
      </c>
      <c r="F890">
        <v>2.5</v>
      </c>
      <c r="G890">
        <v>2.64</v>
      </c>
      <c r="H890">
        <v>1.9</v>
      </c>
      <c r="I890" t="s">
        <v>19</v>
      </c>
      <c r="J890">
        <v>6</v>
      </c>
      <c r="K890">
        <v>2</v>
      </c>
      <c r="L890">
        <v>10</v>
      </c>
      <c r="M890">
        <v>0</v>
      </c>
    </row>
    <row r="891" spans="1:13" x14ac:dyDescent="0.3">
      <c r="A891">
        <v>14</v>
      </c>
      <c r="B891" t="s">
        <v>13</v>
      </c>
      <c r="C891">
        <v>3.4</v>
      </c>
      <c r="D891" t="s">
        <v>20</v>
      </c>
      <c r="E891">
        <v>5.8</v>
      </c>
      <c r="F891">
        <v>3</v>
      </c>
      <c r="G891">
        <v>3.32</v>
      </c>
      <c r="H891">
        <v>0.6</v>
      </c>
      <c r="I891" t="s">
        <v>19</v>
      </c>
      <c r="J891">
        <v>1</v>
      </c>
      <c r="K891">
        <v>4</v>
      </c>
      <c r="L891">
        <v>4</v>
      </c>
      <c r="M891">
        <v>0</v>
      </c>
    </row>
    <row r="892" spans="1:13" x14ac:dyDescent="0.3">
      <c r="A892">
        <v>18</v>
      </c>
      <c r="B892" t="s">
        <v>13</v>
      </c>
      <c r="C892">
        <v>2.5</v>
      </c>
      <c r="D892" t="s">
        <v>17</v>
      </c>
      <c r="E892">
        <v>4.5999999999999996</v>
      </c>
      <c r="F892">
        <v>2.2000000000000002</v>
      </c>
      <c r="G892">
        <v>2.0499999999999998</v>
      </c>
      <c r="H892">
        <v>0.7</v>
      </c>
      <c r="I892" t="s">
        <v>19</v>
      </c>
      <c r="J892">
        <v>9</v>
      </c>
      <c r="K892">
        <v>5</v>
      </c>
      <c r="L892">
        <v>10</v>
      </c>
      <c r="M892">
        <v>0</v>
      </c>
    </row>
    <row r="893" spans="1:13" x14ac:dyDescent="0.3">
      <c r="A893">
        <v>16</v>
      </c>
      <c r="B893" t="s">
        <v>13</v>
      </c>
      <c r="C893">
        <v>4.8</v>
      </c>
      <c r="D893" t="s">
        <v>20</v>
      </c>
      <c r="E893">
        <v>5.4</v>
      </c>
      <c r="F893">
        <v>0.9</v>
      </c>
      <c r="G893">
        <v>2.06</v>
      </c>
      <c r="H893">
        <v>1.9</v>
      </c>
      <c r="I893" t="s">
        <v>15</v>
      </c>
      <c r="J893">
        <v>8</v>
      </c>
      <c r="K893">
        <v>3</v>
      </c>
      <c r="L893">
        <v>2</v>
      </c>
      <c r="M893">
        <v>0</v>
      </c>
    </row>
    <row r="894" spans="1:13" x14ac:dyDescent="0.3">
      <c r="A894">
        <v>19</v>
      </c>
      <c r="B894" t="s">
        <v>13</v>
      </c>
      <c r="C894">
        <v>7.4</v>
      </c>
      <c r="D894" t="s">
        <v>17</v>
      </c>
      <c r="E894">
        <v>6.1</v>
      </c>
      <c r="F894">
        <v>1.1000000000000001</v>
      </c>
      <c r="G894">
        <v>2.15</v>
      </c>
      <c r="H894">
        <v>1.6</v>
      </c>
      <c r="I894" t="s">
        <v>18</v>
      </c>
      <c r="J894">
        <v>4</v>
      </c>
      <c r="K894">
        <v>4</v>
      </c>
      <c r="L894">
        <v>1</v>
      </c>
      <c r="M894">
        <v>0</v>
      </c>
    </row>
    <row r="895" spans="1:13" x14ac:dyDescent="0.3">
      <c r="A895">
        <v>16</v>
      </c>
      <c r="B895" t="s">
        <v>16</v>
      </c>
      <c r="C895">
        <v>2.1</v>
      </c>
      <c r="D895" t="s">
        <v>14</v>
      </c>
      <c r="E895">
        <v>4.8</v>
      </c>
      <c r="F895">
        <v>1.3</v>
      </c>
      <c r="G895">
        <v>2.29</v>
      </c>
      <c r="H895">
        <v>1.8</v>
      </c>
      <c r="I895" t="s">
        <v>18</v>
      </c>
      <c r="J895">
        <v>6</v>
      </c>
      <c r="K895">
        <v>9</v>
      </c>
      <c r="L895">
        <v>2</v>
      </c>
      <c r="M895">
        <v>0</v>
      </c>
    </row>
    <row r="896" spans="1:13" x14ac:dyDescent="0.3">
      <c r="A896">
        <v>19</v>
      </c>
      <c r="B896" t="s">
        <v>13</v>
      </c>
      <c r="C896">
        <v>2.1</v>
      </c>
      <c r="D896" t="s">
        <v>17</v>
      </c>
      <c r="E896">
        <v>6.8</v>
      </c>
      <c r="F896">
        <v>2.2000000000000002</v>
      </c>
      <c r="G896">
        <v>2.33</v>
      </c>
      <c r="H896">
        <v>1</v>
      </c>
      <c r="I896" t="s">
        <v>19</v>
      </c>
      <c r="J896">
        <v>7</v>
      </c>
      <c r="K896">
        <v>6</v>
      </c>
      <c r="L896">
        <v>7</v>
      </c>
      <c r="M896">
        <v>0</v>
      </c>
    </row>
    <row r="897" spans="1:13" x14ac:dyDescent="0.3">
      <c r="A897">
        <v>16</v>
      </c>
      <c r="B897" t="s">
        <v>13</v>
      </c>
      <c r="C897">
        <v>1.8</v>
      </c>
      <c r="D897" t="s">
        <v>14</v>
      </c>
      <c r="E897">
        <v>4.9000000000000004</v>
      </c>
      <c r="F897">
        <v>2.2999999999999998</v>
      </c>
      <c r="G897">
        <v>2.67</v>
      </c>
      <c r="H897">
        <v>1.4</v>
      </c>
      <c r="I897" t="s">
        <v>19</v>
      </c>
      <c r="J897">
        <v>3</v>
      </c>
      <c r="K897">
        <v>8</v>
      </c>
      <c r="L897">
        <v>6</v>
      </c>
      <c r="M897">
        <v>0</v>
      </c>
    </row>
    <row r="898" spans="1:13" x14ac:dyDescent="0.3">
      <c r="A898">
        <v>18</v>
      </c>
      <c r="B898" t="s">
        <v>13</v>
      </c>
      <c r="C898">
        <v>6.8</v>
      </c>
      <c r="D898" t="s">
        <v>20</v>
      </c>
      <c r="E898">
        <v>5.4</v>
      </c>
      <c r="F898">
        <v>0.9</v>
      </c>
      <c r="G898">
        <v>2.64</v>
      </c>
      <c r="H898">
        <v>0.3</v>
      </c>
      <c r="I898" t="s">
        <v>18</v>
      </c>
      <c r="J898">
        <v>9</v>
      </c>
      <c r="K898">
        <v>1</v>
      </c>
      <c r="L898">
        <v>8</v>
      </c>
      <c r="M898">
        <v>0</v>
      </c>
    </row>
    <row r="899" spans="1:13" x14ac:dyDescent="0.3">
      <c r="A899">
        <v>18</v>
      </c>
      <c r="B899" t="s">
        <v>13</v>
      </c>
      <c r="C899">
        <v>7.9</v>
      </c>
      <c r="D899" t="s">
        <v>14</v>
      </c>
      <c r="E899">
        <v>4.0999999999999996</v>
      </c>
      <c r="F899">
        <v>2.8</v>
      </c>
      <c r="G899">
        <v>3.25</v>
      </c>
      <c r="H899">
        <v>1.4</v>
      </c>
      <c r="I899" t="s">
        <v>18</v>
      </c>
      <c r="J899">
        <v>4</v>
      </c>
      <c r="K899">
        <v>2</v>
      </c>
      <c r="L899">
        <v>4</v>
      </c>
      <c r="M899">
        <v>0</v>
      </c>
    </row>
    <row r="900" spans="1:13" x14ac:dyDescent="0.3">
      <c r="A900">
        <v>15</v>
      </c>
      <c r="B900" t="s">
        <v>13</v>
      </c>
      <c r="C900">
        <v>7.6</v>
      </c>
      <c r="D900" t="s">
        <v>20</v>
      </c>
      <c r="E900">
        <v>6</v>
      </c>
      <c r="F900">
        <v>2.9</v>
      </c>
      <c r="G900">
        <v>2.72</v>
      </c>
      <c r="H900">
        <v>1.8</v>
      </c>
      <c r="I900" t="s">
        <v>18</v>
      </c>
      <c r="J900">
        <v>1</v>
      </c>
      <c r="K900">
        <v>9</v>
      </c>
      <c r="L900">
        <v>6</v>
      </c>
      <c r="M900">
        <v>0</v>
      </c>
    </row>
    <row r="901" spans="1:13" x14ac:dyDescent="0.3">
      <c r="A901">
        <v>18</v>
      </c>
      <c r="B901" t="s">
        <v>13</v>
      </c>
      <c r="C901">
        <v>6.1</v>
      </c>
      <c r="D901" t="s">
        <v>17</v>
      </c>
      <c r="E901">
        <v>5.8</v>
      </c>
      <c r="F901">
        <v>1.8</v>
      </c>
      <c r="G901">
        <v>3.59</v>
      </c>
      <c r="H901">
        <v>0.2</v>
      </c>
      <c r="I901" t="s">
        <v>15</v>
      </c>
      <c r="J901">
        <v>2</v>
      </c>
      <c r="K901">
        <v>5</v>
      </c>
      <c r="L901">
        <v>4</v>
      </c>
      <c r="M901">
        <v>0</v>
      </c>
    </row>
    <row r="902" spans="1:13" x14ac:dyDescent="0.3">
      <c r="A902">
        <v>16</v>
      </c>
      <c r="B902" t="s">
        <v>16</v>
      </c>
      <c r="C902">
        <v>1.4</v>
      </c>
      <c r="D902" t="s">
        <v>20</v>
      </c>
      <c r="E902">
        <v>5.7</v>
      </c>
      <c r="F902">
        <v>1.8</v>
      </c>
      <c r="G902">
        <v>2</v>
      </c>
      <c r="H902">
        <v>1.4</v>
      </c>
      <c r="I902" t="s">
        <v>15</v>
      </c>
      <c r="J902">
        <v>4</v>
      </c>
      <c r="K902">
        <v>8</v>
      </c>
      <c r="L902">
        <v>7</v>
      </c>
      <c r="M902">
        <v>0</v>
      </c>
    </row>
    <row r="903" spans="1:13" x14ac:dyDescent="0.3">
      <c r="A903">
        <v>19</v>
      </c>
      <c r="B903" t="s">
        <v>13</v>
      </c>
      <c r="C903">
        <v>6.3</v>
      </c>
      <c r="D903" t="s">
        <v>17</v>
      </c>
      <c r="E903">
        <v>5.7</v>
      </c>
      <c r="F903">
        <v>1.4</v>
      </c>
      <c r="G903">
        <v>2.0299999999999998</v>
      </c>
      <c r="H903">
        <v>1.1000000000000001</v>
      </c>
      <c r="I903" t="s">
        <v>15</v>
      </c>
      <c r="J903">
        <v>4</v>
      </c>
      <c r="K903">
        <v>6</v>
      </c>
      <c r="L903">
        <v>1</v>
      </c>
      <c r="M903">
        <v>0</v>
      </c>
    </row>
    <row r="904" spans="1:13" x14ac:dyDescent="0.3">
      <c r="A904">
        <v>13</v>
      </c>
      <c r="B904" t="s">
        <v>13</v>
      </c>
      <c r="C904">
        <v>1.3</v>
      </c>
      <c r="D904" t="s">
        <v>14</v>
      </c>
      <c r="E904">
        <v>5.7</v>
      </c>
      <c r="F904">
        <v>1.1000000000000001</v>
      </c>
      <c r="G904">
        <v>3.74</v>
      </c>
      <c r="H904">
        <v>1.3</v>
      </c>
      <c r="I904" t="s">
        <v>15</v>
      </c>
      <c r="J904">
        <v>9</v>
      </c>
      <c r="K904">
        <v>5</v>
      </c>
      <c r="L904">
        <v>10</v>
      </c>
      <c r="M904">
        <v>0</v>
      </c>
    </row>
    <row r="905" spans="1:13" x14ac:dyDescent="0.3">
      <c r="A905">
        <v>17</v>
      </c>
      <c r="B905" t="s">
        <v>13</v>
      </c>
      <c r="C905">
        <v>5.0999999999999996</v>
      </c>
      <c r="D905" t="s">
        <v>17</v>
      </c>
      <c r="E905">
        <v>5.0999999999999996</v>
      </c>
      <c r="F905">
        <v>2.9</v>
      </c>
      <c r="G905">
        <v>3.99</v>
      </c>
      <c r="H905">
        <v>0.6</v>
      </c>
      <c r="I905" t="s">
        <v>19</v>
      </c>
      <c r="J905">
        <v>4</v>
      </c>
      <c r="K905">
        <v>2</v>
      </c>
      <c r="L905">
        <v>9</v>
      </c>
      <c r="M905">
        <v>0</v>
      </c>
    </row>
    <row r="906" spans="1:13" x14ac:dyDescent="0.3">
      <c r="A906">
        <v>19</v>
      </c>
      <c r="B906" t="s">
        <v>16</v>
      </c>
      <c r="C906">
        <v>4</v>
      </c>
      <c r="D906" t="s">
        <v>14</v>
      </c>
      <c r="E906">
        <v>8.1999999999999993</v>
      </c>
      <c r="F906">
        <v>1.4</v>
      </c>
      <c r="G906">
        <v>3.63</v>
      </c>
      <c r="H906">
        <v>1.3</v>
      </c>
      <c r="I906" t="s">
        <v>15</v>
      </c>
      <c r="J906">
        <v>5</v>
      </c>
      <c r="K906">
        <v>3</v>
      </c>
      <c r="L906">
        <v>10</v>
      </c>
      <c r="M906">
        <v>0</v>
      </c>
    </row>
    <row r="907" spans="1:13" x14ac:dyDescent="0.3">
      <c r="A907">
        <v>17</v>
      </c>
      <c r="B907" t="s">
        <v>16</v>
      </c>
      <c r="C907">
        <v>7.6</v>
      </c>
      <c r="D907" t="s">
        <v>14</v>
      </c>
      <c r="E907">
        <v>7.3</v>
      </c>
      <c r="F907">
        <v>1.9</v>
      </c>
      <c r="G907">
        <v>3.05</v>
      </c>
      <c r="H907">
        <v>1.1000000000000001</v>
      </c>
      <c r="I907" t="s">
        <v>19</v>
      </c>
      <c r="J907">
        <v>10</v>
      </c>
      <c r="K907">
        <v>8</v>
      </c>
      <c r="L907">
        <v>1</v>
      </c>
      <c r="M907">
        <v>0</v>
      </c>
    </row>
    <row r="908" spans="1:13" x14ac:dyDescent="0.3">
      <c r="A908">
        <v>19</v>
      </c>
      <c r="B908" t="s">
        <v>13</v>
      </c>
      <c r="C908">
        <v>3.8</v>
      </c>
      <c r="D908" t="s">
        <v>17</v>
      </c>
      <c r="E908">
        <v>7.4</v>
      </c>
      <c r="F908">
        <v>2.6</v>
      </c>
      <c r="G908">
        <v>2.25</v>
      </c>
      <c r="H908">
        <v>0.5</v>
      </c>
      <c r="I908" t="s">
        <v>15</v>
      </c>
      <c r="J908">
        <v>7</v>
      </c>
      <c r="K908">
        <v>4</v>
      </c>
      <c r="L908">
        <v>8</v>
      </c>
      <c r="M908">
        <v>0</v>
      </c>
    </row>
    <row r="909" spans="1:13" x14ac:dyDescent="0.3">
      <c r="A909">
        <v>17</v>
      </c>
      <c r="B909" t="s">
        <v>13</v>
      </c>
      <c r="C909">
        <v>5.2</v>
      </c>
      <c r="D909" t="s">
        <v>14</v>
      </c>
      <c r="E909">
        <v>4.7</v>
      </c>
      <c r="F909">
        <v>2.4</v>
      </c>
      <c r="G909">
        <v>2.77</v>
      </c>
      <c r="H909">
        <v>1.3</v>
      </c>
      <c r="I909" t="s">
        <v>18</v>
      </c>
      <c r="J909">
        <v>9</v>
      </c>
      <c r="K909">
        <v>6</v>
      </c>
      <c r="L909">
        <v>9</v>
      </c>
      <c r="M909">
        <v>0</v>
      </c>
    </row>
    <row r="910" spans="1:13" x14ac:dyDescent="0.3">
      <c r="A910">
        <v>13</v>
      </c>
      <c r="B910" t="s">
        <v>13</v>
      </c>
      <c r="C910">
        <v>5</v>
      </c>
      <c r="D910" t="s">
        <v>20</v>
      </c>
      <c r="E910">
        <v>8.6</v>
      </c>
      <c r="F910">
        <v>0.7</v>
      </c>
      <c r="G910">
        <v>2.99</v>
      </c>
      <c r="H910">
        <v>1.5</v>
      </c>
      <c r="I910" t="s">
        <v>15</v>
      </c>
      <c r="J910">
        <v>3</v>
      </c>
      <c r="K910">
        <v>8</v>
      </c>
      <c r="L910">
        <v>3</v>
      </c>
      <c r="M910">
        <v>0</v>
      </c>
    </row>
    <row r="911" spans="1:13" x14ac:dyDescent="0.3">
      <c r="A911">
        <v>19</v>
      </c>
      <c r="B911" t="s">
        <v>16</v>
      </c>
      <c r="C911">
        <v>7.4</v>
      </c>
      <c r="D911" t="s">
        <v>20</v>
      </c>
      <c r="E911">
        <v>8.3000000000000007</v>
      </c>
      <c r="F911">
        <v>1.4</v>
      </c>
      <c r="G911">
        <v>3.64</v>
      </c>
      <c r="H911">
        <v>0.4</v>
      </c>
      <c r="I911" t="s">
        <v>15</v>
      </c>
      <c r="J911">
        <v>6</v>
      </c>
      <c r="K911">
        <v>9</v>
      </c>
      <c r="L911">
        <v>6</v>
      </c>
      <c r="M911">
        <v>0</v>
      </c>
    </row>
    <row r="912" spans="1:13" x14ac:dyDescent="0.3">
      <c r="A912">
        <v>16</v>
      </c>
      <c r="B912" t="s">
        <v>13</v>
      </c>
      <c r="C912">
        <v>6.1</v>
      </c>
      <c r="D912" t="s">
        <v>17</v>
      </c>
      <c r="E912">
        <v>6.8</v>
      </c>
      <c r="F912">
        <v>0.8</v>
      </c>
      <c r="G912">
        <v>2.61</v>
      </c>
      <c r="H912">
        <v>0.9</v>
      </c>
      <c r="I912" t="s">
        <v>15</v>
      </c>
      <c r="J912">
        <v>10</v>
      </c>
      <c r="K912">
        <v>10</v>
      </c>
      <c r="L912">
        <v>4</v>
      </c>
      <c r="M912">
        <v>0</v>
      </c>
    </row>
    <row r="913" spans="1:13" x14ac:dyDescent="0.3">
      <c r="A913">
        <v>13</v>
      </c>
      <c r="B913" t="s">
        <v>16</v>
      </c>
      <c r="C913">
        <v>7.4</v>
      </c>
      <c r="D913" t="s">
        <v>20</v>
      </c>
      <c r="E913">
        <v>6.7</v>
      </c>
      <c r="F913">
        <v>2</v>
      </c>
      <c r="G913">
        <v>2.42</v>
      </c>
      <c r="H913">
        <v>1.5</v>
      </c>
      <c r="I913" t="s">
        <v>15</v>
      </c>
      <c r="J913">
        <v>10</v>
      </c>
      <c r="K913">
        <v>1</v>
      </c>
      <c r="L913">
        <v>1</v>
      </c>
      <c r="M913">
        <v>0</v>
      </c>
    </row>
    <row r="914" spans="1:13" x14ac:dyDescent="0.3">
      <c r="A914">
        <v>16</v>
      </c>
      <c r="B914" t="s">
        <v>13</v>
      </c>
      <c r="C914">
        <v>3.5</v>
      </c>
      <c r="D914" t="s">
        <v>20</v>
      </c>
      <c r="E914">
        <v>4.4000000000000004</v>
      </c>
      <c r="F914">
        <v>1.5</v>
      </c>
      <c r="G914">
        <v>2.7</v>
      </c>
      <c r="H914">
        <v>0.8</v>
      </c>
      <c r="I914" t="s">
        <v>18</v>
      </c>
      <c r="J914">
        <v>2</v>
      </c>
      <c r="K914">
        <v>10</v>
      </c>
      <c r="L914">
        <v>8</v>
      </c>
      <c r="M914">
        <v>0</v>
      </c>
    </row>
    <row r="915" spans="1:13" x14ac:dyDescent="0.3">
      <c r="A915">
        <v>14</v>
      </c>
      <c r="B915" t="s">
        <v>13</v>
      </c>
      <c r="C915">
        <v>5.0999999999999996</v>
      </c>
      <c r="D915" t="s">
        <v>14</v>
      </c>
      <c r="E915">
        <v>6.3</v>
      </c>
      <c r="F915">
        <v>1.6</v>
      </c>
      <c r="G915">
        <v>2.7</v>
      </c>
      <c r="H915">
        <v>0.1</v>
      </c>
      <c r="I915" t="s">
        <v>19</v>
      </c>
      <c r="J915">
        <v>7</v>
      </c>
      <c r="K915">
        <v>2</v>
      </c>
      <c r="L915">
        <v>7</v>
      </c>
      <c r="M915">
        <v>0</v>
      </c>
    </row>
    <row r="916" spans="1:13" x14ac:dyDescent="0.3">
      <c r="A916">
        <v>17</v>
      </c>
      <c r="B916" t="s">
        <v>13</v>
      </c>
      <c r="C916">
        <v>4.8</v>
      </c>
      <c r="D916" t="s">
        <v>17</v>
      </c>
      <c r="E916">
        <v>6</v>
      </c>
      <c r="F916">
        <v>2.1</v>
      </c>
      <c r="G916">
        <v>2.39</v>
      </c>
      <c r="H916">
        <v>1.8</v>
      </c>
      <c r="I916" t="s">
        <v>18</v>
      </c>
      <c r="J916">
        <v>5</v>
      </c>
      <c r="K916">
        <v>8</v>
      </c>
      <c r="L916">
        <v>7</v>
      </c>
      <c r="M916">
        <v>0</v>
      </c>
    </row>
    <row r="917" spans="1:13" x14ac:dyDescent="0.3">
      <c r="A917">
        <v>14</v>
      </c>
      <c r="B917" t="s">
        <v>13</v>
      </c>
      <c r="C917">
        <v>7.5</v>
      </c>
      <c r="D917" t="s">
        <v>20</v>
      </c>
      <c r="E917">
        <v>7.6</v>
      </c>
      <c r="F917">
        <v>2.8</v>
      </c>
      <c r="G917">
        <v>3.1</v>
      </c>
      <c r="H917">
        <v>0.7</v>
      </c>
      <c r="I917" t="s">
        <v>19</v>
      </c>
      <c r="J917">
        <v>3</v>
      </c>
      <c r="K917">
        <v>1</v>
      </c>
      <c r="L917">
        <v>2</v>
      </c>
      <c r="M917">
        <v>0</v>
      </c>
    </row>
    <row r="918" spans="1:13" x14ac:dyDescent="0.3">
      <c r="A918">
        <v>19</v>
      </c>
      <c r="B918" t="s">
        <v>13</v>
      </c>
      <c r="C918">
        <v>4.7</v>
      </c>
      <c r="D918" t="s">
        <v>20</v>
      </c>
      <c r="E918">
        <v>8.6999999999999993</v>
      </c>
      <c r="F918">
        <v>2</v>
      </c>
      <c r="G918">
        <v>3.23</v>
      </c>
      <c r="H918">
        <v>1.7</v>
      </c>
      <c r="I918" t="s">
        <v>15</v>
      </c>
      <c r="J918">
        <v>4</v>
      </c>
      <c r="K918">
        <v>10</v>
      </c>
      <c r="L918">
        <v>3</v>
      </c>
      <c r="M918">
        <v>0</v>
      </c>
    </row>
    <row r="919" spans="1:13" x14ac:dyDescent="0.3">
      <c r="A919">
        <v>19</v>
      </c>
      <c r="B919" t="s">
        <v>13</v>
      </c>
      <c r="C919">
        <v>3.3</v>
      </c>
      <c r="D919" t="s">
        <v>17</v>
      </c>
      <c r="E919">
        <v>8.5</v>
      </c>
      <c r="F919">
        <v>1.2</v>
      </c>
      <c r="G919">
        <v>3.29</v>
      </c>
      <c r="H919">
        <v>0.5</v>
      </c>
      <c r="I919" t="s">
        <v>19</v>
      </c>
      <c r="J919">
        <v>6</v>
      </c>
      <c r="K919">
        <v>2</v>
      </c>
      <c r="L919">
        <v>9</v>
      </c>
      <c r="M919">
        <v>0</v>
      </c>
    </row>
    <row r="920" spans="1:13" x14ac:dyDescent="0.3">
      <c r="A920">
        <v>16</v>
      </c>
      <c r="B920" t="s">
        <v>16</v>
      </c>
      <c r="C920">
        <v>6.9</v>
      </c>
      <c r="D920" t="s">
        <v>14</v>
      </c>
      <c r="E920">
        <v>5.8</v>
      </c>
      <c r="F920">
        <v>0.6</v>
      </c>
      <c r="G920">
        <v>3.65</v>
      </c>
      <c r="H920">
        <v>0.5</v>
      </c>
      <c r="I920" t="s">
        <v>18</v>
      </c>
      <c r="J920">
        <v>10</v>
      </c>
      <c r="K920">
        <v>8</v>
      </c>
      <c r="L920">
        <v>10</v>
      </c>
      <c r="M920">
        <v>1</v>
      </c>
    </row>
    <row r="921" spans="1:13" x14ac:dyDescent="0.3">
      <c r="A921">
        <v>15</v>
      </c>
      <c r="B921" t="s">
        <v>13</v>
      </c>
      <c r="C921">
        <v>5.4</v>
      </c>
      <c r="D921" t="s">
        <v>14</v>
      </c>
      <c r="E921">
        <v>4.2</v>
      </c>
      <c r="F921">
        <v>1.5</v>
      </c>
      <c r="G921">
        <v>2.72</v>
      </c>
      <c r="H921">
        <v>0.4</v>
      </c>
      <c r="I921" t="s">
        <v>18</v>
      </c>
      <c r="J921">
        <v>1</v>
      </c>
      <c r="K921">
        <v>6</v>
      </c>
      <c r="L921">
        <v>5</v>
      </c>
      <c r="M921">
        <v>0</v>
      </c>
    </row>
    <row r="922" spans="1:13" x14ac:dyDescent="0.3">
      <c r="A922">
        <v>13</v>
      </c>
      <c r="B922" t="s">
        <v>16</v>
      </c>
      <c r="C922">
        <v>5.2</v>
      </c>
      <c r="D922" t="s">
        <v>20</v>
      </c>
      <c r="E922">
        <v>7.7</v>
      </c>
      <c r="F922">
        <v>2.7</v>
      </c>
      <c r="G922">
        <v>2.84</v>
      </c>
      <c r="H922">
        <v>0.8</v>
      </c>
      <c r="I922" t="s">
        <v>18</v>
      </c>
      <c r="J922">
        <v>2</v>
      </c>
      <c r="K922">
        <v>5</v>
      </c>
      <c r="L922">
        <v>5</v>
      </c>
      <c r="M922">
        <v>0</v>
      </c>
    </row>
    <row r="923" spans="1:13" x14ac:dyDescent="0.3">
      <c r="A923">
        <v>15</v>
      </c>
      <c r="B923" t="s">
        <v>16</v>
      </c>
      <c r="C923">
        <v>3.3</v>
      </c>
      <c r="D923" t="s">
        <v>14</v>
      </c>
      <c r="E923">
        <v>6.5</v>
      </c>
      <c r="F923">
        <v>1.3</v>
      </c>
      <c r="G923">
        <v>2.44</v>
      </c>
      <c r="H923">
        <v>0.3</v>
      </c>
      <c r="I923" t="s">
        <v>19</v>
      </c>
      <c r="J923">
        <v>7</v>
      </c>
      <c r="K923">
        <v>6</v>
      </c>
      <c r="L923">
        <v>7</v>
      </c>
      <c r="M923">
        <v>0</v>
      </c>
    </row>
    <row r="924" spans="1:13" x14ac:dyDescent="0.3">
      <c r="A924">
        <v>15</v>
      </c>
      <c r="B924" t="s">
        <v>16</v>
      </c>
      <c r="C924">
        <v>7.3</v>
      </c>
      <c r="D924" t="s">
        <v>20</v>
      </c>
      <c r="E924">
        <v>7.6</v>
      </c>
      <c r="F924">
        <v>1.9</v>
      </c>
      <c r="G924">
        <v>2.31</v>
      </c>
      <c r="H924">
        <v>0.8</v>
      </c>
      <c r="I924" t="s">
        <v>19</v>
      </c>
      <c r="J924">
        <v>8</v>
      </c>
      <c r="K924">
        <v>7</v>
      </c>
      <c r="L924">
        <v>5</v>
      </c>
      <c r="M924">
        <v>0</v>
      </c>
    </row>
    <row r="925" spans="1:13" x14ac:dyDescent="0.3">
      <c r="A925">
        <v>17</v>
      </c>
      <c r="B925" t="s">
        <v>13</v>
      </c>
      <c r="C925">
        <v>7.6</v>
      </c>
      <c r="D925" t="s">
        <v>20</v>
      </c>
      <c r="E925">
        <v>4.9000000000000004</v>
      </c>
      <c r="F925">
        <v>0.6</v>
      </c>
      <c r="G925">
        <v>2.56</v>
      </c>
      <c r="H925">
        <v>0.8</v>
      </c>
      <c r="I925" t="s">
        <v>15</v>
      </c>
      <c r="J925">
        <v>4</v>
      </c>
      <c r="K925">
        <v>1</v>
      </c>
      <c r="L925">
        <v>9</v>
      </c>
      <c r="M925">
        <v>0</v>
      </c>
    </row>
    <row r="926" spans="1:13" x14ac:dyDescent="0.3">
      <c r="A926">
        <v>17</v>
      </c>
      <c r="B926" t="s">
        <v>13</v>
      </c>
      <c r="C926">
        <v>1.7</v>
      </c>
      <c r="D926" t="s">
        <v>20</v>
      </c>
      <c r="E926">
        <v>7</v>
      </c>
      <c r="F926">
        <v>0.8</v>
      </c>
      <c r="G926">
        <v>3.39</v>
      </c>
      <c r="H926">
        <v>0.9</v>
      </c>
      <c r="I926" t="s">
        <v>18</v>
      </c>
      <c r="J926">
        <v>7</v>
      </c>
      <c r="K926">
        <v>7</v>
      </c>
      <c r="L926">
        <v>10</v>
      </c>
      <c r="M926">
        <v>0</v>
      </c>
    </row>
    <row r="927" spans="1:13" x14ac:dyDescent="0.3">
      <c r="A927">
        <v>18</v>
      </c>
      <c r="B927" t="s">
        <v>13</v>
      </c>
      <c r="C927">
        <v>1.5</v>
      </c>
      <c r="D927" t="s">
        <v>20</v>
      </c>
      <c r="E927">
        <v>5.6</v>
      </c>
      <c r="F927">
        <v>2.9</v>
      </c>
      <c r="G927">
        <v>2.57</v>
      </c>
      <c r="H927">
        <v>0.6</v>
      </c>
      <c r="I927" t="s">
        <v>18</v>
      </c>
      <c r="J927">
        <v>5</v>
      </c>
      <c r="K927">
        <v>8</v>
      </c>
      <c r="L927">
        <v>4</v>
      </c>
      <c r="M927">
        <v>0</v>
      </c>
    </row>
    <row r="928" spans="1:13" x14ac:dyDescent="0.3">
      <c r="A928">
        <v>17</v>
      </c>
      <c r="B928" t="s">
        <v>13</v>
      </c>
      <c r="C928">
        <v>7.3</v>
      </c>
      <c r="D928" t="s">
        <v>20</v>
      </c>
      <c r="E928">
        <v>8.5</v>
      </c>
      <c r="F928">
        <v>1.5</v>
      </c>
      <c r="G928">
        <v>3.54</v>
      </c>
      <c r="H928">
        <v>1.2</v>
      </c>
      <c r="I928" t="s">
        <v>15</v>
      </c>
      <c r="J928">
        <v>3</v>
      </c>
      <c r="K928">
        <v>3</v>
      </c>
      <c r="L928">
        <v>7</v>
      </c>
      <c r="M928">
        <v>0</v>
      </c>
    </row>
    <row r="929" spans="1:13" x14ac:dyDescent="0.3">
      <c r="A929">
        <v>14</v>
      </c>
      <c r="B929" t="s">
        <v>13</v>
      </c>
      <c r="C929">
        <v>2.8</v>
      </c>
      <c r="D929" t="s">
        <v>20</v>
      </c>
      <c r="E929">
        <v>6.2</v>
      </c>
      <c r="F929">
        <v>1.2</v>
      </c>
      <c r="G929">
        <v>3.21</v>
      </c>
      <c r="H929">
        <v>1</v>
      </c>
      <c r="I929" t="s">
        <v>15</v>
      </c>
      <c r="J929">
        <v>3</v>
      </c>
      <c r="K929">
        <v>10</v>
      </c>
      <c r="L929">
        <v>6</v>
      </c>
      <c r="M929">
        <v>0</v>
      </c>
    </row>
    <row r="930" spans="1:13" x14ac:dyDescent="0.3">
      <c r="A930">
        <v>15</v>
      </c>
      <c r="B930" t="s">
        <v>13</v>
      </c>
      <c r="C930">
        <v>1.2</v>
      </c>
      <c r="D930" t="s">
        <v>20</v>
      </c>
      <c r="E930">
        <v>7.4</v>
      </c>
      <c r="F930">
        <v>2.7</v>
      </c>
      <c r="G930">
        <v>2.92</v>
      </c>
      <c r="H930">
        <v>1.4</v>
      </c>
      <c r="I930" t="s">
        <v>15</v>
      </c>
      <c r="J930">
        <v>3</v>
      </c>
      <c r="K930">
        <v>7</v>
      </c>
      <c r="L930">
        <v>4</v>
      </c>
      <c r="M930">
        <v>0</v>
      </c>
    </row>
    <row r="931" spans="1:13" x14ac:dyDescent="0.3">
      <c r="A931">
        <v>16</v>
      </c>
      <c r="B931" t="s">
        <v>16</v>
      </c>
      <c r="C931">
        <v>2.5</v>
      </c>
      <c r="D931" t="s">
        <v>17</v>
      </c>
      <c r="E931">
        <v>8.9</v>
      </c>
      <c r="F931">
        <v>1.2</v>
      </c>
      <c r="G931">
        <v>3.33</v>
      </c>
      <c r="H931">
        <v>1.5</v>
      </c>
      <c r="I931" t="s">
        <v>18</v>
      </c>
      <c r="J931">
        <v>4</v>
      </c>
      <c r="K931">
        <v>4</v>
      </c>
      <c r="L931">
        <v>10</v>
      </c>
      <c r="M931">
        <v>0</v>
      </c>
    </row>
    <row r="932" spans="1:13" x14ac:dyDescent="0.3">
      <c r="A932">
        <v>17</v>
      </c>
      <c r="B932" t="s">
        <v>13</v>
      </c>
      <c r="C932">
        <v>4.8</v>
      </c>
      <c r="D932" t="s">
        <v>17</v>
      </c>
      <c r="E932">
        <v>5.6</v>
      </c>
      <c r="F932">
        <v>1.6</v>
      </c>
      <c r="G932">
        <v>2</v>
      </c>
      <c r="H932">
        <v>1.3</v>
      </c>
      <c r="I932" t="s">
        <v>15</v>
      </c>
      <c r="J932">
        <v>3</v>
      </c>
      <c r="K932">
        <v>8</v>
      </c>
      <c r="L932">
        <v>4</v>
      </c>
      <c r="M932">
        <v>0</v>
      </c>
    </row>
    <row r="933" spans="1:13" x14ac:dyDescent="0.3">
      <c r="A933">
        <v>18</v>
      </c>
      <c r="B933" t="s">
        <v>16</v>
      </c>
      <c r="C933">
        <v>6.4</v>
      </c>
      <c r="D933" t="s">
        <v>20</v>
      </c>
      <c r="E933">
        <v>4.2</v>
      </c>
      <c r="F933">
        <v>1.1000000000000001</v>
      </c>
      <c r="G933">
        <v>2.68</v>
      </c>
      <c r="H933">
        <v>0.3</v>
      </c>
      <c r="I933" t="s">
        <v>18</v>
      </c>
      <c r="J933">
        <v>10</v>
      </c>
      <c r="K933">
        <v>9</v>
      </c>
      <c r="L933">
        <v>4</v>
      </c>
      <c r="M933">
        <v>1</v>
      </c>
    </row>
    <row r="934" spans="1:13" x14ac:dyDescent="0.3">
      <c r="A934">
        <v>16</v>
      </c>
      <c r="B934" t="s">
        <v>16</v>
      </c>
      <c r="C934">
        <v>6.6</v>
      </c>
      <c r="D934" t="s">
        <v>14</v>
      </c>
      <c r="E934">
        <v>6.1</v>
      </c>
      <c r="F934">
        <v>1.7</v>
      </c>
      <c r="G934">
        <v>2.67</v>
      </c>
      <c r="H934">
        <v>1.8</v>
      </c>
      <c r="I934" t="s">
        <v>15</v>
      </c>
      <c r="J934">
        <v>10</v>
      </c>
      <c r="K934">
        <v>8</v>
      </c>
      <c r="L934">
        <v>2</v>
      </c>
      <c r="M934">
        <v>0</v>
      </c>
    </row>
    <row r="935" spans="1:13" x14ac:dyDescent="0.3">
      <c r="A935">
        <v>14</v>
      </c>
      <c r="B935" t="s">
        <v>16</v>
      </c>
      <c r="C935">
        <v>3.5</v>
      </c>
      <c r="D935" t="s">
        <v>20</v>
      </c>
      <c r="E935">
        <v>5.7</v>
      </c>
      <c r="F935">
        <v>2.4</v>
      </c>
      <c r="G935">
        <v>3.46</v>
      </c>
      <c r="H935">
        <v>0.9</v>
      </c>
      <c r="I935" t="s">
        <v>15</v>
      </c>
      <c r="J935">
        <v>8</v>
      </c>
      <c r="K935">
        <v>4</v>
      </c>
      <c r="L935">
        <v>10</v>
      </c>
      <c r="M935">
        <v>0</v>
      </c>
    </row>
    <row r="936" spans="1:13" x14ac:dyDescent="0.3">
      <c r="A936">
        <v>14</v>
      </c>
      <c r="B936" t="s">
        <v>16</v>
      </c>
      <c r="C936">
        <v>2.4</v>
      </c>
      <c r="D936" t="s">
        <v>17</v>
      </c>
      <c r="E936">
        <v>6.3</v>
      </c>
      <c r="F936">
        <v>2.8</v>
      </c>
      <c r="G936">
        <v>2.41</v>
      </c>
      <c r="H936">
        <v>0.7</v>
      </c>
      <c r="I936" t="s">
        <v>15</v>
      </c>
      <c r="J936">
        <v>9</v>
      </c>
      <c r="K936">
        <v>5</v>
      </c>
      <c r="L936">
        <v>2</v>
      </c>
      <c r="M936">
        <v>0</v>
      </c>
    </row>
    <row r="937" spans="1:13" x14ac:dyDescent="0.3">
      <c r="A937">
        <v>13</v>
      </c>
      <c r="B937" t="s">
        <v>13</v>
      </c>
      <c r="C937">
        <v>5.9</v>
      </c>
      <c r="D937" t="s">
        <v>14</v>
      </c>
      <c r="E937">
        <v>4.3</v>
      </c>
      <c r="F937">
        <v>0.8</v>
      </c>
      <c r="G937">
        <v>3.41</v>
      </c>
      <c r="H937">
        <v>1.1000000000000001</v>
      </c>
      <c r="I937" t="s">
        <v>19</v>
      </c>
      <c r="J937">
        <v>4</v>
      </c>
      <c r="K937">
        <v>3</v>
      </c>
      <c r="L937">
        <v>2</v>
      </c>
      <c r="M937">
        <v>0</v>
      </c>
    </row>
    <row r="938" spans="1:13" x14ac:dyDescent="0.3">
      <c r="A938">
        <v>19</v>
      </c>
      <c r="B938" t="s">
        <v>16</v>
      </c>
      <c r="C938">
        <v>7.4</v>
      </c>
      <c r="D938" t="s">
        <v>14</v>
      </c>
      <c r="E938">
        <v>5</v>
      </c>
      <c r="F938">
        <v>2</v>
      </c>
      <c r="G938">
        <v>2.68</v>
      </c>
      <c r="H938">
        <v>1.2</v>
      </c>
      <c r="I938" t="s">
        <v>15</v>
      </c>
      <c r="J938">
        <v>1</v>
      </c>
      <c r="K938">
        <v>6</v>
      </c>
      <c r="L938">
        <v>8</v>
      </c>
      <c r="M938">
        <v>0</v>
      </c>
    </row>
    <row r="939" spans="1:13" x14ac:dyDescent="0.3">
      <c r="A939">
        <v>15</v>
      </c>
      <c r="B939" t="s">
        <v>16</v>
      </c>
      <c r="C939">
        <v>4.5999999999999996</v>
      </c>
      <c r="D939" t="s">
        <v>17</v>
      </c>
      <c r="E939">
        <v>5.3</v>
      </c>
      <c r="F939">
        <v>3</v>
      </c>
      <c r="G939">
        <v>3.25</v>
      </c>
      <c r="H939">
        <v>0.2</v>
      </c>
      <c r="I939" t="s">
        <v>15</v>
      </c>
      <c r="J939">
        <v>1</v>
      </c>
      <c r="K939">
        <v>8</v>
      </c>
      <c r="L939">
        <v>7</v>
      </c>
      <c r="M939">
        <v>0</v>
      </c>
    </row>
    <row r="940" spans="1:13" x14ac:dyDescent="0.3">
      <c r="A940">
        <v>17</v>
      </c>
      <c r="B940" t="s">
        <v>13</v>
      </c>
      <c r="C940">
        <v>7.3</v>
      </c>
      <c r="D940" t="s">
        <v>14</v>
      </c>
      <c r="E940">
        <v>5.8</v>
      </c>
      <c r="F940">
        <v>2.9</v>
      </c>
      <c r="G940">
        <v>3.93</v>
      </c>
      <c r="H940">
        <v>0.9</v>
      </c>
      <c r="I940" t="s">
        <v>19</v>
      </c>
      <c r="J940">
        <v>6</v>
      </c>
      <c r="K940">
        <v>2</v>
      </c>
      <c r="L940">
        <v>9</v>
      </c>
      <c r="M940">
        <v>0</v>
      </c>
    </row>
    <row r="941" spans="1:13" x14ac:dyDescent="0.3">
      <c r="A941">
        <v>17</v>
      </c>
      <c r="B941" t="s">
        <v>16</v>
      </c>
      <c r="C941">
        <v>2.9</v>
      </c>
      <c r="D941" t="s">
        <v>17</v>
      </c>
      <c r="E941">
        <v>4.5</v>
      </c>
      <c r="F941">
        <v>0.9</v>
      </c>
      <c r="G941">
        <v>3.71</v>
      </c>
      <c r="H941">
        <v>0.1</v>
      </c>
      <c r="I941" t="s">
        <v>15</v>
      </c>
      <c r="J941">
        <v>1</v>
      </c>
      <c r="K941">
        <v>6</v>
      </c>
      <c r="L941">
        <v>4</v>
      </c>
      <c r="M941">
        <v>0</v>
      </c>
    </row>
    <row r="942" spans="1:13" x14ac:dyDescent="0.3">
      <c r="A942">
        <v>19</v>
      </c>
      <c r="B942" t="s">
        <v>13</v>
      </c>
      <c r="C942">
        <v>5.3</v>
      </c>
      <c r="D942" t="s">
        <v>17</v>
      </c>
      <c r="E942">
        <v>8.4</v>
      </c>
      <c r="F942">
        <v>0.6</v>
      </c>
      <c r="G942">
        <v>3.08</v>
      </c>
      <c r="H942">
        <v>0.4</v>
      </c>
      <c r="I942" t="s">
        <v>19</v>
      </c>
      <c r="J942">
        <v>9</v>
      </c>
      <c r="K942">
        <v>4</v>
      </c>
      <c r="L942">
        <v>6</v>
      </c>
      <c r="M942">
        <v>0</v>
      </c>
    </row>
    <row r="943" spans="1:13" x14ac:dyDescent="0.3">
      <c r="A943">
        <v>17</v>
      </c>
      <c r="B943" t="s">
        <v>16</v>
      </c>
      <c r="C943">
        <v>7.2</v>
      </c>
      <c r="D943" t="s">
        <v>17</v>
      </c>
      <c r="E943">
        <v>8.1999999999999993</v>
      </c>
      <c r="F943">
        <v>2.9</v>
      </c>
      <c r="G943">
        <v>3.69</v>
      </c>
      <c r="H943">
        <v>1</v>
      </c>
      <c r="I943" t="s">
        <v>18</v>
      </c>
      <c r="J943">
        <v>6</v>
      </c>
      <c r="K943">
        <v>2</v>
      </c>
      <c r="L943">
        <v>5</v>
      </c>
      <c r="M943">
        <v>0</v>
      </c>
    </row>
    <row r="944" spans="1:13" x14ac:dyDescent="0.3">
      <c r="A944">
        <v>15</v>
      </c>
      <c r="B944" t="s">
        <v>16</v>
      </c>
      <c r="C944">
        <v>2.6</v>
      </c>
      <c r="D944" t="s">
        <v>20</v>
      </c>
      <c r="E944">
        <v>7.9</v>
      </c>
      <c r="F944">
        <v>1.8</v>
      </c>
      <c r="G944">
        <v>3.91</v>
      </c>
      <c r="H944">
        <v>0.5</v>
      </c>
      <c r="I944" t="s">
        <v>19</v>
      </c>
      <c r="J944">
        <v>4</v>
      </c>
      <c r="K944">
        <v>5</v>
      </c>
      <c r="L944">
        <v>6</v>
      </c>
      <c r="M944">
        <v>0</v>
      </c>
    </row>
    <row r="945" spans="1:13" x14ac:dyDescent="0.3">
      <c r="A945">
        <v>15</v>
      </c>
      <c r="B945" t="s">
        <v>13</v>
      </c>
      <c r="C945">
        <v>3.6</v>
      </c>
      <c r="D945" t="s">
        <v>14</v>
      </c>
      <c r="E945">
        <v>4.8</v>
      </c>
      <c r="F945">
        <v>1</v>
      </c>
      <c r="G945">
        <v>3.71</v>
      </c>
      <c r="H945">
        <v>1.1000000000000001</v>
      </c>
      <c r="I945" t="s">
        <v>19</v>
      </c>
      <c r="J945">
        <v>5</v>
      </c>
      <c r="K945">
        <v>7</v>
      </c>
      <c r="L945">
        <v>4</v>
      </c>
      <c r="M945">
        <v>0</v>
      </c>
    </row>
    <row r="946" spans="1:13" x14ac:dyDescent="0.3">
      <c r="A946">
        <v>19</v>
      </c>
      <c r="B946" t="s">
        <v>13</v>
      </c>
      <c r="C946">
        <v>3.6</v>
      </c>
      <c r="D946" t="s">
        <v>14</v>
      </c>
      <c r="E946">
        <v>6.5</v>
      </c>
      <c r="F946">
        <v>1.1000000000000001</v>
      </c>
      <c r="G946">
        <v>3.65</v>
      </c>
      <c r="H946">
        <v>1.1000000000000001</v>
      </c>
      <c r="I946" t="s">
        <v>15</v>
      </c>
      <c r="J946">
        <v>5</v>
      </c>
      <c r="K946">
        <v>9</v>
      </c>
      <c r="L946">
        <v>10</v>
      </c>
      <c r="M946">
        <v>0</v>
      </c>
    </row>
    <row r="947" spans="1:13" x14ac:dyDescent="0.3">
      <c r="A947">
        <v>15</v>
      </c>
      <c r="B947" t="s">
        <v>16</v>
      </c>
      <c r="C947">
        <v>1.8</v>
      </c>
      <c r="D947" t="s">
        <v>14</v>
      </c>
      <c r="E947">
        <v>5.5</v>
      </c>
      <c r="F947">
        <v>1.6</v>
      </c>
      <c r="G947">
        <v>3.29</v>
      </c>
      <c r="H947">
        <v>1.3</v>
      </c>
      <c r="I947" t="s">
        <v>19</v>
      </c>
      <c r="J947">
        <v>6</v>
      </c>
      <c r="K947">
        <v>5</v>
      </c>
      <c r="L947">
        <v>9</v>
      </c>
      <c r="M947">
        <v>0</v>
      </c>
    </row>
    <row r="948" spans="1:13" x14ac:dyDescent="0.3">
      <c r="A948">
        <v>14</v>
      </c>
      <c r="B948" t="s">
        <v>16</v>
      </c>
      <c r="C948">
        <v>1.8</v>
      </c>
      <c r="D948" t="s">
        <v>14</v>
      </c>
      <c r="E948">
        <v>7.6</v>
      </c>
      <c r="F948">
        <v>1.2</v>
      </c>
      <c r="G948">
        <v>2.84</v>
      </c>
      <c r="H948">
        <v>1.1000000000000001</v>
      </c>
      <c r="I948" t="s">
        <v>18</v>
      </c>
      <c r="J948">
        <v>10</v>
      </c>
      <c r="K948">
        <v>1</v>
      </c>
      <c r="L948">
        <v>3</v>
      </c>
      <c r="M948">
        <v>0</v>
      </c>
    </row>
    <row r="949" spans="1:13" x14ac:dyDescent="0.3">
      <c r="A949">
        <v>15</v>
      </c>
      <c r="B949" t="s">
        <v>16</v>
      </c>
      <c r="C949">
        <v>7.4</v>
      </c>
      <c r="D949" t="s">
        <v>20</v>
      </c>
      <c r="E949">
        <v>8.4</v>
      </c>
      <c r="F949">
        <v>1.9</v>
      </c>
      <c r="G949">
        <v>3.73</v>
      </c>
      <c r="H949">
        <v>0.8</v>
      </c>
      <c r="I949" t="s">
        <v>18</v>
      </c>
      <c r="J949">
        <v>9</v>
      </c>
      <c r="K949">
        <v>9</v>
      </c>
      <c r="L949">
        <v>4</v>
      </c>
      <c r="M949">
        <v>0</v>
      </c>
    </row>
    <row r="950" spans="1:13" x14ac:dyDescent="0.3">
      <c r="A950">
        <v>15</v>
      </c>
      <c r="B950" t="s">
        <v>13</v>
      </c>
      <c r="C950">
        <v>4.8</v>
      </c>
      <c r="D950" t="s">
        <v>20</v>
      </c>
      <c r="E950">
        <v>4.3</v>
      </c>
      <c r="F950">
        <v>2.2000000000000002</v>
      </c>
      <c r="G950">
        <v>2.5</v>
      </c>
      <c r="H950">
        <v>0</v>
      </c>
      <c r="I950" t="s">
        <v>19</v>
      </c>
      <c r="J950">
        <v>4</v>
      </c>
      <c r="K950">
        <v>1</v>
      </c>
      <c r="L950">
        <v>4</v>
      </c>
      <c r="M950">
        <v>0</v>
      </c>
    </row>
    <row r="951" spans="1:13" x14ac:dyDescent="0.3">
      <c r="A951">
        <v>18</v>
      </c>
      <c r="B951" t="s">
        <v>13</v>
      </c>
      <c r="C951">
        <v>2.4</v>
      </c>
      <c r="D951" t="s">
        <v>20</v>
      </c>
      <c r="E951">
        <v>6.8</v>
      </c>
      <c r="F951">
        <v>1</v>
      </c>
      <c r="G951">
        <v>2.86</v>
      </c>
      <c r="H951">
        <v>1.5</v>
      </c>
      <c r="I951" t="s">
        <v>18</v>
      </c>
      <c r="J951">
        <v>9</v>
      </c>
      <c r="K951">
        <v>10</v>
      </c>
      <c r="L951">
        <v>8</v>
      </c>
      <c r="M951">
        <v>0</v>
      </c>
    </row>
    <row r="952" spans="1:13" x14ac:dyDescent="0.3">
      <c r="A952">
        <v>15</v>
      </c>
      <c r="B952" t="s">
        <v>13</v>
      </c>
      <c r="C952">
        <v>5.4</v>
      </c>
      <c r="D952" t="s">
        <v>17</v>
      </c>
      <c r="E952">
        <v>5.2</v>
      </c>
      <c r="F952">
        <v>0.6</v>
      </c>
      <c r="G952">
        <v>3.65</v>
      </c>
      <c r="H952">
        <v>1.5</v>
      </c>
      <c r="I952" t="s">
        <v>15</v>
      </c>
      <c r="J952">
        <v>7</v>
      </c>
      <c r="K952">
        <v>9</v>
      </c>
      <c r="L952">
        <v>10</v>
      </c>
      <c r="M952">
        <v>1</v>
      </c>
    </row>
    <row r="953" spans="1:13" x14ac:dyDescent="0.3">
      <c r="A953">
        <v>17</v>
      </c>
      <c r="B953" t="s">
        <v>16</v>
      </c>
      <c r="C953">
        <v>3.5</v>
      </c>
      <c r="D953" t="s">
        <v>20</v>
      </c>
      <c r="E953">
        <v>8.5</v>
      </c>
      <c r="F953">
        <v>2.2000000000000002</v>
      </c>
      <c r="G953">
        <v>2.11</v>
      </c>
      <c r="H953">
        <v>1.3</v>
      </c>
      <c r="I953" t="s">
        <v>19</v>
      </c>
      <c r="J953">
        <v>8</v>
      </c>
      <c r="K953">
        <v>8</v>
      </c>
      <c r="L953">
        <v>2</v>
      </c>
      <c r="M953">
        <v>0</v>
      </c>
    </row>
    <row r="954" spans="1:13" x14ac:dyDescent="0.3">
      <c r="A954">
        <v>18</v>
      </c>
      <c r="B954" t="s">
        <v>16</v>
      </c>
      <c r="C954">
        <v>3</v>
      </c>
      <c r="D954" t="s">
        <v>14</v>
      </c>
      <c r="E954">
        <v>5</v>
      </c>
      <c r="F954">
        <v>2</v>
      </c>
      <c r="G954">
        <v>2.4500000000000002</v>
      </c>
      <c r="H954">
        <v>1.2</v>
      </c>
      <c r="I954" t="s">
        <v>19</v>
      </c>
      <c r="J954">
        <v>1</v>
      </c>
      <c r="K954">
        <v>10</v>
      </c>
      <c r="L954">
        <v>7</v>
      </c>
      <c r="M954">
        <v>0</v>
      </c>
    </row>
    <row r="955" spans="1:13" x14ac:dyDescent="0.3">
      <c r="A955">
        <v>13</v>
      </c>
      <c r="B955" t="s">
        <v>16</v>
      </c>
      <c r="C955">
        <v>3.3</v>
      </c>
      <c r="D955" t="s">
        <v>20</v>
      </c>
      <c r="E955">
        <v>7.4</v>
      </c>
      <c r="F955">
        <v>0.9</v>
      </c>
      <c r="G955">
        <v>2.5299999999999998</v>
      </c>
      <c r="H955">
        <v>0.2</v>
      </c>
      <c r="I955" t="s">
        <v>19</v>
      </c>
      <c r="J955">
        <v>4</v>
      </c>
      <c r="K955">
        <v>10</v>
      </c>
      <c r="L955">
        <v>6</v>
      </c>
      <c r="M955">
        <v>0</v>
      </c>
    </row>
    <row r="956" spans="1:13" x14ac:dyDescent="0.3">
      <c r="A956">
        <v>19</v>
      </c>
      <c r="B956" t="s">
        <v>13</v>
      </c>
      <c r="C956">
        <v>5.5</v>
      </c>
      <c r="D956" t="s">
        <v>17</v>
      </c>
      <c r="E956">
        <v>5.0999999999999996</v>
      </c>
      <c r="F956">
        <v>2.7</v>
      </c>
      <c r="G956">
        <v>2.56</v>
      </c>
      <c r="H956">
        <v>1.4</v>
      </c>
      <c r="I956" t="s">
        <v>15</v>
      </c>
      <c r="J956">
        <v>2</v>
      </c>
      <c r="K956">
        <v>3</v>
      </c>
      <c r="L956">
        <v>7</v>
      </c>
      <c r="M956">
        <v>0</v>
      </c>
    </row>
    <row r="957" spans="1:13" x14ac:dyDescent="0.3">
      <c r="A957">
        <v>15</v>
      </c>
      <c r="B957" t="s">
        <v>13</v>
      </c>
      <c r="C957">
        <v>3.8</v>
      </c>
      <c r="D957" t="s">
        <v>20</v>
      </c>
      <c r="E957">
        <v>8.3000000000000007</v>
      </c>
      <c r="F957">
        <v>2.6</v>
      </c>
      <c r="G957">
        <v>3.19</v>
      </c>
      <c r="H957">
        <v>2</v>
      </c>
      <c r="I957" t="s">
        <v>19</v>
      </c>
      <c r="J957">
        <v>1</v>
      </c>
      <c r="K957">
        <v>2</v>
      </c>
      <c r="L957">
        <v>2</v>
      </c>
      <c r="M957">
        <v>0</v>
      </c>
    </row>
    <row r="958" spans="1:13" x14ac:dyDescent="0.3">
      <c r="A958">
        <v>17</v>
      </c>
      <c r="B958" t="s">
        <v>13</v>
      </c>
      <c r="C958">
        <v>5.7</v>
      </c>
      <c r="D958" t="s">
        <v>17</v>
      </c>
      <c r="E958">
        <v>8.6999999999999993</v>
      </c>
      <c r="F958">
        <v>2</v>
      </c>
      <c r="G958">
        <v>3.14</v>
      </c>
      <c r="H958">
        <v>1.7</v>
      </c>
      <c r="I958" t="s">
        <v>15</v>
      </c>
      <c r="J958">
        <v>1</v>
      </c>
      <c r="K958">
        <v>9</v>
      </c>
      <c r="L958">
        <v>8</v>
      </c>
      <c r="M958">
        <v>0</v>
      </c>
    </row>
    <row r="959" spans="1:13" x14ac:dyDescent="0.3">
      <c r="A959">
        <v>13</v>
      </c>
      <c r="B959" t="s">
        <v>16</v>
      </c>
      <c r="C959">
        <v>4.7</v>
      </c>
      <c r="D959" t="s">
        <v>17</v>
      </c>
      <c r="E959">
        <v>8</v>
      </c>
      <c r="F959">
        <v>1.1000000000000001</v>
      </c>
      <c r="G959">
        <v>2.37</v>
      </c>
      <c r="H959">
        <v>0.2</v>
      </c>
      <c r="I959" t="s">
        <v>15</v>
      </c>
      <c r="J959">
        <v>5</v>
      </c>
      <c r="K959">
        <v>10</v>
      </c>
      <c r="L959">
        <v>6</v>
      </c>
      <c r="M959">
        <v>0</v>
      </c>
    </row>
    <row r="960" spans="1:13" x14ac:dyDescent="0.3">
      <c r="A960">
        <v>17</v>
      </c>
      <c r="B960" t="s">
        <v>16</v>
      </c>
      <c r="C960">
        <v>4</v>
      </c>
      <c r="D960" t="s">
        <v>14</v>
      </c>
      <c r="E960">
        <v>6.7</v>
      </c>
      <c r="F960">
        <v>0.6</v>
      </c>
      <c r="G960">
        <v>2.5099999999999998</v>
      </c>
      <c r="H960">
        <v>1.5</v>
      </c>
      <c r="I960" t="s">
        <v>18</v>
      </c>
      <c r="J960">
        <v>9</v>
      </c>
      <c r="K960">
        <v>8</v>
      </c>
      <c r="L960">
        <v>5</v>
      </c>
      <c r="M960">
        <v>0</v>
      </c>
    </row>
    <row r="961" spans="1:13" x14ac:dyDescent="0.3">
      <c r="A961">
        <v>16</v>
      </c>
      <c r="B961" t="s">
        <v>13</v>
      </c>
      <c r="C961">
        <v>5.3</v>
      </c>
      <c r="D961" t="s">
        <v>17</v>
      </c>
      <c r="E961">
        <v>6.8</v>
      </c>
      <c r="F961">
        <v>0.7</v>
      </c>
      <c r="G961">
        <v>3.9</v>
      </c>
      <c r="H961">
        <v>1.5</v>
      </c>
      <c r="I961" t="s">
        <v>15</v>
      </c>
      <c r="J961">
        <v>5</v>
      </c>
      <c r="K961">
        <v>8</v>
      </c>
      <c r="L961">
        <v>3</v>
      </c>
      <c r="M961">
        <v>0</v>
      </c>
    </row>
    <row r="962" spans="1:13" x14ac:dyDescent="0.3">
      <c r="A962">
        <v>17</v>
      </c>
      <c r="B962" t="s">
        <v>13</v>
      </c>
      <c r="C962">
        <v>3.8</v>
      </c>
      <c r="D962" t="s">
        <v>14</v>
      </c>
      <c r="E962">
        <v>4.7</v>
      </c>
      <c r="F962">
        <v>1.2</v>
      </c>
      <c r="G962">
        <v>3.7</v>
      </c>
      <c r="H962">
        <v>1.4</v>
      </c>
      <c r="I962" t="s">
        <v>18</v>
      </c>
      <c r="J962">
        <v>2</v>
      </c>
      <c r="K962">
        <v>2</v>
      </c>
      <c r="L962">
        <v>5</v>
      </c>
      <c r="M962">
        <v>0</v>
      </c>
    </row>
    <row r="963" spans="1:13" x14ac:dyDescent="0.3">
      <c r="A963">
        <v>16</v>
      </c>
      <c r="B963" t="s">
        <v>16</v>
      </c>
      <c r="C963">
        <v>6</v>
      </c>
      <c r="D963" t="s">
        <v>20</v>
      </c>
      <c r="E963">
        <v>4.0999999999999996</v>
      </c>
      <c r="F963">
        <v>2.4</v>
      </c>
      <c r="G963">
        <v>2.61</v>
      </c>
      <c r="H963">
        <v>1.1000000000000001</v>
      </c>
      <c r="I963" t="s">
        <v>18</v>
      </c>
      <c r="J963">
        <v>1</v>
      </c>
      <c r="K963">
        <v>6</v>
      </c>
      <c r="L963">
        <v>3</v>
      </c>
      <c r="M963">
        <v>0</v>
      </c>
    </row>
    <row r="964" spans="1:13" x14ac:dyDescent="0.3">
      <c r="A964">
        <v>15</v>
      </c>
      <c r="B964" t="s">
        <v>13</v>
      </c>
      <c r="C964">
        <v>2.2000000000000002</v>
      </c>
      <c r="D964" t="s">
        <v>20</v>
      </c>
      <c r="E964">
        <v>4.5</v>
      </c>
      <c r="F964">
        <v>1.3</v>
      </c>
      <c r="G964">
        <v>2.63</v>
      </c>
      <c r="H964">
        <v>1.7</v>
      </c>
      <c r="I964" t="s">
        <v>15</v>
      </c>
      <c r="J964">
        <v>10</v>
      </c>
      <c r="K964">
        <v>2</v>
      </c>
      <c r="L964">
        <v>6</v>
      </c>
      <c r="M964">
        <v>0</v>
      </c>
    </row>
    <row r="965" spans="1:13" x14ac:dyDescent="0.3">
      <c r="A965">
        <v>18</v>
      </c>
      <c r="B965" t="s">
        <v>13</v>
      </c>
      <c r="C965">
        <v>4.3</v>
      </c>
      <c r="D965" t="s">
        <v>17</v>
      </c>
      <c r="E965">
        <v>8.4</v>
      </c>
      <c r="F965">
        <v>2.1</v>
      </c>
      <c r="G965">
        <v>2.69</v>
      </c>
      <c r="H965">
        <v>0.2</v>
      </c>
      <c r="I965" t="s">
        <v>15</v>
      </c>
      <c r="J965">
        <v>1</v>
      </c>
      <c r="K965">
        <v>10</v>
      </c>
      <c r="L965">
        <v>8</v>
      </c>
      <c r="M965">
        <v>0</v>
      </c>
    </row>
    <row r="966" spans="1:13" x14ac:dyDescent="0.3">
      <c r="A966">
        <v>19</v>
      </c>
      <c r="B966" t="s">
        <v>16</v>
      </c>
      <c r="C966">
        <v>7.5</v>
      </c>
      <c r="D966" t="s">
        <v>17</v>
      </c>
      <c r="E966">
        <v>4.5</v>
      </c>
      <c r="F966">
        <v>2.7</v>
      </c>
      <c r="G966">
        <v>2.41</v>
      </c>
      <c r="H966">
        <v>1</v>
      </c>
      <c r="I966" t="s">
        <v>18</v>
      </c>
      <c r="J966">
        <v>3</v>
      </c>
      <c r="K966">
        <v>2</v>
      </c>
      <c r="L966">
        <v>6</v>
      </c>
      <c r="M966">
        <v>0</v>
      </c>
    </row>
    <row r="967" spans="1:13" x14ac:dyDescent="0.3">
      <c r="A967">
        <v>14</v>
      </c>
      <c r="B967" t="s">
        <v>13</v>
      </c>
      <c r="C967">
        <v>5.3</v>
      </c>
      <c r="D967" t="s">
        <v>14</v>
      </c>
      <c r="E967">
        <v>6.8</v>
      </c>
      <c r="F967">
        <v>2.9</v>
      </c>
      <c r="G967">
        <v>2.1800000000000002</v>
      </c>
      <c r="H967">
        <v>0.8</v>
      </c>
      <c r="I967" t="s">
        <v>19</v>
      </c>
      <c r="J967">
        <v>10</v>
      </c>
      <c r="K967">
        <v>1</v>
      </c>
      <c r="L967">
        <v>6</v>
      </c>
      <c r="M967">
        <v>0</v>
      </c>
    </row>
    <row r="968" spans="1:13" x14ac:dyDescent="0.3">
      <c r="A968">
        <v>14</v>
      </c>
      <c r="B968" t="s">
        <v>16</v>
      </c>
      <c r="C968">
        <v>7</v>
      </c>
      <c r="D968" t="s">
        <v>14</v>
      </c>
      <c r="E968">
        <v>6.9</v>
      </c>
      <c r="F968">
        <v>2.1</v>
      </c>
      <c r="G968">
        <v>3.42</v>
      </c>
      <c r="H968">
        <v>1.1000000000000001</v>
      </c>
      <c r="I968" t="s">
        <v>18</v>
      </c>
      <c r="J968">
        <v>10</v>
      </c>
      <c r="K968">
        <v>3</v>
      </c>
      <c r="L968">
        <v>6</v>
      </c>
      <c r="M968">
        <v>0</v>
      </c>
    </row>
    <row r="969" spans="1:13" x14ac:dyDescent="0.3">
      <c r="A969">
        <v>16</v>
      </c>
      <c r="B969" t="s">
        <v>16</v>
      </c>
      <c r="C969">
        <v>2.1</v>
      </c>
      <c r="D969" t="s">
        <v>20</v>
      </c>
      <c r="E969">
        <v>4.5999999999999996</v>
      </c>
      <c r="F969">
        <v>2</v>
      </c>
      <c r="G969">
        <v>2.5499999999999998</v>
      </c>
      <c r="H969">
        <v>1.8</v>
      </c>
      <c r="I969" t="s">
        <v>18</v>
      </c>
      <c r="J969">
        <v>5</v>
      </c>
      <c r="K969">
        <v>4</v>
      </c>
      <c r="L969">
        <v>4</v>
      </c>
      <c r="M969">
        <v>0</v>
      </c>
    </row>
    <row r="970" spans="1:13" x14ac:dyDescent="0.3">
      <c r="A970">
        <v>18</v>
      </c>
      <c r="B970" t="s">
        <v>16</v>
      </c>
      <c r="C970">
        <v>7.3</v>
      </c>
      <c r="D970" t="s">
        <v>20</v>
      </c>
      <c r="E970">
        <v>7.3</v>
      </c>
      <c r="F970">
        <v>2.8</v>
      </c>
      <c r="G970">
        <v>3.3</v>
      </c>
      <c r="H970">
        <v>0.4</v>
      </c>
      <c r="I970" t="s">
        <v>15</v>
      </c>
      <c r="J970">
        <v>1</v>
      </c>
      <c r="K970">
        <v>8</v>
      </c>
      <c r="L970">
        <v>1</v>
      </c>
      <c r="M970">
        <v>0</v>
      </c>
    </row>
    <row r="971" spans="1:13" x14ac:dyDescent="0.3">
      <c r="A971">
        <v>17</v>
      </c>
      <c r="B971" t="s">
        <v>16</v>
      </c>
      <c r="C971">
        <v>2.6</v>
      </c>
      <c r="D971" t="s">
        <v>14</v>
      </c>
      <c r="E971">
        <v>6.5</v>
      </c>
      <c r="F971">
        <v>1.5</v>
      </c>
      <c r="G971">
        <v>3.8</v>
      </c>
      <c r="H971">
        <v>0.2</v>
      </c>
      <c r="I971" t="s">
        <v>18</v>
      </c>
      <c r="J971">
        <v>8</v>
      </c>
      <c r="K971">
        <v>6</v>
      </c>
      <c r="L971">
        <v>1</v>
      </c>
      <c r="M971">
        <v>0</v>
      </c>
    </row>
    <row r="972" spans="1:13" x14ac:dyDescent="0.3">
      <c r="A972">
        <v>17</v>
      </c>
      <c r="B972" t="s">
        <v>13</v>
      </c>
      <c r="C972">
        <v>5.4</v>
      </c>
      <c r="D972" t="s">
        <v>20</v>
      </c>
      <c r="E972">
        <v>4.9000000000000004</v>
      </c>
      <c r="F972">
        <v>1.5</v>
      </c>
      <c r="G972">
        <v>3.4</v>
      </c>
      <c r="H972">
        <v>0</v>
      </c>
      <c r="I972" t="s">
        <v>19</v>
      </c>
      <c r="J972">
        <v>2</v>
      </c>
      <c r="K972">
        <v>2</v>
      </c>
      <c r="L972">
        <v>1</v>
      </c>
      <c r="M972">
        <v>0</v>
      </c>
    </row>
    <row r="973" spans="1:13" x14ac:dyDescent="0.3">
      <c r="A973">
        <v>15</v>
      </c>
      <c r="B973" t="s">
        <v>13</v>
      </c>
      <c r="C973">
        <v>6.9</v>
      </c>
      <c r="D973" t="s">
        <v>14</v>
      </c>
      <c r="E973">
        <v>6.2</v>
      </c>
      <c r="F973">
        <v>0.6</v>
      </c>
      <c r="G973">
        <v>2.37</v>
      </c>
      <c r="H973">
        <v>0.2</v>
      </c>
      <c r="I973" t="s">
        <v>15</v>
      </c>
      <c r="J973">
        <v>3</v>
      </c>
      <c r="K973">
        <v>1</v>
      </c>
      <c r="L973">
        <v>4</v>
      </c>
      <c r="M973">
        <v>0</v>
      </c>
    </row>
    <row r="974" spans="1:13" x14ac:dyDescent="0.3">
      <c r="A974">
        <v>19</v>
      </c>
      <c r="B974" t="s">
        <v>16</v>
      </c>
      <c r="C974">
        <v>3</v>
      </c>
      <c r="D974" t="s">
        <v>14</v>
      </c>
      <c r="E974">
        <v>5.5</v>
      </c>
      <c r="F974">
        <v>2.1</v>
      </c>
      <c r="G974">
        <v>3.08</v>
      </c>
      <c r="H974">
        <v>0.7</v>
      </c>
      <c r="I974" t="s">
        <v>15</v>
      </c>
      <c r="J974">
        <v>9</v>
      </c>
      <c r="K974">
        <v>3</v>
      </c>
      <c r="L974">
        <v>5</v>
      </c>
      <c r="M974">
        <v>0</v>
      </c>
    </row>
    <row r="975" spans="1:13" x14ac:dyDescent="0.3">
      <c r="A975">
        <v>18</v>
      </c>
      <c r="B975" t="s">
        <v>13</v>
      </c>
      <c r="C975">
        <v>1.3</v>
      </c>
      <c r="D975" t="s">
        <v>14</v>
      </c>
      <c r="E975">
        <v>4.5</v>
      </c>
      <c r="F975">
        <v>2.2999999999999998</v>
      </c>
      <c r="G975">
        <v>2.2799999999999998</v>
      </c>
      <c r="H975">
        <v>1</v>
      </c>
      <c r="I975" t="s">
        <v>15</v>
      </c>
      <c r="J975">
        <v>2</v>
      </c>
      <c r="K975">
        <v>7</v>
      </c>
      <c r="L975">
        <v>8</v>
      </c>
      <c r="M975">
        <v>0</v>
      </c>
    </row>
    <row r="976" spans="1:13" x14ac:dyDescent="0.3">
      <c r="A976">
        <v>15</v>
      </c>
      <c r="B976" t="s">
        <v>13</v>
      </c>
      <c r="C976">
        <v>6.2</v>
      </c>
      <c r="D976" t="s">
        <v>20</v>
      </c>
      <c r="E976">
        <v>6.4</v>
      </c>
      <c r="F976">
        <v>1.4</v>
      </c>
      <c r="G976">
        <v>3.34</v>
      </c>
      <c r="H976">
        <v>0.9</v>
      </c>
      <c r="I976" t="s">
        <v>18</v>
      </c>
      <c r="J976">
        <v>8</v>
      </c>
      <c r="K976">
        <v>9</v>
      </c>
      <c r="L976">
        <v>9</v>
      </c>
      <c r="M976">
        <v>0</v>
      </c>
    </row>
    <row r="977" spans="1:13" x14ac:dyDescent="0.3">
      <c r="A977">
        <v>15</v>
      </c>
      <c r="B977" t="s">
        <v>13</v>
      </c>
      <c r="C977">
        <v>3.6</v>
      </c>
      <c r="D977" t="s">
        <v>14</v>
      </c>
      <c r="E977">
        <v>5.5</v>
      </c>
      <c r="F977">
        <v>1.2</v>
      </c>
      <c r="G977">
        <v>2.4900000000000002</v>
      </c>
      <c r="H977">
        <v>1.9</v>
      </c>
      <c r="I977" t="s">
        <v>15</v>
      </c>
      <c r="J977">
        <v>1</v>
      </c>
      <c r="K977">
        <v>4</v>
      </c>
      <c r="L977">
        <v>9</v>
      </c>
      <c r="M977">
        <v>0</v>
      </c>
    </row>
    <row r="978" spans="1:13" x14ac:dyDescent="0.3">
      <c r="A978">
        <v>18</v>
      </c>
      <c r="B978" t="s">
        <v>16</v>
      </c>
      <c r="C978">
        <v>6.5</v>
      </c>
      <c r="D978" t="s">
        <v>20</v>
      </c>
      <c r="E978">
        <v>6.7</v>
      </c>
      <c r="F978">
        <v>2.5</v>
      </c>
      <c r="G978">
        <v>2.98</v>
      </c>
      <c r="H978">
        <v>0.1</v>
      </c>
      <c r="I978" t="s">
        <v>18</v>
      </c>
      <c r="J978">
        <v>9</v>
      </c>
      <c r="K978">
        <v>7</v>
      </c>
      <c r="L978">
        <v>7</v>
      </c>
      <c r="M978">
        <v>0</v>
      </c>
    </row>
    <row r="979" spans="1:13" x14ac:dyDescent="0.3">
      <c r="A979">
        <v>17</v>
      </c>
      <c r="B979" t="s">
        <v>16</v>
      </c>
      <c r="C979">
        <v>5.3</v>
      </c>
      <c r="D979" t="s">
        <v>14</v>
      </c>
      <c r="E979">
        <v>6.6</v>
      </c>
      <c r="F979">
        <v>0.6</v>
      </c>
      <c r="G979">
        <v>3.04</v>
      </c>
      <c r="H979">
        <v>0.1</v>
      </c>
      <c r="I979" t="s">
        <v>18</v>
      </c>
      <c r="J979">
        <v>3</v>
      </c>
      <c r="K979">
        <v>7</v>
      </c>
      <c r="L979">
        <v>1</v>
      </c>
      <c r="M979">
        <v>0</v>
      </c>
    </row>
    <row r="980" spans="1:13" x14ac:dyDescent="0.3">
      <c r="A980">
        <v>16</v>
      </c>
      <c r="B980" t="s">
        <v>13</v>
      </c>
      <c r="C980">
        <v>4.5999999999999996</v>
      </c>
      <c r="D980" t="s">
        <v>20</v>
      </c>
      <c r="E980">
        <v>5.3</v>
      </c>
      <c r="F980">
        <v>1.3</v>
      </c>
      <c r="G980">
        <v>3.76</v>
      </c>
      <c r="H980">
        <v>0.5</v>
      </c>
      <c r="I980" t="s">
        <v>19</v>
      </c>
      <c r="J980">
        <v>3</v>
      </c>
      <c r="K980">
        <v>8</v>
      </c>
      <c r="L980">
        <v>8</v>
      </c>
      <c r="M980">
        <v>0</v>
      </c>
    </row>
    <row r="981" spans="1:13" x14ac:dyDescent="0.3">
      <c r="A981">
        <v>18</v>
      </c>
      <c r="B981" t="s">
        <v>13</v>
      </c>
      <c r="C981">
        <v>7.7</v>
      </c>
      <c r="D981" t="s">
        <v>20</v>
      </c>
      <c r="E981">
        <v>6.6</v>
      </c>
      <c r="F981">
        <v>1.6</v>
      </c>
      <c r="G981">
        <v>4</v>
      </c>
      <c r="H981">
        <v>1.9</v>
      </c>
      <c r="I981" t="s">
        <v>18</v>
      </c>
      <c r="J981">
        <v>3</v>
      </c>
      <c r="K981">
        <v>3</v>
      </c>
      <c r="L981">
        <v>9</v>
      </c>
      <c r="M981">
        <v>0</v>
      </c>
    </row>
    <row r="982" spans="1:13" x14ac:dyDescent="0.3">
      <c r="A982">
        <v>19</v>
      </c>
      <c r="B982" t="s">
        <v>13</v>
      </c>
      <c r="C982">
        <v>7.1</v>
      </c>
      <c r="D982" t="s">
        <v>17</v>
      </c>
      <c r="E982">
        <v>8.4</v>
      </c>
      <c r="F982">
        <v>1.8</v>
      </c>
      <c r="G982">
        <v>2.93</v>
      </c>
      <c r="H982">
        <v>1.3</v>
      </c>
      <c r="I982" t="s">
        <v>19</v>
      </c>
      <c r="J982">
        <v>1</v>
      </c>
      <c r="K982">
        <v>6</v>
      </c>
      <c r="L982">
        <v>8</v>
      </c>
      <c r="M982">
        <v>0</v>
      </c>
    </row>
    <row r="983" spans="1:13" x14ac:dyDescent="0.3">
      <c r="A983">
        <v>16</v>
      </c>
      <c r="B983" t="s">
        <v>13</v>
      </c>
      <c r="C983">
        <v>3.9</v>
      </c>
      <c r="D983" t="s">
        <v>17</v>
      </c>
      <c r="E983">
        <v>7.5</v>
      </c>
      <c r="F983">
        <v>2.1</v>
      </c>
      <c r="G983">
        <v>3.24</v>
      </c>
      <c r="H983">
        <v>0.9</v>
      </c>
      <c r="I983" t="s">
        <v>15</v>
      </c>
      <c r="J983">
        <v>4</v>
      </c>
      <c r="K983">
        <v>3</v>
      </c>
      <c r="L983">
        <v>2</v>
      </c>
      <c r="M983">
        <v>0</v>
      </c>
    </row>
    <row r="984" spans="1:13" x14ac:dyDescent="0.3">
      <c r="A984">
        <v>19</v>
      </c>
      <c r="B984" t="s">
        <v>16</v>
      </c>
      <c r="C984">
        <v>7.5</v>
      </c>
      <c r="D984" t="s">
        <v>17</v>
      </c>
      <c r="E984">
        <v>8.6</v>
      </c>
      <c r="F984">
        <v>0.9</v>
      </c>
      <c r="G984">
        <v>2.25</v>
      </c>
      <c r="H984">
        <v>1.6</v>
      </c>
      <c r="I984" t="s">
        <v>18</v>
      </c>
      <c r="J984">
        <v>9</v>
      </c>
      <c r="K984">
        <v>8</v>
      </c>
      <c r="L984">
        <v>4</v>
      </c>
      <c r="M984">
        <v>0</v>
      </c>
    </row>
    <row r="985" spans="1:13" x14ac:dyDescent="0.3">
      <c r="A985">
        <v>18</v>
      </c>
      <c r="B985" t="s">
        <v>13</v>
      </c>
      <c r="C985">
        <v>5.8</v>
      </c>
      <c r="D985" t="s">
        <v>17</v>
      </c>
      <c r="E985">
        <v>7.5</v>
      </c>
      <c r="F985">
        <v>2.2000000000000002</v>
      </c>
      <c r="G985">
        <v>3.65</v>
      </c>
      <c r="H985">
        <v>1.4</v>
      </c>
      <c r="I985" t="s">
        <v>19</v>
      </c>
      <c r="J985">
        <v>4</v>
      </c>
      <c r="K985">
        <v>4</v>
      </c>
      <c r="L985">
        <v>8</v>
      </c>
      <c r="M985">
        <v>0</v>
      </c>
    </row>
    <row r="986" spans="1:13" x14ac:dyDescent="0.3">
      <c r="A986">
        <v>17</v>
      </c>
      <c r="B986" t="s">
        <v>16</v>
      </c>
      <c r="C986">
        <v>7.6</v>
      </c>
      <c r="D986" t="s">
        <v>14</v>
      </c>
      <c r="E986">
        <v>7.3</v>
      </c>
      <c r="F986">
        <v>2.9</v>
      </c>
      <c r="G986">
        <v>2.99</v>
      </c>
      <c r="H986">
        <v>1.2</v>
      </c>
      <c r="I986" t="s">
        <v>18</v>
      </c>
      <c r="J986">
        <v>4</v>
      </c>
      <c r="K986">
        <v>8</v>
      </c>
      <c r="L986">
        <v>10</v>
      </c>
      <c r="M986">
        <v>0</v>
      </c>
    </row>
    <row r="987" spans="1:13" x14ac:dyDescent="0.3">
      <c r="A987">
        <v>19</v>
      </c>
      <c r="B987" t="s">
        <v>16</v>
      </c>
      <c r="C987">
        <v>4.4000000000000004</v>
      </c>
      <c r="D987" t="s">
        <v>14</v>
      </c>
      <c r="E987">
        <v>7.4</v>
      </c>
      <c r="F987">
        <v>2.8</v>
      </c>
      <c r="G987">
        <v>3.28</v>
      </c>
      <c r="H987">
        <v>1.5</v>
      </c>
      <c r="I987" t="s">
        <v>19</v>
      </c>
      <c r="J987">
        <v>7</v>
      </c>
      <c r="K987">
        <v>5</v>
      </c>
      <c r="L987">
        <v>4</v>
      </c>
      <c r="M987">
        <v>0</v>
      </c>
    </row>
    <row r="988" spans="1:13" x14ac:dyDescent="0.3">
      <c r="A988">
        <v>19</v>
      </c>
      <c r="B988" t="s">
        <v>13</v>
      </c>
      <c r="C988">
        <v>4.5999999999999996</v>
      </c>
      <c r="D988" t="s">
        <v>20</v>
      </c>
      <c r="E988">
        <v>4.5999999999999996</v>
      </c>
      <c r="F988">
        <v>2.5</v>
      </c>
      <c r="G988">
        <v>2.4</v>
      </c>
      <c r="H988">
        <v>1</v>
      </c>
      <c r="I988" t="s">
        <v>18</v>
      </c>
      <c r="J988">
        <v>10</v>
      </c>
      <c r="K988">
        <v>10</v>
      </c>
      <c r="L988">
        <v>8</v>
      </c>
      <c r="M988">
        <v>0</v>
      </c>
    </row>
    <row r="989" spans="1:13" x14ac:dyDescent="0.3">
      <c r="A989">
        <v>18</v>
      </c>
      <c r="B989" t="s">
        <v>16</v>
      </c>
      <c r="C989">
        <v>7</v>
      </c>
      <c r="D989" t="s">
        <v>20</v>
      </c>
      <c r="E989">
        <v>8.9</v>
      </c>
      <c r="F989">
        <v>0.7</v>
      </c>
      <c r="G989">
        <v>2.79</v>
      </c>
      <c r="H989">
        <v>0.4</v>
      </c>
      <c r="I989" t="s">
        <v>19</v>
      </c>
      <c r="J989">
        <v>2</v>
      </c>
      <c r="K989">
        <v>10</v>
      </c>
      <c r="L989">
        <v>8</v>
      </c>
      <c r="M989">
        <v>0</v>
      </c>
    </row>
    <row r="990" spans="1:13" x14ac:dyDescent="0.3">
      <c r="A990">
        <v>16</v>
      </c>
      <c r="B990" t="s">
        <v>16</v>
      </c>
      <c r="C990">
        <v>3.6</v>
      </c>
      <c r="D990" t="s">
        <v>17</v>
      </c>
      <c r="E990">
        <v>8.8000000000000007</v>
      </c>
      <c r="F990">
        <v>1.2</v>
      </c>
      <c r="G990">
        <v>2.3199999999999998</v>
      </c>
      <c r="H990">
        <v>0.5</v>
      </c>
      <c r="I990" t="s">
        <v>15</v>
      </c>
      <c r="J990">
        <v>2</v>
      </c>
      <c r="K990">
        <v>4</v>
      </c>
      <c r="L990">
        <v>5</v>
      </c>
      <c r="M990">
        <v>0</v>
      </c>
    </row>
    <row r="991" spans="1:13" x14ac:dyDescent="0.3">
      <c r="A991">
        <v>15</v>
      </c>
      <c r="B991" t="s">
        <v>16</v>
      </c>
      <c r="C991">
        <v>3</v>
      </c>
      <c r="D991" t="s">
        <v>17</v>
      </c>
      <c r="E991">
        <v>6.6</v>
      </c>
      <c r="F991">
        <v>0.9</v>
      </c>
      <c r="G991">
        <v>2.69</v>
      </c>
      <c r="H991">
        <v>1.8</v>
      </c>
      <c r="I991" t="s">
        <v>19</v>
      </c>
      <c r="J991">
        <v>1</v>
      </c>
      <c r="K991">
        <v>2</v>
      </c>
      <c r="L991">
        <v>2</v>
      </c>
      <c r="M991">
        <v>0</v>
      </c>
    </row>
    <row r="992" spans="1:13" x14ac:dyDescent="0.3">
      <c r="A992">
        <v>19</v>
      </c>
      <c r="B992" t="s">
        <v>16</v>
      </c>
      <c r="C992">
        <v>7.2</v>
      </c>
      <c r="D992" t="s">
        <v>14</v>
      </c>
      <c r="E992">
        <v>6.4</v>
      </c>
      <c r="F992">
        <v>2.9</v>
      </c>
      <c r="G992">
        <v>3.82</v>
      </c>
      <c r="H992">
        <v>1</v>
      </c>
      <c r="I992" t="s">
        <v>19</v>
      </c>
      <c r="J992">
        <v>5</v>
      </c>
      <c r="K992">
        <v>4</v>
      </c>
      <c r="L992">
        <v>5</v>
      </c>
      <c r="M992">
        <v>0</v>
      </c>
    </row>
    <row r="993" spans="1:13" x14ac:dyDescent="0.3">
      <c r="A993">
        <v>15</v>
      </c>
      <c r="B993" t="s">
        <v>16</v>
      </c>
      <c r="C993">
        <v>5.6</v>
      </c>
      <c r="D993" t="s">
        <v>20</v>
      </c>
      <c r="E993">
        <v>5.9</v>
      </c>
      <c r="F993">
        <v>2</v>
      </c>
      <c r="G993">
        <v>2.97</v>
      </c>
      <c r="H993">
        <v>0.6</v>
      </c>
      <c r="I993" t="s">
        <v>15</v>
      </c>
      <c r="J993">
        <v>9</v>
      </c>
      <c r="K993">
        <v>3</v>
      </c>
      <c r="L993">
        <v>3</v>
      </c>
      <c r="M993">
        <v>0</v>
      </c>
    </row>
    <row r="994" spans="1:13" x14ac:dyDescent="0.3">
      <c r="A994">
        <v>14</v>
      </c>
      <c r="B994" t="s">
        <v>16</v>
      </c>
      <c r="C994">
        <v>2</v>
      </c>
      <c r="D994" t="s">
        <v>14</v>
      </c>
      <c r="E994">
        <v>4.7</v>
      </c>
      <c r="F994">
        <v>1.1000000000000001</v>
      </c>
      <c r="G994">
        <v>2.5099999999999998</v>
      </c>
      <c r="H994">
        <v>0</v>
      </c>
      <c r="I994" t="s">
        <v>18</v>
      </c>
      <c r="J994">
        <v>2</v>
      </c>
      <c r="K994">
        <v>9</v>
      </c>
      <c r="L994">
        <v>4</v>
      </c>
      <c r="M994">
        <v>0</v>
      </c>
    </row>
    <row r="995" spans="1:13" x14ac:dyDescent="0.3">
      <c r="A995">
        <v>14</v>
      </c>
      <c r="B995" t="s">
        <v>16</v>
      </c>
      <c r="C995">
        <v>4.4000000000000004</v>
      </c>
      <c r="D995" t="s">
        <v>17</v>
      </c>
      <c r="E995">
        <v>5.0999999999999996</v>
      </c>
      <c r="F995">
        <v>2.8</v>
      </c>
      <c r="G995">
        <v>2.2200000000000002</v>
      </c>
      <c r="H995">
        <v>0.5</v>
      </c>
      <c r="I995" t="s">
        <v>18</v>
      </c>
      <c r="J995">
        <v>5</v>
      </c>
      <c r="K995">
        <v>4</v>
      </c>
      <c r="L995">
        <v>1</v>
      </c>
      <c r="M995">
        <v>0</v>
      </c>
    </row>
    <row r="996" spans="1:13" x14ac:dyDescent="0.3">
      <c r="A996">
        <v>13</v>
      </c>
      <c r="B996" t="s">
        <v>13</v>
      </c>
      <c r="C996">
        <v>3.5</v>
      </c>
      <c r="D996" t="s">
        <v>17</v>
      </c>
      <c r="E996">
        <v>5.8</v>
      </c>
      <c r="F996">
        <v>1.2</v>
      </c>
      <c r="G996">
        <v>2.44</v>
      </c>
      <c r="H996">
        <v>1.5</v>
      </c>
      <c r="I996" t="s">
        <v>19</v>
      </c>
      <c r="J996">
        <v>4</v>
      </c>
      <c r="K996">
        <v>1</v>
      </c>
      <c r="L996">
        <v>8</v>
      </c>
      <c r="M996">
        <v>0</v>
      </c>
    </row>
    <row r="997" spans="1:13" x14ac:dyDescent="0.3">
      <c r="A997">
        <v>13</v>
      </c>
      <c r="B997" t="s">
        <v>13</v>
      </c>
      <c r="C997">
        <v>6.5</v>
      </c>
      <c r="D997" t="s">
        <v>14</v>
      </c>
      <c r="E997">
        <v>6.5</v>
      </c>
      <c r="F997">
        <v>1.5</v>
      </c>
      <c r="G997">
        <v>2.0499999999999998</v>
      </c>
      <c r="H997">
        <v>0.5</v>
      </c>
      <c r="I997" t="s">
        <v>15</v>
      </c>
      <c r="J997">
        <v>3</v>
      </c>
      <c r="K997">
        <v>9</v>
      </c>
      <c r="L997">
        <v>4</v>
      </c>
      <c r="M997">
        <v>0</v>
      </c>
    </row>
    <row r="998" spans="1:13" x14ac:dyDescent="0.3">
      <c r="A998">
        <v>14</v>
      </c>
      <c r="B998" t="s">
        <v>13</v>
      </c>
      <c r="C998">
        <v>4.4000000000000004</v>
      </c>
      <c r="D998" t="s">
        <v>14</v>
      </c>
      <c r="E998">
        <v>8.8000000000000007</v>
      </c>
      <c r="F998">
        <v>2.2999999999999998</v>
      </c>
      <c r="G998">
        <v>2.73</v>
      </c>
      <c r="H998">
        <v>0.3</v>
      </c>
      <c r="I998" t="s">
        <v>19</v>
      </c>
      <c r="J998">
        <v>9</v>
      </c>
      <c r="K998">
        <v>2</v>
      </c>
      <c r="L998">
        <v>2</v>
      </c>
      <c r="M998">
        <v>0</v>
      </c>
    </row>
    <row r="999" spans="1:13" x14ac:dyDescent="0.3">
      <c r="A999">
        <v>17</v>
      </c>
      <c r="B999" t="s">
        <v>16</v>
      </c>
      <c r="C999">
        <v>3.1</v>
      </c>
      <c r="D999" t="s">
        <v>17</v>
      </c>
      <c r="E999">
        <v>4.2</v>
      </c>
      <c r="F999">
        <v>0.8</v>
      </c>
      <c r="G999">
        <v>2.2799999999999998</v>
      </c>
      <c r="H999">
        <v>1.6</v>
      </c>
      <c r="I999" t="s">
        <v>19</v>
      </c>
      <c r="J999">
        <v>4</v>
      </c>
      <c r="K999">
        <v>9</v>
      </c>
      <c r="L999">
        <v>6</v>
      </c>
      <c r="M999">
        <v>0</v>
      </c>
    </row>
    <row r="1000" spans="1:13" x14ac:dyDescent="0.3">
      <c r="A1000">
        <v>15</v>
      </c>
      <c r="B1000" t="s">
        <v>13</v>
      </c>
      <c r="C1000">
        <v>7.8</v>
      </c>
      <c r="D1000" t="s">
        <v>20</v>
      </c>
      <c r="E1000">
        <v>4.2</v>
      </c>
      <c r="F1000">
        <v>2.1</v>
      </c>
      <c r="G1000">
        <v>3.42</v>
      </c>
      <c r="H1000">
        <v>0</v>
      </c>
      <c r="I1000" t="s">
        <v>15</v>
      </c>
      <c r="J1000">
        <v>10</v>
      </c>
      <c r="K1000">
        <v>7</v>
      </c>
      <c r="L1000">
        <v>9</v>
      </c>
      <c r="M1000">
        <v>1</v>
      </c>
    </row>
    <row r="1001" spans="1:13" x14ac:dyDescent="0.3">
      <c r="A1001">
        <v>19</v>
      </c>
      <c r="B1001" t="s">
        <v>16</v>
      </c>
      <c r="C1001">
        <v>2.1</v>
      </c>
      <c r="D1001" t="s">
        <v>20</v>
      </c>
      <c r="E1001">
        <v>4.4000000000000004</v>
      </c>
      <c r="F1001">
        <v>2.2000000000000002</v>
      </c>
      <c r="G1001">
        <v>2.4700000000000002</v>
      </c>
      <c r="H1001">
        <v>0.7</v>
      </c>
      <c r="I1001" t="s">
        <v>18</v>
      </c>
      <c r="J1001">
        <v>9</v>
      </c>
      <c r="K1001">
        <v>5</v>
      </c>
      <c r="L1001">
        <v>6</v>
      </c>
      <c r="M1001">
        <v>0</v>
      </c>
    </row>
    <row r="1002" spans="1:13" x14ac:dyDescent="0.3">
      <c r="A1002">
        <v>14</v>
      </c>
      <c r="B1002" t="s">
        <v>16</v>
      </c>
      <c r="C1002">
        <v>5.5</v>
      </c>
      <c r="D1002" t="s">
        <v>20</v>
      </c>
      <c r="E1002">
        <v>5.7</v>
      </c>
      <c r="F1002">
        <v>2.2999999999999998</v>
      </c>
      <c r="G1002">
        <v>3.05</v>
      </c>
      <c r="H1002">
        <v>1.3</v>
      </c>
      <c r="I1002" t="s">
        <v>19</v>
      </c>
      <c r="J1002">
        <v>7</v>
      </c>
      <c r="K1002">
        <v>8</v>
      </c>
      <c r="L1002">
        <v>5</v>
      </c>
      <c r="M1002">
        <v>1</v>
      </c>
    </row>
    <row r="1003" spans="1:13" x14ac:dyDescent="0.3">
      <c r="A1003">
        <v>15</v>
      </c>
      <c r="B1003" t="s">
        <v>16</v>
      </c>
      <c r="C1003">
        <v>5.7</v>
      </c>
      <c r="D1003" t="s">
        <v>14</v>
      </c>
      <c r="E1003">
        <v>7.2</v>
      </c>
      <c r="F1003">
        <v>2.4</v>
      </c>
      <c r="G1003">
        <v>2.1800000000000002</v>
      </c>
      <c r="H1003">
        <v>1.6</v>
      </c>
      <c r="I1003" t="s">
        <v>19</v>
      </c>
      <c r="J1003">
        <v>5</v>
      </c>
      <c r="K1003">
        <v>1</v>
      </c>
      <c r="L1003">
        <v>7</v>
      </c>
      <c r="M1003">
        <v>0</v>
      </c>
    </row>
    <row r="1004" spans="1:13" x14ac:dyDescent="0.3">
      <c r="A1004">
        <v>15</v>
      </c>
      <c r="B1004" t="s">
        <v>16</v>
      </c>
      <c r="C1004">
        <v>5</v>
      </c>
      <c r="D1004" t="s">
        <v>17</v>
      </c>
      <c r="E1004">
        <v>6.3</v>
      </c>
      <c r="F1004">
        <v>1.5</v>
      </c>
      <c r="G1004">
        <v>2.67</v>
      </c>
      <c r="H1004">
        <v>1.1000000000000001</v>
      </c>
      <c r="I1004" t="s">
        <v>18</v>
      </c>
      <c r="J1004">
        <v>6</v>
      </c>
      <c r="K1004">
        <v>2</v>
      </c>
      <c r="L1004">
        <v>5</v>
      </c>
      <c r="M1004">
        <v>0</v>
      </c>
    </row>
    <row r="1005" spans="1:13" x14ac:dyDescent="0.3">
      <c r="A1005">
        <v>16</v>
      </c>
      <c r="B1005" t="s">
        <v>16</v>
      </c>
      <c r="C1005">
        <v>7.5</v>
      </c>
      <c r="D1005" t="s">
        <v>20</v>
      </c>
      <c r="E1005">
        <v>4</v>
      </c>
      <c r="F1005">
        <v>0.5</v>
      </c>
      <c r="G1005">
        <v>3.72</v>
      </c>
      <c r="H1005">
        <v>1.1000000000000001</v>
      </c>
      <c r="I1005" t="s">
        <v>19</v>
      </c>
      <c r="J1005">
        <v>4</v>
      </c>
      <c r="K1005">
        <v>5</v>
      </c>
      <c r="L1005">
        <v>7</v>
      </c>
      <c r="M1005">
        <v>0</v>
      </c>
    </row>
    <row r="1006" spans="1:13" x14ac:dyDescent="0.3">
      <c r="A1006">
        <v>17</v>
      </c>
      <c r="B1006" t="s">
        <v>13</v>
      </c>
      <c r="C1006">
        <v>2.2000000000000002</v>
      </c>
      <c r="D1006" t="s">
        <v>17</v>
      </c>
      <c r="E1006">
        <v>7.1</v>
      </c>
      <c r="F1006">
        <v>1.1000000000000001</v>
      </c>
      <c r="G1006">
        <v>2.5</v>
      </c>
      <c r="H1006">
        <v>1.5</v>
      </c>
      <c r="I1006" t="s">
        <v>15</v>
      </c>
      <c r="J1006">
        <v>2</v>
      </c>
      <c r="K1006">
        <v>1</v>
      </c>
      <c r="L1006">
        <v>2</v>
      </c>
      <c r="M1006">
        <v>0</v>
      </c>
    </row>
    <row r="1007" spans="1:13" x14ac:dyDescent="0.3">
      <c r="A1007">
        <v>15</v>
      </c>
      <c r="B1007" t="s">
        <v>16</v>
      </c>
      <c r="C1007">
        <v>7.3</v>
      </c>
      <c r="D1007" t="s">
        <v>14</v>
      </c>
      <c r="E1007">
        <v>4.0999999999999996</v>
      </c>
      <c r="F1007">
        <v>2.1</v>
      </c>
      <c r="G1007">
        <v>2.87</v>
      </c>
      <c r="H1007">
        <v>0.4</v>
      </c>
      <c r="I1007" t="s">
        <v>15</v>
      </c>
      <c r="J1007">
        <v>10</v>
      </c>
      <c r="K1007">
        <v>10</v>
      </c>
      <c r="L1007">
        <v>1</v>
      </c>
      <c r="M1007">
        <v>1</v>
      </c>
    </row>
    <row r="1008" spans="1:13" x14ac:dyDescent="0.3">
      <c r="A1008">
        <v>17</v>
      </c>
      <c r="B1008" t="s">
        <v>13</v>
      </c>
      <c r="C1008">
        <v>2.7</v>
      </c>
      <c r="D1008" t="s">
        <v>14</v>
      </c>
      <c r="E1008">
        <v>7.5</v>
      </c>
      <c r="F1008">
        <v>1.5</v>
      </c>
      <c r="G1008">
        <v>3.23</v>
      </c>
      <c r="H1008">
        <v>1.4</v>
      </c>
      <c r="I1008" t="s">
        <v>15</v>
      </c>
      <c r="J1008">
        <v>5</v>
      </c>
      <c r="K1008">
        <v>7</v>
      </c>
      <c r="L1008">
        <v>3</v>
      </c>
      <c r="M1008">
        <v>0</v>
      </c>
    </row>
    <row r="1009" spans="1:13" x14ac:dyDescent="0.3">
      <c r="A1009">
        <v>18</v>
      </c>
      <c r="B1009" t="s">
        <v>13</v>
      </c>
      <c r="C1009">
        <v>1.6</v>
      </c>
      <c r="D1009" t="s">
        <v>14</v>
      </c>
      <c r="E1009">
        <v>8.6</v>
      </c>
      <c r="F1009">
        <v>2.6</v>
      </c>
      <c r="G1009">
        <v>3.53</v>
      </c>
      <c r="H1009">
        <v>0.1</v>
      </c>
      <c r="I1009" t="s">
        <v>19</v>
      </c>
      <c r="J1009">
        <v>8</v>
      </c>
      <c r="K1009">
        <v>8</v>
      </c>
      <c r="L1009">
        <v>10</v>
      </c>
      <c r="M1009">
        <v>0</v>
      </c>
    </row>
    <row r="1010" spans="1:13" x14ac:dyDescent="0.3">
      <c r="A1010">
        <v>14</v>
      </c>
      <c r="B1010" t="s">
        <v>13</v>
      </c>
      <c r="C1010">
        <v>4</v>
      </c>
      <c r="D1010" t="s">
        <v>17</v>
      </c>
      <c r="E1010">
        <v>4.9000000000000004</v>
      </c>
      <c r="F1010">
        <v>2.7</v>
      </c>
      <c r="G1010">
        <v>2.2999999999999998</v>
      </c>
      <c r="H1010">
        <v>0.5</v>
      </c>
      <c r="I1010" t="s">
        <v>18</v>
      </c>
      <c r="J1010">
        <v>7</v>
      </c>
      <c r="K1010">
        <v>8</v>
      </c>
      <c r="L1010">
        <v>6</v>
      </c>
      <c r="M1010">
        <v>0</v>
      </c>
    </row>
    <row r="1011" spans="1:13" x14ac:dyDescent="0.3">
      <c r="A1011">
        <v>18</v>
      </c>
      <c r="B1011" t="s">
        <v>16</v>
      </c>
      <c r="C1011">
        <v>6.3</v>
      </c>
      <c r="D1011" t="s">
        <v>20</v>
      </c>
      <c r="E1011">
        <v>4.7</v>
      </c>
      <c r="F1011">
        <v>2.4</v>
      </c>
      <c r="G1011">
        <v>2.2999999999999998</v>
      </c>
      <c r="H1011">
        <v>0.9</v>
      </c>
      <c r="I1011" t="s">
        <v>19</v>
      </c>
      <c r="J1011">
        <v>6</v>
      </c>
      <c r="K1011">
        <v>1</v>
      </c>
      <c r="L1011">
        <v>6</v>
      </c>
      <c r="M1011">
        <v>0</v>
      </c>
    </row>
    <row r="1012" spans="1:13" x14ac:dyDescent="0.3">
      <c r="A1012">
        <v>16</v>
      </c>
      <c r="B1012" t="s">
        <v>16</v>
      </c>
      <c r="C1012">
        <v>6.8</v>
      </c>
      <c r="D1012" t="s">
        <v>17</v>
      </c>
      <c r="E1012">
        <v>7.1</v>
      </c>
      <c r="F1012">
        <v>2.9</v>
      </c>
      <c r="G1012">
        <v>3.26</v>
      </c>
      <c r="H1012">
        <v>0.6</v>
      </c>
      <c r="I1012" t="s">
        <v>15</v>
      </c>
      <c r="J1012">
        <v>6</v>
      </c>
      <c r="K1012">
        <v>10</v>
      </c>
      <c r="L1012">
        <v>4</v>
      </c>
      <c r="M1012">
        <v>0</v>
      </c>
    </row>
    <row r="1013" spans="1:13" x14ac:dyDescent="0.3">
      <c r="A1013">
        <v>18</v>
      </c>
      <c r="B1013" t="s">
        <v>16</v>
      </c>
      <c r="C1013">
        <v>6.6</v>
      </c>
      <c r="D1013" t="s">
        <v>20</v>
      </c>
      <c r="E1013">
        <v>8.1</v>
      </c>
      <c r="F1013">
        <v>2</v>
      </c>
      <c r="G1013">
        <v>3.59</v>
      </c>
      <c r="H1013">
        <v>1.6</v>
      </c>
      <c r="I1013" t="s">
        <v>15</v>
      </c>
      <c r="J1013">
        <v>9</v>
      </c>
      <c r="K1013">
        <v>4</v>
      </c>
      <c r="L1013">
        <v>3</v>
      </c>
      <c r="M1013">
        <v>0</v>
      </c>
    </row>
    <row r="1014" spans="1:13" x14ac:dyDescent="0.3">
      <c r="A1014">
        <v>13</v>
      </c>
      <c r="B1014" t="s">
        <v>13</v>
      </c>
      <c r="C1014">
        <v>4</v>
      </c>
      <c r="D1014" t="s">
        <v>14</v>
      </c>
      <c r="E1014">
        <v>4.2</v>
      </c>
      <c r="F1014">
        <v>0.9</v>
      </c>
      <c r="G1014">
        <v>2.75</v>
      </c>
      <c r="H1014">
        <v>1</v>
      </c>
      <c r="I1014" t="s">
        <v>18</v>
      </c>
      <c r="J1014">
        <v>5</v>
      </c>
      <c r="K1014">
        <v>4</v>
      </c>
      <c r="L1014">
        <v>8</v>
      </c>
      <c r="M1014">
        <v>0</v>
      </c>
    </row>
    <row r="1015" spans="1:13" x14ac:dyDescent="0.3">
      <c r="A1015">
        <v>13</v>
      </c>
      <c r="B1015" t="s">
        <v>13</v>
      </c>
      <c r="C1015">
        <v>1.6</v>
      </c>
      <c r="D1015" t="s">
        <v>17</v>
      </c>
      <c r="E1015">
        <v>5</v>
      </c>
      <c r="F1015">
        <v>2.7</v>
      </c>
      <c r="G1015">
        <v>2.31</v>
      </c>
      <c r="H1015">
        <v>1.9</v>
      </c>
      <c r="I1015" t="s">
        <v>15</v>
      </c>
      <c r="J1015">
        <v>8</v>
      </c>
      <c r="K1015">
        <v>9</v>
      </c>
      <c r="L1015">
        <v>5</v>
      </c>
      <c r="M1015">
        <v>0</v>
      </c>
    </row>
    <row r="1016" spans="1:13" x14ac:dyDescent="0.3">
      <c r="A1016">
        <v>18</v>
      </c>
      <c r="B1016" t="s">
        <v>13</v>
      </c>
      <c r="C1016">
        <v>5.3</v>
      </c>
      <c r="D1016" t="s">
        <v>20</v>
      </c>
      <c r="E1016">
        <v>8.1999999999999993</v>
      </c>
      <c r="F1016">
        <v>1.9</v>
      </c>
      <c r="G1016">
        <v>3.87</v>
      </c>
      <c r="H1016">
        <v>1.9</v>
      </c>
      <c r="I1016" t="s">
        <v>15</v>
      </c>
      <c r="J1016">
        <v>2</v>
      </c>
      <c r="K1016">
        <v>9</v>
      </c>
      <c r="L1016">
        <v>8</v>
      </c>
      <c r="M1016">
        <v>0</v>
      </c>
    </row>
    <row r="1017" spans="1:13" x14ac:dyDescent="0.3">
      <c r="A1017">
        <v>19</v>
      </c>
      <c r="B1017" t="s">
        <v>16</v>
      </c>
      <c r="C1017">
        <v>7.4</v>
      </c>
      <c r="D1017" t="s">
        <v>20</v>
      </c>
      <c r="E1017">
        <v>4.4000000000000004</v>
      </c>
      <c r="F1017">
        <v>1.4</v>
      </c>
      <c r="G1017">
        <v>3.78</v>
      </c>
      <c r="H1017">
        <v>1.1000000000000001</v>
      </c>
      <c r="I1017" t="s">
        <v>15</v>
      </c>
      <c r="J1017">
        <v>9</v>
      </c>
      <c r="K1017">
        <v>7</v>
      </c>
      <c r="L1017">
        <v>5</v>
      </c>
      <c r="M1017">
        <v>1</v>
      </c>
    </row>
    <row r="1018" spans="1:13" x14ac:dyDescent="0.3">
      <c r="A1018">
        <v>18</v>
      </c>
      <c r="B1018" t="s">
        <v>16</v>
      </c>
      <c r="C1018">
        <v>2.2999999999999998</v>
      </c>
      <c r="D1018" t="s">
        <v>14</v>
      </c>
      <c r="E1018">
        <v>8.6999999999999993</v>
      </c>
      <c r="F1018">
        <v>0.6</v>
      </c>
      <c r="G1018">
        <v>2.76</v>
      </c>
      <c r="H1018">
        <v>1.9</v>
      </c>
      <c r="I1018" t="s">
        <v>18</v>
      </c>
      <c r="J1018">
        <v>4</v>
      </c>
      <c r="K1018">
        <v>8</v>
      </c>
      <c r="L1018">
        <v>7</v>
      </c>
      <c r="M1018">
        <v>0</v>
      </c>
    </row>
    <row r="1019" spans="1:13" x14ac:dyDescent="0.3">
      <c r="A1019">
        <v>16</v>
      </c>
      <c r="B1019" t="s">
        <v>13</v>
      </c>
      <c r="C1019">
        <v>7.6</v>
      </c>
      <c r="D1019" t="s">
        <v>20</v>
      </c>
      <c r="E1019">
        <v>6.1</v>
      </c>
      <c r="F1019">
        <v>0.8</v>
      </c>
      <c r="G1019">
        <v>3.09</v>
      </c>
      <c r="H1019">
        <v>1.3</v>
      </c>
      <c r="I1019" t="s">
        <v>15</v>
      </c>
      <c r="J1019">
        <v>8</v>
      </c>
      <c r="K1019">
        <v>4</v>
      </c>
      <c r="L1019">
        <v>4</v>
      </c>
      <c r="M1019">
        <v>0</v>
      </c>
    </row>
    <row r="1020" spans="1:13" x14ac:dyDescent="0.3">
      <c r="A1020">
        <v>16</v>
      </c>
      <c r="B1020" t="s">
        <v>16</v>
      </c>
      <c r="C1020">
        <v>7.6</v>
      </c>
      <c r="D1020" t="s">
        <v>17</v>
      </c>
      <c r="E1020">
        <v>7.6</v>
      </c>
      <c r="F1020">
        <v>2.4</v>
      </c>
      <c r="G1020">
        <v>2.2400000000000002</v>
      </c>
      <c r="H1020">
        <v>1.1000000000000001</v>
      </c>
      <c r="I1020" t="s">
        <v>19</v>
      </c>
      <c r="J1020">
        <v>1</v>
      </c>
      <c r="K1020">
        <v>5</v>
      </c>
      <c r="L1020">
        <v>5</v>
      </c>
      <c r="M1020">
        <v>0</v>
      </c>
    </row>
    <row r="1021" spans="1:13" x14ac:dyDescent="0.3">
      <c r="A1021">
        <v>17</v>
      </c>
      <c r="B1021" t="s">
        <v>16</v>
      </c>
      <c r="C1021">
        <v>3.4</v>
      </c>
      <c r="D1021" t="s">
        <v>20</v>
      </c>
      <c r="E1021">
        <v>4.7</v>
      </c>
      <c r="F1021">
        <v>0.5</v>
      </c>
      <c r="G1021">
        <v>2.91</v>
      </c>
      <c r="H1021">
        <v>2</v>
      </c>
      <c r="I1021" t="s">
        <v>18</v>
      </c>
      <c r="J1021">
        <v>2</v>
      </c>
      <c r="K1021">
        <v>8</v>
      </c>
      <c r="L1021">
        <v>1</v>
      </c>
      <c r="M1021">
        <v>0</v>
      </c>
    </row>
    <row r="1022" spans="1:13" x14ac:dyDescent="0.3">
      <c r="A1022">
        <v>18</v>
      </c>
      <c r="B1022" t="s">
        <v>16</v>
      </c>
      <c r="C1022">
        <v>2.2999999999999998</v>
      </c>
      <c r="D1022" t="s">
        <v>14</v>
      </c>
      <c r="E1022">
        <v>4.2</v>
      </c>
      <c r="F1022">
        <v>0.9</v>
      </c>
      <c r="G1022">
        <v>3.84</v>
      </c>
      <c r="H1022">
        <v>1.3</v>
      </c>
      <c r="I1022" t="s">
        <v>18</v>
      </c>
      <c r="J1022">
        <v>6</v>
      </c>
      <c r="K1022">
        <v>6</v>
      </c>
      <c r="L1022">
        <v>10</v>
      </c>
      <c r="M1022">
        <v>0</v>
      </c>
    </row>
    <row r="1023" spans="1:13" x14ac:dyDescent="0.3">
      <c r="A1023">
        <v>18</v>
      </c>
      <c r="B1023" t="s">
        <v>13</v>
      </c>
      <c r="C1023">
        <v>5</v>
      </c>
      <c r="D1023" t="s">
        <v>14</v>
      </c>
      <c r="E1023">
        <v>4.3</v>
      </c>
      <c r="F1023">
        <v>1.1000000000000001</v>
      </c>
      <c r="G1023">
        <v>2.2200000000000002</v>
      </c>
      <c r="H1023">
        <v>0.1</v>
      </c>
      <c r="I1023" t="s">
        <v>18</v>
      </c>
      <c r="J1023">
        <v>7</v>
      </c>
      <c r="K1023">
        <v>2</v>
      </c>
      <c r="L1023">
        <v>2</v>
      </c>
      <c r="M1023">
        <v>0</v>
      </c>
    </row>
    <row r="1024" spans="1:13" x14ac:dyDescent="0.3">
      <c r="A1024">
        <v>15</v>
      </c>
      <c r="B1024" t="s">
        <v>13</v>
      </c>
      <c r="C1024">
        <v>3.8</v>
      </c>
      <c r="D1024" t="s">
        <v>17</v>
      </c>
      <c r="E1024">
        <v>7.1</v>
      </c>
      <c r="F1024">
        <v>0.5</v>
      </c>
      <c r="G1024">
        <v>3.08</v>
      </c>
      <c r="H1024">
        <v>0.2</v>
      </c>
      <c r="I1024" t="s">
        <v>19</v>
      </c>
      <c r="J1024">
        <v>2</v>
      </c>
      <c r="K1024">
        <v>9</v>
      </c>
      <c r="L1024">
        <v>7</v>
      </c>
      <c r="M1024">
        <v>0</v>
      </c>
    </row>
    <row r="1025" spans="1:13" x14ac:dyDescent="0.3">
      <c r="A1025">
        <v>16</v>
      </c>
      <c r="B1025" t="s">
        <v>13</v>
      </c>
      <c r="C1025">
        <v>3.7</v>
      </c>
      <c r="D1025" t="s">
        <v>14</v>
      </c>
      <c r="E1025">
        <v>7.6</v>
      </c>
      <c r="F1025">
        <v>1.2</v>
      </c>
      <c r="G1025">
        <v>3.2</v>
      </c>
      <c r="H1025">
        <v>1</v>
      </c>
      <c r="I1025" t="s">
        <v>19</v>
      </c>
      <c r="J1025">
        <v>4</v>
      </c>
      <c r="K1025">
        <v>8</v>
      </c>
      <c r="L1025">
        <v>6</v>
      </c>
      <c r="M1025">
        <v>0</v>
      </c>
    </row>
    <row r="1026" spans="1:13" x14ac:dyDescent="0.3">
      <c r="A1026">
        <v>13</v>
      </c>
      <c r="B1026" t="s">
        <v>13</v>
      </c>
      <c r="C1026">
        <v>1.4</v>
      </c>
      <c r="D1026" t="s">
        <v>20</v>
      </c>
      <c r="E1026">
        <v>8.6</v>
      </c>
      <c r="F1026">
        <v>2.4</v>
      </c>
      <c r="G1026">
        <v>3.31</v>
      </c>
      <c r="H1026">
        <v>0.7</v>
      </c>
      <c r="I1026" t="s">
        <v>15</v>
      </c>
      <c r="J1026">
        <v>2</v>
      </c>
      <c r="K1026">
        <v>6</v>
      </c>
      <c r="L1026">
        <v>2</v>
      </c>
      <c r="M1026">
        <v>0</v>
      </c>
    </row>
    <row r="1027" spans="1:13" x14ac:dyDescent="0.3">
      <c r="A1027">
        <v>18</v>
      </c>
      <c r="B1027" t="s">
        <v>13</v>
      </c>
      <c r="C1027">
        <v>1.8</v>
      </c>
      <c r="D1027" t="s">
        <v>20</v>
      </c>
      <c r="E1027">
        <v>4.9000000000000004</v>
      </c>
      <c r="F1027">
        <v>2.7</v>
      </c>
      <c r="G1027">
        <v>2.12</v>
      </c>
      <c r="H1027">
        <v>0.2</v>
      </c>
      <c r="I1027" t="s">
        <v>15</v>
      </c>
      <c r="J1027">
        <v>1</v>
      </c>
      <c r="K1027">
        <v>3</v>
      </c>
      <c r="L1027">
        <v>8</v>
      </c>
      <c r="M1027">
        <v>0</v>
      </c>
    </row>
    <row r="1028" spans="1:13" x14ac:dyDescent="0.3">
      <c r="A1028">
        <v>19</v>
      </c>
      <c r="B1028" t="s">
        <v>13</v>
      </c>
      <c r="C1028">
        <v>1.5</v>
      </c>
      <c r="D1028" t="s">
        <v>17</v>
      </c>
      <c r="E1028">
        <v>5.8</v>
      </c>
      <c r="F1028">
        <v>1.1000000000000001</v>
      </c>
      <c r="G1028">
        <v>3.29</v>
      </c>
      <c r="H1028">
        <v>1.7</v>
      </c>
      <c r="I1028" t="s">
        <v>18</v>
      </c>
      <c r="J1028">
        <v>6</v>
      </c>
      <c r="K1028">
        <v>4</v>
      </c>
      <c r="L1028">
        <v>2</v>
      </c>
      <c r="M1028">
        <v>0</v>
      </c>
    </row>
    <row r="1029" spans="1:13" x14ac:dyDescent="0.3">
      <c r="A1029">
        <v>18</v>
      </c>
      <c r="B1029" t="s">
        <v>16</v>
      </c>
      <c r="C1029">
        <v>5.5</v>
      </c>
      <c r="D1029" t="s">
        <v>20</v>
      </c>
      <c r="E1029">
        <v>5.5</v>
      </c>
      <c r="F1029">
        <v>1.8</v>
      </c>
      <c r="G1029">
        <v>2.2400000000000002</v>
      </c>
      <c r="H1029">
        <v>0</v>
      </c>
      <c r="I1029" t="s">
        <v>18</v>
      </c>
      <c r="J1029">
        <v>3</v>
      </c>
      <c r="K1029">
        <v>4</v>
      </c>
      <c r="L1029">
        <v>10</v>
      </c>
      <c r="M1029">
        <v>0</v>
      </c>
    </row>
    <row r="1030" spans="1:13" x14ac:dyDescent="0.3">
      <c r="A1030">
        <v>15</v>
      </c>
      <c r="B1030" t="s">
        <v>13</v>
      </c>
      <c r="C1030">
        <v>4.9000000000000004</v>
      </c>
      <c r="D1030" t="s">
        <v>20</v>
      </c>
      <c r="E1030">
        <v>5.2</v>
      </c>
      <c r="F1030">
        <v>0.7</v>
      </c>
      <c r="G1030">
        <v>2.5499999999999998</v>
      </c>
      <c r="H1030">
        <v>0.1</v>
      </c>
      <c r="I1030" t="s">
        <v>15</v>
      </c>
      <c r="J1030">
        <v>10</v>
      </c>
      <c r="K1030">
        <v>6</v>
      </c>
      <c r="L1030">
        <v>4</v>
      </c>
      <c r="M1030">
        <v>0</v>
      </c>
    </row>
    <row r="1031" spans="1:13" x14ac:dyDescent="0.3">
      <c r="A1031">
        <v>14</v>
      </c>
      <c r="B1031" t="s">
        <v>16</v>
      </c>
      <c r="C1031">
        <v>7.2</v>
      </c>
      <c r="D1031" t="s">
        <v>20</v>
      </c>
      <c r="E1031">
        <v>7</v>
      </c>
      <c r="F1031">
        <v>2.2999999999999998</v>
      </c>
      <c r="G1031">
        <v>3.74</v>
      </c>
      <c r="H1031">
        <v>0.7</v>
      </c>
      <c r="I1031" t="s">
        <v>15</v>
      </c>
      <c r="J1031">
        <v>8</v>
      </c>
      <c r="K1031">
        <v>4</v>
      </c>
      <c r="L1031">
        <v>7</v>
      </c>
      <c r="M1031">
        <v>0</v>
      </c>
    </row>
    <row r="1032" spans="1:13" x14ac:dyDescent="0.3">
      <c r="A1032">
        <v>16</v>
      </c>
      <c r="B1032" t="s">
        <v>16</v>
      </c>
      <c r="C1032">
        <v>6.8</v>
      </c>
      <c r="D1032" t="s">
        <v>14</v>
      </c>
      <c r="E1032">
        <v>7.2</v>
      </c>
      <c r="F1032">
        <v>1.1000000000000001</v>
      </c>
      <c r="G1032">
        <v>2.29</v>
      </c>
      <c r="H1032">
        <v>1.9</v>
      </c>
      <c r="I1032" t="s">
        <v>15</v>
      </c>
      <c r="J1032">
        <v>8</v>
      </c>
      <c r="K1032">
        <v>5</v>
      </c>
      <c r="L1032">
        <v>9</v>
      </c>
      <c r="M1032">
        <v>0</v>
      </c>
    </row>
    <row r="1033" spans="1:13" x14ac:dyDescent="0.3">
      <c r="A1033">
        <v>13</v>
      </c>
      <c r="B1033" t="s">
        <v>16</v>
      </c>
      <c r="C1033">
        <v>2.2000000000000002</v>
      </c>
      <c r="D1033" t="s">
        <v>20</v>
      </c>
      <c r="E1033">
        <v>7.7</v>
      </c>
      <c r="F1033">
        <v>2.1</v>
      </c>
      <c r="G1033">
        <v>2.33</v>
      </c>
      <c r="H1033">
        <v>1.7</v>
      </c>
      <c r="I1033" t="s">
        <v>15</v>
      </c>
      <c r="J1033">
        <v>2</v>
      </c>
      <c r="K1033">
        <v>8</v>
      </c>
      <c r="L1033">
        <v>7</v>
      </c>
      <c r="M1033">
        <v>0</v>
      </c>
    </row>
    <row r="1034" spans="1:13" x14ac:dyDescent="0.3">
      <c r="A1034">
        <v>16</v>
      </c>
      <c r="B1034" t="s">
        <v>16</v>
      </c>
      <c r="C1034">
        <v>5.9</v>
      </c>
      <c r="D1034" t="s">
        <v>17</v>
      </c>
      <c r="E1034">
        <v>7</v>
      </c>
      <c r="F1034">
        <v>0.8</v>
      </c>
      <c r="G1034">
        <v>2.29</v>
      </c>
      <c r="H1034">
        <v>1.6</v>
      </c>
      <c r="I1034" t="s">
        <v>15</v>
      </c>
      <c r="J1034">
        <v>6</v>
      </c>
      <c r="K1034">
        <v>8</v>
      </c>
      <c r="L1034">
        <v>1</v>
      </c>
      <c r="M1034">
        <v>0</v>
      </c>
    </row>
    <row r="1035" spans="1:13" x14ac:dyDescent="0.3">
      <c r="A1035">
        <v>15</v>
      </c>
      <c r="B1035" t="s">
        <v>16</v>
      </c>
      <c r="C1035">
        <v>2.2000000000000002</v>
      </c>
      <c r="D1035" t="s">
        <v>14</v>
      </c>
      <c r="E1035">
        <v>7.5</v>
      </c>
      <c r="F1035">
        <v>1.4</v>
      </c>
      <c r="G1035">
        <v>3.19</v>
      </c>
      <c r="H1035">
        <v>1.8</v>
      </c>
      <c r="I1035" t="s">
        <v>15</v>
      </c>
      <c r="J1035">
        <v>6</v>
      </c>
      <c r="K1035">
        <v>1</v>
      </c>
      <c r="L1035">
        <v>7</v>
      </c>
      <c r="M1035">
        <v>0</v>
      </c>
    </row>
    <row r="1036" spans="1:13" x14ac:dyDescent="0.3">
      <c r="A1036">
        <v>19</v>
      </c>
      <c r="B1036" t="s">
        <v>16</v>
      </c>
      <c r="C1036">
        <v>2.4</v>
      </c>
      <c r="D1036" t="s">
        <v>14</v>
      </c>
      <c r="E1036">
        <v>4.2</v>
      </c>
      <c r="F1036">
        <v>1.2</v>
      </c>
      <c r="G1036">
        <v>3.87</v>
      </c>
      <c r="H1036">
        <v>1.3</v>
      </c>
      <c r="I1036" t="s">
        <v>15</v>
      </c>
      <c r="J1036">
        <v>1</v>
      </c>
      <c r="K1036">
        <v>9</v>
      </c>
      <c r="L1036">
        <v>5</v>
      </c>
      <c r="M1036">
        <v>0</v>
      </c>
    </row>
    <row r="1037" spans="1:13" x14ac:dyDescent="0.3">
      <c r="A1037">
        <v>15</v>
      </c>
      <c r="B1037" t="s">
        <v>13</v>
      </c>
      <c r="C1037">
        <v>4.0999999999999996</v>
      </c>
      <c r="D1037" t="s">
        <v>14</v>
      </c>
      <c r="E1037">
        <v>7.6</v>
      </c>
      <c r="F1037">
        <v>1</v>
      </c>
      <c r="G1037">
        <v>2.17</v>
      </c>
      <c r="H1037">
        <v>1.1000000000000001</v>
      </c>
      <c r="I1037" t="s">
        <v>15</v>
      </c>
      <c r="J1037">
        <v>4</v>
      </c>
      <c r="K1037">
        <v>5</v>
      </c>
      <c r="L1037">
        <v>1</v>
      </c>
      <c r="M1037">
        <v>0</v>
      </c>
    </row>
    <row r="1038" spans="1:13" x14ac:dyDescent="0.3">
      <c r="A1038">
        <v>18</v>
      </c>
      <c r="B1038" t="s">
        <v>16</v>
      </c>
      <c r="C1038">
        <v>4.5</v>
      </c>
      <c r="D1038" t="s">
        <v>14</v>
      </c>
      <c r="E1038">
        <v>7</v>
      </c>
      <c r="F1038">
        <v>2.7</v>
      </c>
      <c r="G1038">
        <v>2.89</v>
      </c>
      <c r="H1038">
        <v>1.8</v>
      </c>
      <c r="I1038" t="s">
        <v>18</v>
      </c>
      <c r="J1038">
        <v>1</v>
      </c>
      <c r="K1038">
        <v>1</v>
      </c>
      <c r="L1038">
        <v>2</v>
      </c>
      <c r="M1038">
        <v>0</v>
      </c>
    </row>
    <row r="1039" spans="1:13" x14ac:dyDescent="0.3">
      <c r="A1039">
        <v>14</v>
      </c>
      <c r="B1039" t="s">
        <v>16</v>
      </c>
      <c r="C1039">
        <v>4.5999999999999996</v>
      </c>
      <c r="D1039" t="s">
        <v>14</v>
      </c>
      <c r="E1039">
        <v>5.9</v>
      </c>
      <c r="F1039">
        <v>1.4</v>
      </c>
      <c r="G1039">
        <v>2.15</v>
      </c>
      <c r="H1039">
        <v>0.3</v>
      </c>
      <c r="I1039" t="s">
        <v>18</v>
      </c>
      <c r="J1039">
        <v>3</v>
      </c>
      <c r="K1039">
        <v>10</v>
      </c>
      <c r="L1039">
        <v>2</v>
      </c>
      <c r="M1039">
        <v>0</v>
      </c>
    </row>
    <row r="1040" spans="1:13" x14ac:dyDescent="0.3">
      <c r="A1040">
        <v>17</v>
      </c>
      <c r="B1040" t="s">
        <v>16</v>
      </c>
      <c r="C1040">
        <v>4.5</v>
      </c>
      <c r="D1040" t="s">
        <v>20</v>
      </c>
      <c r="E1040">
        <v>6.1</v>
      </c>
      <c r="F1040">
        <v>2.8</v>
      </c>
      <c r="G1040">
        <v>3.38</v>
      </c>
      <c r="H1040">
        <v>1.2</v>
      </c>
      <c r="I1040" t="s">
        <v>15</v>
      </c>
      <c r="J1040">
        <v>10</v>
      </c>
      <c r="K1040">
        <v>4</v>
      </c>
      <c r="L1040">
        <v>2</v>
      </c>
      <c r="M1040">
        <v>0</v>
      </c>
    </row>
    <row r="1041" spans="1:13" x14ac:dyDescent="0.3">
      <c r="A1041">
        <v>13</v>
      </c>
      <c r="B1041" t="s">
        <v>13</v>
      </c>
      <c r="C1041">
        <v>5</v>
      </c>
      <c r="D1041" t="s">
        <v>14</v>
      </c>
      <c r="E1041">
        <v>5.2</v>
      </c>
      <c r="F1041">
        <v>2.6</v>
      </c>
      <c r="G1041">
        <v>2.04</v>
      </c>
      <c r="H1041">
        <v>1.7</v>
      </c>
      <c r="I1041" t="s">
        <v>19</v>
      </c>
      <c r="J1041">
        <v>4</v>
      </c>
      <c r="K1041">
        <v>4</v>
      </c>
      <c r="L1041">
        <v>5</v>
      </c>
      <c r="M1041">
        <v>0</v>
      </c>
    </row>
    <row r="1042" spans="1:13" x14ac:dyDescent="0.3">
      <c r="A1042">
        <v>19</v>
      </c>
      <c r="B1042" t="s">
        <v>16</v>
      </c>
      <c r="C1042">
        <v>4.0999999999999996</v>
      </c>
      <c r="D1042" t="s">
        <v>20</v>
      </c>
      <c r="E1042">
        <v>6.4</v>
      </c>
      <c r="F1042">
        <v>1.4</v>
      </c>
      <c r="G1042">
        <v>2.2599999999999998</v>
      </c>
      <c r="H1042">
        <v>1.6</v>
      </c>
      <c r="I1042" t="s">
        <v>18</v>
      </c>
      <c r="J1042">
        <v>2</v>
      </c>
      <c r="K1042">
        <v>3</v>
      </c>
      <c r="L1042">
        <v>6</v>
      </c>
      <c r="M1042">
        <v>0</v>
      </c>
    </row>
    <row r="1043" spans="1:13" x14ac:dyDescent="0.3">
      <c r="A1043">
        <v>18</v>
      </c>
      <c r="B1043" t="s">
        <v>13</v>
      </c>
      <c r="C1043">
        <v>7.5</v>
      </c>
      <c r="D1043" t="s">
        <v>17</v>
      </c>
      <c r="E1043">
        <v>7.6</v>
      </c>
      <c r="F1043">
        <v>1.8</v>
      </c>
      <c r="G1043">
        <v>3.19</v>
      </c>
      <c r="H1043">
        <v>1.7</v>
      </c>
      <c r="I1043" t="s">
        <v>18</v>
      </c>
      <c r="J1043">
        <v>2</v>
      </c>
      <c r="K1043">
        <v>6</v>
      </c>
      <c r="L1043">
        <v>6</v>
      </c>
      <c r="M1043">
        <v>0</v>
      </c>
    </row>
    <row r="1044" spans="1:13" x14ac:dyDescent="0.3">
      <c r="A1044">
        <v>18</v>
      </c>
      <c r="B1044" t="s">
        <v>13</v>
      </c>
      <c r="C1044">
        <v>4.2</v>
      </c>
      <c r="D1044" t="s">
        <v>14</v>
      </c>
      <c r="E1044">
        <v>5.5</v>
      </c>
      <c r="F1044">
        <v>1.8</v>
      </c>
      <c r="G1044">
        <v>3.83</v>
      </c>
      <c r="H1044">
        <v>1.9</v>
      </c>
      <c r="I1044" t="s">
        <v>15</v>
      </c>
      <c r="J1044">
        <v>3</v>
      </c>
      <c r="K1044">
        <v>8</v>
      </c>
      <c r="L1044">
        <v>8</v>
      </c>
      <c r="M1044">
        <v>0</v>
      </c>
    </row>
    <row r="1045" spans="1:13" x14ac:dyDescent="0.3">
      <c r="A1045">
        <v>14</v>
      </c>
      <c r="B1045" t="s">
        <v>16</v>
      </c>
      <c r="C1045">
        <v>7.2</v>
      </c>
      <c r="D1045" t="s">
        <v>20</v>
      </c>
      <c r="E1045">
        <v>5</v>
      </c>
      <c r="F1045">
        <v>2.9</v>
      </c>
      <c r="G1045">
        <v>3.76</v>
      </c>
      <c r="H1045">
        <v>0.4</v>
      </c>
      <c r="I1045" t="s">
        <v>19</v>
      </c>
      <c r="J1045">
        <v>7</v>
      </c>
      <c r="K1045">
        <v>4</v>
      </c>
      <c r="L1045">
        <v>2</v>
      </c>
      <c r="M1045">
        <v>0</v>
      </c>
    </row>
    <row r="1046" spans="1:13" x14ac:dyDescent="0.3">
      <c r="A1046">
        <v>13</v>
      </c>
      <c r="B1046" t="s">
        <v>13</v>
      </c>
      <c r="C1046">
        <v>4.8</v>
      </c>
      <c r="D1046" t="s">
        <v>14</v>
      </c>
      <c r="E1046">
        <v>6</v>
      </c>
      <c r="F1046">
        <v>0.6</v>
      </c>
      <c r="G1046">
        <v>2.41</v>
      </c>
      <c r="H1046">
        <v>0</v>
      </c>
      <c r="I1046" t="s">
        <v>18</v>
      </c>
      <c r="J1046">
        <v>3</v>
      </c>
      <c r="K1046">
        <v>6</v>
      </c>
      <c r="L1046">
        <v>9</v>
      </c>
      <c r="M1046">
        <v>0</v>
      </c>
    </row>
    <row r="1047" spans="1:13" x14ac:dyDescent="0.3">
      <c r="A1047">
        <v>17</v>
      </c>
      <c r="B1047" t="s">
        <v>16</v>
      </c>
      <c r="C1047">
        <v>7.3</v>
      </c>
      <c r="D1047" t="s">
        <v>14</v>
      </c>
      <c r="E1047">
        <v>6.7</v>
      </c>
      <c r="F1047">
        <v>1</v>
      </c>
      <c r="G1047">
        <v>3.41</v>
      </c>
      <c r="H1047">
        <v>1.7</v>
      </c>
      <c r="I1047" t="s">
        <v>19</v>
      </c>
      <c r="J1047">
        <v>6</v>
      </c>
      <c r="K1047">
        <v>5</v>
      </c>
      <c r="L1047">
        <v>2</v>
      </c>
      <c r="M1047">
        <v>0</v>
      </c>
    </row>
    <row r="1048" spans="1:13" x14ac:dyDescent="0.3">
      <c r="A1048">
        <v>13</v>
      </c>
      <c r="B1048" t="s">
        <v>13</v>
      </c>
      <c r="C1048">
        <v>3.9</v>
      </c>
      <c r="D1048" t="s">
        <v>20</v>
      </c>
      <c r="E1048">
        <v>4.5</v>
      </c>
      <c r="F1048">
        <v>1.6</v>
      </c>
      <c r="G1048">
        <v>2.02</v>
      </c>
      <c r="H1048">
        <v>0.6</v>
      </c>
      <c r="I1048" t="s">
        <v>18</v>
      </c>
      <c r="J1048">
        <v>6</v>
      </c>
      <c r="K1048">
        <v>6</v>
      </c>
      <c r="L1048">
        <v>5</v>
      </c>
      <c r="M1048">
        <v>0</v>
      </c>
    </row>
    <row r="1049" spans="1:13" x14ac:dyDescent="0.3">
      <c r="A1049">
        <v>15</v>
      </c>
      <c r="B1049" t="s">
        <v>16</v>
      </c>
      <c r="C1049">
        <v>5.5</v>
      </c>
      <c r="D1049" t="s">
        <v>20</v>
      </c>
      <c r="E1049">
        <v>4</v>
      </c>
      <c r="F1049">
        <v>2.4</v>
      </c>
      <c r="G1049">
        <v>3.01</v>
      </c>
      <c r="H1049">
        <v>0.9</v>
      </c>
      <c r="I1049" t="s">
        <v>15</v>
      </c>
      <c r="J1049">
        <v>10</v>
      </c>
      <c r="K1049">
        <v>3</v>
      </c>
      <c r="L1049">
        <v>2</v>
      </c>
      <c r="M1049">
        <v>0</v>
      </c>
    </row>
    <row r="1050" spans="1:13" x14ac:dyDescent="0.3">
      <c r="A1050">
        <v>15</v>
      </c>
      <c r="B1050" t="s">
        <v>13</v>
      </c>
      <c r="C1050">
        <v>7.5</v>
      </c>
      <c r="D1050" t="s">
        <v>20</v>
      </c>
      <c r="E1050">
        <v>6.3</v>
      </c>
      <c r="F1050">
        <v>2.8</v>
      </c>
      <c r="G1050">
        <v>3.04</v>
      </c>
      <c r="H1050">
        <v>1.8</v>
      </c>
      <c r="I1050" t="s">
        <v>15</v>
      </c>
      <c r="J1050">
        <v>1</v>
      </c>
      <c r="K1050">
        <v>5</v>
      </c>
      <c r="L1050">
        <v>8</v>
      </c>
      <c r="M1050">
        <v>0</v>
      </c>
    </row>
    <row r="1051" spans="1:13" x14ac:dyDescent="0.3">
      <c r="A1051">
        <v>17</v>
      </c>
      <c r="B1051" t="s">
        <v>13</v>
      </c>
      <c r="C1051">
        <v>1.8</v>
      </c>
      <c r="D1051" t="s">
        <v>14</v>
      </c>
      <c r="E1051">
        <v>6.9</v>
      </c>
      <c r="F1051">
        <v>2.7</v>
      </c>
      <c r="G1051">
        <v>2.5299999999999998</v>
      </c>
      <c r="H1051">
        <v>1.7</v>
      </c>
      <c r="I1051" t="s">
        <v>18</v>
      </c>
      <c r="J1051">
        <v>2</v>
      </c>
      <c r="K1051">
        <v>2</v>
      </c>
      <c r="L1051">
        <v>7</v>
      </c>
      <c r="M1051">
        <v>0</v>
      </c>
    </row>
    <row r="1052" spans="1:13" x14ac:dyDescent="0.3">
      <c r="A1052">
        <v>16</v>
      </c>
      <c r="B1052" t="s">
        <v>13</v>
      </c>
      <c r="C1052">
        <v>2.6</v>
      </c>
      <c r="D1052" t="s">
        <v>14</v>
      </c>
      <c r="E1052">
        <v>5.0999999999999996</v>
      </c>
      <c r="F1052">
        <v>0.9</v>
      </c>
      <c r="G1052">
        <v>2.57</v>
      </c>
      <c r="H1052">
        <v>1.4</v>
      </c>
      <c r="I1052" t="s">
        <v>19</v>
      </c>
      <c r="J1052">
        <v>8</v>
      </c>
      <c r="K1052">
        <v>5</v>
      </c>
      <c r="L1052">
        <v>8</v>
      </c>
      <c r="M1052">
        <v>0</v>
      </c>
    </row>
    <row r="1053" spans="1:13" x14ac:dyDescent="0.3">
      <c r="A1053">
        <v>17</v>
      </c>
      <c r="B1053" t="s">
        <v>16</v>
      </c>
      <c r="C1053">
        <v>5.5</v>
      </c>
      <c r="D1053" t="s">
        <v>20</v>
      </c>
      <c r="E1053">
        <v>6</v>
      </c>
      <c r="F1053">
        <v>2.8</v>
      </c>
      <c r="G1053">
        <v>3.4</v>
      </c>
      <c r="H1053">
        <v>0</v>
      </c>
      <c r="I1053" t="s">
        <v>19</v>
      </c>
      <c r="J1053">
        <v>2</v>
      </c>
      <c r="K1053">
        <v>3</v>
      </c>
      <c r="L1053">
        <v>8</v>
      </c>
      <c r="M1053">
        <v>0</v>
      </c>
    </row>
    <row r="1054" spans="1:13" x14ac:dyDescent="0.3">
      <c r="A1054">
        <v>15</v>
      </c>
      <c r="B1054" t="s">
        <v>16</v>
      </c>
      <c r="C1054">
        <v>3.6</v>
      </c>
      <c r="D1054" t="s">
        <v>17</v>
      </c>
      <c r="E1054">
        <v>7.1</v>
      </c>
      <c r="F1054">
        <v>0.9</v>
      </c>
      <c r="G1054">
        <v>2.84</v>
      </c>
      <c r="H1054">
        <v>0.3</v>
      </c>
      <c r="I1054" t="s">
        <v>15</v>
      </c>
      <c r="J1054">
        <v>1</v>
      </c>
      <c r="K1054">
        <v>9</v>
      </c>
      <c r="L1054">
        <v>4</v>
      </c>
      <c r="M1054">
        <v>0</v>
      </c>
    </row>
    <row r="1055" spans="1:13" x14ac:dyDescent="0.3">
      <c r="A1055">
        <v>19</v>
      </c>
      <c r="B1055" t="s">
        <v>16</v>
      </c>
      <c r="C1055">
        <v>7.6</v>
      </c>
      <c r="D1055" t="s">
        <v>20</v>
      </c>
      <c r="E1055">
        <v>5.4</v>
      </c>
      <c r="F1055">
        <v>1.9</v>
      </c>
      <c r="G1055">
        <v>2.56</v>
      </c>
      <c r="H1055">
        <v>1.4</v>
      </c>
      <c r="I1055" t="s">
        <v>15</v>
      </c>
      <c r="J1055">
        <v>2</v>
      </c>
      <c r="K1055">
        <v>7</v>
      </c>
      <c r="L1055">
        <v>9</v>
      </c>
      <c r="M1055">
        <v>0</v>
      </c>
    </row>
    <row r="1056" spans="1:13" x14ac:dyDescent="0.3">
      <c r="A1056">
        <v>13</v>
      </c>
      <c r="B1056" t="s">
        <v>13</v>
      </c>
      <c r="C1056">
        <v>7.9</v>
      </c>
      <c r="D1056" t="s">
        <v>14</v>
      </c>
      <c r="E1056">
        <v>7.1</v>
      </c>
      <c r="F1056">
        <v>0.7</v>
      </c>
      <c r="G1056">
        <v>2.8</v>
      </c>
      <c r="H1056">
        <v>0.3</v>
      </c>
      <c r="I1056" t="s">
        <v>19</v>
      </c>
      <c r="J1056">
        <v>6</v>
      </c>
      <c r="K1056">
        <v>8</v>
      </c>
      <c r="L1056">
        <v>8</v>
      </c>
      <c r="M1056">
        <v>0</v>
      </c>
    </row>
    <row r="1057" spans="1:13" x14ac:dyDescent="0.3">
      <c r="A1057">
        <v>15</v>
      </c>
      <c r="B1057" t="s">
        <v>13</v>
      </c>
      <c r="C1057">
        <v>2.6</v>
      </c>
      <c r="D1057" t="s">
        <v>20</v>
      </c>
      <c r="E1057">
        <v>6.8</v>
      </c>
      <c r="F1057">
        <v>1.7</v>
      </c>
      <c r="G1057">
        <v>2.06</v>
      </c>
      <c r="H1057">
        <v>0.4</v>
      </c>
      <c r="I1057" t="s">
        <v>19</v>
      </c>
      <c r="J1057">
        <v>8</v>
      </c>
      <c r="K1057">
        <v>6</v>
      </c>
      <c r="L1057">
        <v>6</v>
      </c>
      <c r="M1057">
        <v>0</v>
      </c>
    </row>
    <row r="1058" spans="1:13" x14ac:dyDescent="0.3">
      <c r="A1058">
        <v>19</v>
      </c>
      <c r="B1058" t="s">
        <v>13</v>
      </c>
      <c r="C1058">
        <v>5.7</v>
      </c>
      <c r="D1058" t="s">
        <v>17</v>
      </c>
      <c r="E1058">
        <v>6.4</v>
      </c>
      <c r="F1058">
        <v>0.9</v>
      </c>
      <c r="G1058">
        <v>3.57</v>
      </c>
      <c r="H1058">
        <v>1.5</v>
      </c>
      <c r="I1058" t="s">
        <v>18</v>
      </c>
      <c r="J1058">
        <v>3</v>
      </c>
      <c r="K1058">
        <v>7</v>
      </c>
      <c r="L1058">
        <v>2</v>
      </c>
      <c r="M1058">
        <v>0</v>
      </c>
    </row>
    <row r="1059" spans="1:13" x14ac:dyDescent="0.3">
      <c r="A1059">
        <v>13</v>
      </c>
      <c r="B1059" t="s">
        <v>16</v>
      </c>
      <c r="C1059">
        <v>7.1</v>
      </c>
      <c r="D1059" t="s">
        <v>14</v>
      </c>
      <c r="E1059">
        <v>5.7</v>
      </c>
      <c r="F1059">
        <v>1.2</v>
      </c>
      <c r="G1059">
        <v>3.83</v>
      </c>
      <c r="H1059">
        <v>2</v>
      </c>
      <c r="I1059" t="s">
        <v>19</v>
      </c>
      <c r="J1059">
        <v>2</v>
      </c>
      <c r="K1059">
        <v>8</v>
      </c>
      <c r="L1059">
        <v>7</v>
      </c>
      <c r="M1059">
        <v>0</v>
      </c>
    </row>
    <row r="1060" spans="1:13" x14ac:dyDescent="0.3">
      <c r="A1060">
        <v>13</v>
      </c>
      <c r="B1060" t="s">
        <v>16</v>
      </c>
      <c r="C1060">
        <v>1.3</v>
      </c>
      <c r="D1060" t="s">
        <v>17</v>
      </c>
      <c r="E1060">
        <v>8.6999999999999993</v>
      </c>
      <c r="F1060">
        <v>0.9</v>
      </c>
      <c r="G1060">
        <v>4</v>
      </c>
      <c r="H1060">
        <v>0.1</v>
      </c>
      <c r="I1060" t="s">
        <v>15</v>
      </c>
      <c r="J1060">
        <v>10</v>
      </c>
      <c r="K1060">
        <v>9</v>
      </c>
      <c r="L1060">
        <v>9</v>
      </c>
      <c r="M1060">
        <v>0</v>
      </c>
    </row>
    <row r="1061" spans="1:13" x14ac:dyDescent="0.3">
      <c r="A1061">
        <v>13</v>
      </c>
      <c r="B1061" t="s">
        <v>16</v>
      </c>
      <c r="C1061">
        <v>1.1000000000000001</v>
      </c>
      <c r="D1061" t="s">
        <v>20</v>
      </c>
      <c r="E1061">
        <v>6.7</v>
      </c>
      <c r="F1061">
        <v>2</v>
      </c>
      <c r="G1061">
        <v>3.63</v>
      </c>
      <c r="H1061">
        <v>0.2</v>
      </c>
      <c r="I1061" t="s">
        <v>19</v>
      </c>
      <c r="J1061">
        <v>3</v>
      </c>
      <c r="K1061">
        <v>10</v>
      </c>
      <c r="L1061">
        <v>5</v>
      </c>
      <c r="M1061">
        <v>0</v>
      </c>
    </row>
    <row r="1062" spans="1:13" x14ac:dyDescent="0.3">
      <c r="A1062">
        <v>13</v>
      </c>
      <c r="B1062" t="s">
        <v>16</v>
      </c>
      <c r="C1062">
        <v>3.3</v>
      </c>
      <c r="D1062" t="s">
        <v>17</v>
      </c>
      <c r="E1062">
        <v>9</v>
      </c>
      <c r="F1062">
        <v>0.7</v>
      </c>
      <c r="G1062">
        <v>2.4900000000000002</v>
      </c>
      <c r="H1062">
        <v>0.6</v>
      </c>
      <c r="I1062" t="s">
        <v>19</v>
      </c>
      <c r="J1062">
        <v>3</v>
      </c>
      <c r="K1062">
        <v>6</v>
      </c>
      <c r="L1062">
        <v>4</v>
      </c>
      <c r="M1062">
        <v>0</v>
      </c>
    </row>
    <row r="1063" spans="1:13" x14ac:dyDescent="0.3">
      <c r="A1063">
        <v>16</v>
      </c>
      <c r="B1063" t="s">
        <v>13</v>
      </c>
      <c r="C1063">
        <v>7.4</v>
      </c>
      <c r="D1063" t="s">
        <v>20</v>
      </c>
      <c r="E1063">
        <v>7.2</v>
      </c>
      <c r="F1063">
        <v>1.8</v>
      </c>
      <c r="G1063">
        <v>2.11</v>
      </c>
      <c r="H1063">
        <v>1.4</v>
      </c>
      <c r="I1063" t="s">
        <v>19</v>
      </c>
      <c r="J1063">
        <v>3</v>
      </c>
      <c r="K1063">
        <v>7</v>
      </c>
      <c r="L1063">
        <v>3</v>
      </c>
      <c r="M1063">
        <v>0</v>
      </c>
    </row>
    <row r="1064" spans="1:13" x14ac:dyDescent="0.3">
      <c r="A1064">
        <v>13</v>
      </c>
      <c r="B1064" t="s">
        <v>13</v>
      </c>
      <c r="C1064">
        <v>5.8</v>
      </c>
      <c r="D1064" t="s">
        <v>17</v>
      </c>
      <c r="E1064">
        <v>8.3000000000000007</v>
      </c>
      <c r="F1064">
        <v>2.8</v>
      </c>
      <c r="G1064">
        <v>2.63</v>
      </c>
      <c r="H1064">
        <v>0.6</v>
      </c>
      <c r="I1064" t="s">
        <v>18</v>
      </c>
      <c r="J1064">
        <v>5</v>
      </c>
      <c r="K1064">
        <v>3</v>
      </c>
      <c r="L1064">
        <v>7</v>
      </c>
      <c r="M1064">
        <v>0</v>
      </c>
    </row>
    <row r="1065" spans="1:13" x14ac:dyDescent="0.3">
      <c r="A1065">
        <v>18</v>
      </c>
      <c r="B1065" t="s">
        <v>16</v>
      </c>
      <c r="C1065">
        <v>4.5999999999999996</v>
      </c>
      <c r="D1065" t="s">
        <v>17</v>
      </c>
      <c r="E1065">
        <v>6.8</v>
      </c>
      <c r="F1065">
        <v>1.5</v>
      </c>
      <c r="G1065">
        <v>2.4</v>
      </c>
      <c r="H1065">
        <v>1.4</v>
      </c>
      <c r="I1065" t="s">
        <v>19</v>
      </c>
      <c r="J1065">
        <v>5</v>
      </c>
      <c r="K1065">
        <v>10</v>
      </c>
      <c r="L1065">
        <v>2</v>
      </c>
      <c r="M1065">
        <v>0</v>
      </c>
    </row>
    <row r="1066" spans="1:13" x14ac:dyDescent="0.3">
      <c r="A1066">
        <v>18</v>
      </c>
      <c r="B1066" t="s">
        <v>16</v>
      </c>
      <c r="C1066">
        <v>2.5</v>
      </c>
      <c r="D1066" t="s">
        <v>17</v>
      </c>
      <c r="E1066">
        <v>7.1</v>
      </c>
      <c r="F1066">
        <v>1.6</v>
      </c>
      <c r="G1066">
        <v>3.97</v>
      </c>
      <c r="H1066">
        <v>0.7</v>
      </c>
      <c r="I1066" t="s">
        <v>19</v>
      </c>
      <c r="J1066">
        <v>10</v>
      </c>
      <c r="K1066">
        <v>7</v>
      </c>
      <c r="L1066">
        <v>3</v>
      </c>
      <c r="M1066">
        <v>0</v>
      </c>
    </row>
    <row r="1067" spans="1:13" x14ac:dyDescent="0.3">
      <c r="A1067">
        <v>18</v>
      </c>
      <c r="B1067" t="s">
        <v>13</v>
      </c>
      <c r="C1067">
        <v>4</v>
      </c>
      <c r="D1067" t="s">
        <v>20</v>
      </c>
      <c r="E1067">
        <v>8</v>
      </c>
      <c r="F1067">
        <v>2</v>
      </c>
      <c r="G1067">
        <v>3.04</v>
      </c>
      <c r="H1067">
        <v>1.4</v>
      </c>
      <c r="I1067" t="s">
        <v>18</v>
      </c>
      <c r="J1067">
        <v>3</v>
      </c>
      <c r="K1067">
        <v>1</v>
      </c>
      <c r="L1067">
        <v>8</v>
      </c>
      <c r="M1067">
        <v>0</v>
      </c>
    </row>
    <row r="1068" spans="1:13" x14ac:dyDescent="0.3">
      <c r="A1068">
        <v>17</v>
      </c>
      <c r="B1068" t="s">
        <v>16</v>
      </c>
      <c r="C1068">
        <v>6.6</v>
      </c>
      <c r="D1068" t="s">
        <v>20</v>
      </c>
      <c r="E1068">
        <v>8</v>
      </c>
      <c r="F1068">
        <v>1.9</v>
      </c>
      <c r="G1068">
        <v>2.86</v>
      </c>
      <c r="H1068">
        <v>0.4</v>
      </c>
      <c r="I1068" t="s">
        <v>19</v>
      </c>
      <c r="J1068">
        <v>4</v>
      </c>
      <c r="K1068">
        <v>8</v>
      </c>
      <c r="L1068">
        <v>5</v>
      </c>
      <c r="M1068">
        <v>0</v>
      </c>
    </row>
    <row r="1069" spans="1:13" x14ac:dyDescent="0.3">
      <c r="A1069">
        <v>14</v>
      </c>
      <c r="B1069" t="s">
        <v>16</v>
      </c>
      <c r="C1069">
        <v>2.9</v>
      </c>
      <c r="D1069" t="s">
        <v>17</v>
      </c>
      <c r="E1069">
        <v>5.8</v>
      </c>
      <c r="F1069">
        <v>1.6</v>
      </c>
      <c r="G1069">
        <v>3.34</v>
      </c>
      <c r="H1069">
        <v>1.1000000000000001</v>
      </c>
      <c r="I1069" t="s">
        <v>19</v>
      </c>
      <c r="J1069">
        <v>6</v>
      </c>
      <c r="K1069">
        <v>10</v>
      </c>
      <c r="L1069">
        <v>3</v>
      </c>
      <c r="M1069">
        <v>0</v>
      </c>
    </row>
    <row r="1070" spans="1:13" x14ac:dyDescent="0.3">
      <c r="A1070">
        <v>14</v>
      </c>
      <c r="B1070" t="s">
        <v>13</v>
      </c>
      <c r="C1070">
        <v>7.2</v>
      </c>
      <c r="D1070" t="s">
        <v>17</v>
      </c>
      <c r="E1070">
        <v>5.7</v>
      </c>
      <c r="F1070">
        <v>2.7</v>
      </c>
      <c r="G1070">
        <v>2.76</v>
      </c>
      <c r="H1070">
        <v>0.4</v>
      </c>
      <c r="I1070" t="s">
        <v>15</v>
      </c>
      <c r="J1070">
        <v>7</v>
      </c>
      <c r="K1070">
        <v>3</v>
      </c>
      <c r="L1070">
        <v>7</v>
      </c>
      <c r="M1070">
        <v>0</v>
      </c>
    </row>
    <row r="1071" spans="1:13" x14ac:dyDescent="0.3">
      <c r="A1071">
        <v>13</v>
      </c>
      <c r="B1071" t="s">
        <v>16</v>
      </c>
      <c r="C1071">
        <v>2.9</v>
      </c>
      <c r="D1071" t="s">
        <v>14</v>
      </c>
      <c r="E1071">
        <v>5.3</v>
      </c>
      <c r="F1071">
        <v>1</v>
      </c>
      <c r="G1071">
        <v>3.89</v>
      </c>
      <c r="H1071">
        <v>1.7</v>
      </c>
      <c r="I1071" t="s">
        <v>18</v>
      </c>
      <c r="J1071">
        <v>9</v>
      </c>
      <c r="K1071">
        <v>2</v>
      </c>
      <c r="L1071">
        <v>4</v>
      </c>
      <c r="M1071">
        <v>0</v>
      </c>
    </row>
    <row r="1072" spans="1:13" x14ac:dyDescent="0.3">
      <c r="A1072">
        <v>15</v>
      </c>
      <c r="B1072" t="s">
        <v>16</v>
      </c>
      <c r="C1072">
        <v>7.3</v>
      </c>
      <c r="D1072" t="s">
        <v>20</v>
      </c>
      <c r="E1072">
        <v>5.7</v>
      </c>
      <c r="F1072">
        <v>2.9</v>
      </c>
      <c r="G1072">
        <v>3.48</v>
      </c>
      <c r="H1072">
        <v>1.8</v>
      </c>
      <c r="I1072" t="s">
        <v>19</v>
      </c>
      <c r="J1072">
        <v>2</v>
      </c>
      <c r="K1072">
        <v>7</v>
      </c>
      <c r="L1072">
        <v>8</v>
      </c>
      <c r="M1072">
        <v>0</v>
      </c>
    </row>
    <row r="1073" spans="1:13" x14ac:dyDescent="0.3">
      <c r="A1073">
        <v>16</v>
      </c>
      <c r="B1073" t="s">
        <v>16</v>
      </c>
      <c r="C1073">
        <v>3.7</v>
      </c>
      <c r="D1073" t="s">
        <v>17</v>
      </c>
      <c r="E1073">
        <v>9</v>
      </c>
      <c r="F1073">
        <v>1.5</v>
      </c>
      <c r="G1073">
        <v>3.37</v>
      </c>
      <c r="H1073">
        <v>1.9</v>
      </c>
      <c r="I1073" t="s">
        <v>15</v>
      </c>
      <c r="J1073">
        <v>4</v>
      </c>
      <c r="K1073">
        <v>3</v>
      </c>
      <c r="L1073">
        <v>1</v>
      </c>
      <c r="M1073">
        <v>0</v>
      </c>
    </row>
    <row r="1074" spans="1:13" x14ac:dyDescent="0.3">
      <c r="A1074">
        <v>16</v>
      </c>
      <c r="B1074" t="s">
        <v>13</v>
      </c>
      <c r="C1074">
        <v>7</v>
      </c>
      <c r="D1074" t="s">
        <v>14</v>
      </c>
      <c r="E1074">
        <v>4.8</v>
      </c>
      <c r="F1074">
        <v>1.7</v>
      </c>
      <c r="G1074">
        <v>2.9</v>
      </c>
      <c r="H1074">
        <v>0.3</v>
      </c>
      <c r="I1074" t="s">
        <v>15</v>
      </c>
      <c r="J1074">
        <v>4</v>
      </c>
      <c r="K1074">
        <v>1</v>
      </c>
      <c r="L1074">
        <v>8</v>
      </c>
      <c r="M1074">
        <v>0</v>
      </c>
    </row>
    <row r="1075" spans="1:13" x14ac:dyDescent="0.3">
      <c r="A1075">
        <v>15</v>
      </c>
      <c r="B1075" t="s">
        <v>13</v>
      </c>
      <c r="C1075">
        <v>4</v>
      </c>
      <c r="D1075" t="s">
        <v>17</v>
      </c>
      <c r="E1075">
        <v>8.4</v>
      </c>
      <c r="F1075">
        <v>2.2999999999999998</v>
      </c>
      <c r="G1075">
        <v>2.52</v>
      </c>
      <c r="H1075">
        <v>0.9</v>
      </c>
      <c r="I1075" t="s">
        <v>15</v>
      </c>
      <c r="J1075">
        <v>4</v>
      </c>
      <c r="K1075">
        <v>5</v>
      </c>
      <c r="L1075">
        <v>3</v>
      </c>
      <c r="M1075">
        <v>0</v>
      </c>
    </row>
    <row r="1076" spans="1:13" x14ac:dyDescent="0.3">
      <c r="A1076">
        <v>16</v>
      </c>
      <c r="B1076" t="s">
        <v>13</v>
      </c>
      <c r="C1076">
        <v>2.7</v>
      </c>
      <c r="D1076" t="s">
        <v>20</v>
      </c>
      <c r="E1076">
        <v>7.5</v>
      </c>
      <c r="F1076">
        <v>2.8</v>
      </c>
      <c r="G1076">
        <v>3.53</v>
      </c>
      <c r="H1076">
        <v>0.9</v>
      </c>
      <c r="I1076" t="s">
        <v>19</v>
      </c>
      <c r="J1076">
        <v>3</v>
      </c>
      <c r="K1076">
        <v>1</v>
      </c>
      <c r="L1076">
        <v>5</v>
      </c>
      <c r="M1076">
        <v>0</v>
      </c>
    </row>
    <row r="1077" spans="1:13" x14ac:dyDescent="0.3">
      <c r="A1077">
        <v>15</v>
      </c>
      <c r="B1077" t="s">
        <v>13</v>
      </c>
      <c r="C1077">
        <v>7.2</v>
      </c>
      <c r="D1077" t="s">
        <v>20</v>
      </c>
      <c r="E1077">
        <v>5.7</v>
      </c>
      <c r="F1077">
        <v>0.7</v>
      </c>
      <c r="G1077">
        <v>3.89</v>
      </c>
      <c r="H1077">
        <v>1</v>
      </c>
      <c r="I1077" t="s">
        <v>19</v>
      </c>
      <c r="J1077">
        <v>1</v>
      </c>
      <c r="K1077">
        <v>3</v>
      </c>
      <c r="L1077">
        <v>6</v>
      </c>
      <c r="M1077">
        <v>0</v>
      </c>
    </row>
    <row r="1078" spans="1:13" x14ac:dyDescent="0.3">
      <c r="A1078">
        <v>18</v>
      </c>
      <c r="B1078" t="s">
        <v>13</v>
      </c>
      <c r="C1078">
        <v>7.9</v>
      </c>
      <c r="D1078" t="s">
        <v>20</v>
      </c>
      <c r="E1078">
        <v>7</v>
      </c>
      <c r="F1078">
        <v>2.7</v>
      </c>
      <c r="G1078">
        <v>3.9</v>
      </c>
      <c r="H1078">
        <v>1</v>
      </c>
      <c r="I1078" t="s">
        <v>19</v>
      </c>
      <c r="J1078">
        <v>1</v>
      </c>
      <c r="K1078">
        <v>2</v>
      </c>
      <c r="L1078">
        <v>10</v>
      </c>
      <c r="M1078">
        <v>0</v>
      </c>
    </row>
    <row r="1079" spans="1:13" x14ac:dyDescent="0.3">
      <c r="A1079">
        <v>14</v>
      </c>
      <c r="B1079" t="s">
        <v>16</v>
      </c>
      <c r="C1079">
        <v>5.0999999999999996</v>
      </c>
      <c r="D1079" t="s">
        <v>14</v>
      </c>
      <c r="E1079">
        <v>5.3</v>
      </c>
      <c r="F1079">
        <v>2.2999999999999998</v>
      </c>
      <c r="G1079">
        <v>2.31</v>
      </c>
      <c r="H1079">
        <v>0.2</v>
      </c>
      <c r="I1079" t="s">
        <v>18</v>
      </c>
      <c r="J1079">
        <v>3</v>
      </c>
      <c r="K1079">
        <v>3</v>
      </c>
      <c r="L1079">
        <v>6</v>
      </c>
      <c r="M1079">
        <v>0</v>
      </c>
    </row>
    <row r="1080" spans="1:13" x14ac:dyDescent="0.3">
      <c r="A1080">
        <v>15</v>
      </c>
      <c r="B1080" t="s">
        <v>16</v>
      </c>
      <c r="C1080">
        <v>6.4</v>
      </c>
      <c r="D1080" t="s">
        <v>20</v>
      </c>
      <c r="E1080">
        <v>7.7</v>
      </c>
      <c r="F1080">
        <v>0.7</v>
      </c>
      <c r="G1080">
        <v>3.86</v>
      </c>
      <c r="H1080">
        <v>1.5</v>
      </c>
      <c r="I1080" t="s">
        <v>18</v>
      </c>
      <c r="J1080">
        <v>10</v>
      </c>
      <c r="K1080">
        <v>2</v>
      </c>
      <c r="L1080">
        <v>7</v>
      </c>
      <c r="M1080">
        <v>0</v>
      </c>
    </row>
    <row r="1081" spans="1:13" x14ac:dyDescent="0.3">
      <c r="A1081">
        <v>16</v>
      </c>
      <c r="B1081" t="s">
        <v>16</v>
      </c>
      <c r="C1081">
        <v>4.4000000000000004</v>
      </c>
      <c r="D1081" t="s">
        <v>20</v>
      </c>
      <c r="E1081">
        <v>4.2</v>
      </c>
      <c r="F1081">
        <v>2</v>
      </c>
      <c r="G1081">
        <v>3.89</v>
      </c>
      <c r="H1081">
        <v>1.1000000000000001</v>
      </c>
      <c r="I1081" t="s">
        <v>19</v>
      </c>
      <c r="J1081">
        <v>2</v>
      </c>
      <c r="K1081">
        <v>9</v>
      </c>
      <c r="L1081">
        <v>8</v>
      </c>
      <c r="M1081">
        <v>0</v>
      </c>
    </row>
    <row r="1082" spans="1:13" x14ac:dyDescent="0.3">
      <c r="A1082">
        <v>16</v>
      </c>
      <c r="B1082" t="s">
        <v>13</v>
      </c>
      <c r="C1082">
        <v>7</v>
      </c>
      <c r="D1082" t="s">
        <v>17</v>
      </c>
      <c r="E1082">
        <v>7.4</v>
      </c>
      <c r="F1082">
        <v>2.6</v>
      </c>
      <c r="G1082">
        <v>2.92</v>
      </c>
      <c r="H1082">
        <v>1</v>
      </c>
      <c r="I1082" t="s">
        <v>19</v>
      </c>
      <c r="J1082">
        <v>10</v>
      </c>
      <c r="K1082">
        <v>6</v>
      </c>
      <c r="L1082">
        <v>3</v>
      </c>
      <c r="M1082">
        <v>0</v>
      </c>
    </row>
    <row r="1083" spans="1:13" x14ac:dyDescent="0.3">
      <c r="A1083">
        <v>17</v>
      </c>
      <c r="B1083" t="s">
        <v>16</v>
      </c>
      <c r="C1083">
        <v>7.8</v>
      </c>
      <c r="D1083" t="s">
        <v>17</v>
      </c>
      <c r="E1083">
        <v>5.7</v>
      </c>
      <c r="F1083">
        <v>1.2</v>
      </c>
      <c r="G1083">
        <v>3.72</v>
      </c>
      <c r="H1083">
        <v>1.2</v>
      </c>
      <c r="I1083" t="s">
        <v>18</v>
      </c>
      <c r="J1083">
        <v>10</v>
      </c>
      <c r="K1083">
        <v>2</v>
      </c>
      <c r="L1083">
        <v>6</v>
      </c>
      <c r="M1083">
        <v>0</v>
      </c>
    </row>
    <row r="1084" spans="1:13" x14ac:dyDescent="0.3">
      <c r="A1084">
        <v>14</v>
      </c>
      <c r="B1084" t="s">
        <v>16</v>
      </c>
      <c r="C1084">
        <v>5</v>
      </c>
      <c r="D1084" t="s">
        <v>14</v>
      </c>
      <c r="E1084">
        <v>6.2</v>
      </c>
      <c r="F1084">
        <v>1</v>
      </c>
      <c r="G1084">
        <v>2</v>
      </c>
      <c r="H1084">
        <v>1.5</v>
      </c>
      <c r="I1084" t="s">
        <v>15</v>
      </c>
      <c r="J1084">
        <v>5</v>
      </c>
      <c r="K1084">
        <v>6</v>
      </c>
      <c r="L1084">
        <v>1</v>
      </c>
      <c r="M1084">
        <v>0</v>
      </c>
    </row>
    <row r="1085" spans="1:13" x14ac:dyDescent="0.3">
      <c r="A1085">
        <v>17</v>
      </c>
      <c r="B1085" t="s">
        <v>13</v>
      </c>
      <c r="C1085">
        <v>6.6</v>
      </c>
      <c r="D1085" t="s">
        <v>17</v>
      </c>
      <c r="E1085">
        <v>5.3</v>
      </c>
      <c r="F1085">
        <v>1.1000000000000001</v>
      </c>
      <c r="G1085">
        <v>3.5</v>
      </c>
      <c r="H1085">
        <v>1.7</v>
      </c>
      <c r="I1085" t="s">
        <v>19</v>
      </c>
      <c r="J1085">
        <v>1</v>
      </c>
      <c r="K1085">
        <v>10</v>
      </c>
      <c r="L1085">
        <v>7</v>
      </c>
      <c r="M1085">
        <v>0</v>
      </c>
    </row>
    <row r="1086" spans="1:13" x14ac:dyDescent="0.3">
      <c r="A1086">
        <v>18</v>
      </c>
      <c r="B1086" t="s">
        <v>13</v>
      </c>
      <c r="C1086">
        <v>2.6</v>
      </c>
      <c r="D1086" t="s">
        <v>20</v>
      </c>
      <c r="E1086">
        <v>8.6</v>
      </c>
      <c r="F1086">
        <v>2.7</v>
      </c>
      <c r="G1086">
        <v>3.28</v>
      </c>
      <c r="H1086">
        <v>0.8</v>
      </c>
      <c r="I1086" t="s">
        <v>18</v>
      </c>
      <c r="J1086">
        <v>5</v>
      </c>
      <c r="K1086">
        <v>4</v>
      </c>
      <c r="L1086">
        <v>6</v>
      </c>
      <c r="M1086">
        <v>0</v>
      </c>
    </row>
    <row r="1087" spans="1:13" x14ac:dyDescent="0.3">
      <c r="A1087">
        <v>13</v>
      </c>
      <c r="B1087" t="s">
        <v>16</v>
      </c>
      <c r="C1087">
        <v>5.8</v>
      </c>
      <c r="D1087" t="s">
        <v>14</v>
      </c>
      <c r="E1087">
        <v>4.4000000000000004</v>
      </c>
      <c r="F1087">
        <v>1.8</v>
      </c>
      <c r="G1087">
        <v>3.8</v>
      </c>
      <c r="H1087">
        <v>1</v>
      </c>
      <c r="I1087" t="s">
        <v>18</v>
      </c>
      <c r="J1087">
        <v>2</v>
      </c>
      <c r="K1087">
        <v>2</v>
      </c>
      <c r="L1087">
        <v>1</v>
      </c>
      <c r="M1087">
        <v>0</v>
      </c>
    </row>
    <row r="1088" spans="1:13" x14ac:dyDescent="0.3">
      <c r="A1088">
        <v>14</v>
      </c>
      <c r="B1088" t="s">
        <v>16</v>
      </c>
      <c r="C1088">
        <v>5.6</v>
      </c>
      <c r="D1088" t="s">
        <v>17</v>
      </c>
      <c r="E1088">
        <v>6.8</v>
      </c>
      <c r="F1088">
        <v>2.2999999999999998</v>
      </c>
      <c r="G1088">
        <v>2.66</v>
      </c>
      <c r="H1088">
        <v>1.1000000000000001</v>
      </c>
      <c r="I1088" t="s">
        <v>18</v>
      </c>
      <c r="J1088">
        <v>7</v>
      </c>
      <c r="K1088">
        <v>6</v>
      </c>
      <c r="L1088">
        <v>2</v>
      </c>
      <c r="M1088">
        <v>0</v>
      </c>
    </row>
    <row r="1089" spans="1:13" x14ac:dyDescent="0.3">
      <c r="A1089">
        <v>18</v>
      </c>
      <c r="B1089" t="s">
        <v>13</v>
      </c>
      <c r="C1089">
        <v>4.5999999999999996</v>
      </c>
      <c r="D1089" t="s">
        <v>20</v>
      </c>
      <c r="E1089">
        <v>4.3</v>
      </c>
      <c r="F1089">
        <v>2.9</v>
      </c>
      <c r="G1089">
        <v>2.95</v>
      </c>
      <c r="H1089">
        <v>0.6</v>
      </c>
      <c r="I1089" t="s">
        <v>19</v>
      </c>
      <c r="J1089">
        <v>7</v>
      </c>
      <c r="K1089">
        <v>9</v>
      </c>
      <c r="L1089">
        <v>8</v>
      </c>
      <c r="M1089">
        <v>0</v>
      </c>
    </row>
    <row r="1090" spans="1:13" x14ac:dyDescent="0.3">
      <c r="A1090">
        <v>19</v>
      </c>
      <c r="B1090" t="s">
        <v>13</v>
      </c>
      <c r="C1090">
        <v>1.4</v>
      </c>
      <c r="D1090" t="s">
        <v>20</v>
      </c>
      <c r="E1090">
        <v>4.7</v>
      </c>
      <c r="F1090">
        <v>0.5</v>
      </c>
      <c r="G1090">
        <v>3.57</v>
      </c>
      <c r="H1090">
        <v>1.7</v>
      </c>
      <c r="I1090" t="s">
        <v>18</v>
      </c>
      <c r="J1090">
        <v>1</v>
      </c>
      <c r="K1090">
        <v>5</v>
      </c>
      <c r="L1090">
        <v>6</v>
      </c>
      <c r="M1090">
        <v>0</v>
      </c>
    </row>
    <row r="1091" spans="1:13" x14ac:dyDescent="0.3">
      <c r="A1091">
        <v>13</v>
      </c>
      <c r="B1091" t="s">
        <v>16</v>
      </c>
      <c r="C1091">
        <v>2.9</v>
      </c>
      <c r="D1091" t="s">
        <v>20</v>
      </c>
      <c r="E1091">
        <v>8.1999999999999993</v>
      </c>
      <c r="F1091">
        <v>2.2999999999999998</v>
      </c>
      <c r="G1091">
        <v>2.48</v>
      </c>
      <c r="H1091">
        <v>0.9</v>
      </c>
      <c r="I1091" t="s">
        <v>15</v>
      </c>
      <c r="J1091">
        <v>5</v>
      </c>
      <c r="K1091">
        <v>8</v>
      </c>
      <c r="L1091">
        <v>9</v>
      </c>
      <c r="M1091">
        <v>0</v>
      </c>
    </row>
    <row r="1092" spans="1:13" x14ac:dyDescent="0.3">
      <c r="A1092">
        <v>16</v>
      </c>
      <c r="B1092" t="s">
        <v>16</v>
      </c>
      <c r="C1092">
        <v>7.9</v>
      </c>
      <c r="D1092" t="s">
        <v>14</v>
      </c>
      <c r="E1092">
        <v>6.3</v>
      </c>
      <c r="F1092">
        <v>2.7</v>
      </c>
      <c r="G1092">
        <v>2.88</v>
      </c>
      <c r="H1092">
        <v>0.2</v>
      </c>
      <c r="I1092" t="s">
        <v>18</v>
      </c>
      <c r="J1092">
        <v>2</v>
      </c>
      <c r="K1092">
        <v>7</v>
      </c>
      <c r="L1092">
        <v>5</v>
      </c>
      <c r="M1092">
        <v>0</v>
      </c>
    </row>
    <row r="1093" spans="1:13" x14ac:dyDescent="0.3">
      <c r="A1093">
        <v>13</v>
      </c>
      <c r="B1093" t="s">
        <v>13</v>
      </c>
      <c r="C1093">
        <v>3.5</v>
      </c>
      <c r="D1093" t="s">
        <v>20</v>
      </c>
      <c r="E1093">
        <v>6.8</v>
      </c>
      <c r="F1093">
        <v>2.2999999999999998</v>
      </c>
      <c r="G1093">
        <v>2.2799999999999998</v>
      </c>
      <c r="H1093">
        <v>1</v>
      </c>
      <c r="I1093" t="s">
        <v>15</v>
      </c>
      <c r="J1093">
        <v>7</v>
      </c>
      <c r="K1093">
        <v>2</v>
      </c>
      <c r="L1093">
        <v>6</v>
      </c>
      <c r="M1093">
        <v>0</v>
      </c>
    </row>
    <row r="1094" spans="1:13" x14ac:dyDescent="0.3">
      <c r="A1094">
        <v>14</v>
      </c>
      <c r="B1094" t="s">
        <v>16</v>
      </c>
      <c r="C1094">
        <v>3.8</v>
      </c>
      <c r="D1094" t="s">
        <v>14</v>
      </c>
      <c r="E1094">
        <v>7.9</v>
      </c>
      <c r="F1094">
        <v>1.2</v>
      </c>
      <c r="G1094">
        <v>3.24</v>
      </c>
      <c r="H1094">
        <v>1.6</v>
      </c>
      <c r="I1094" t="s">
        <v>18</v>
      </c>
      <c r="J1094">
        <v>6</v>
      </c>
      <c r="K1094">
        <v>10</v>
      </c>
      <c r="L1094">
        <v>5</v>
      </c>
      <c r="M1094">
        <v>0</v>
      </c>
    </row>
    <row r="1095" spans="1:13" x14ac:dyDescent="0.3">
      <c r="A1095">
        <v>19</v>
      </c>
      <c r="B1095" t="s">
        <v>13</v>
      </c>
      <c r="C1095">
        <v>2.9</v>
      </c>
      <c r="D1095" t="s">
        <v>14</v>
      </c>
      <c r="E1095">
        <v>8.6999999999999993</v>
      </c>
      <c r="F1095">
        <v>0.9</v>
      </c>
      <c r="G1095">
        <v>2.99</v>
      </c>
      <c r="H1095">
        <v>0.8</v>
      </c>
      <c r="I1095" t="s">
        <v>19</v>
      </c>
      <c r="J1095">
        <v>7</v>
      </c>
      <c r="K1095">
        <v>8</v>
      </c>
      <c r="L1095">
        <v>2</v>
      </c>
      <c r="M1095">
        <v>0</v>
      </c>
    </row>
    <row r="1096" spans="1:13" x14ac:dyDescent="0.3">
      <c r="A1096">
        <v>17</v>
      </c>
      <c r="B1096" t="s">
        <v>13</v>
      </c>
      <c r="C1096">
        <v>3.5</v>
      </c>
      <c r="D1096" t="s">
        <v>20</v>
      </c>
      <c r="E1096">
        <v>4.5999999999999996</v>
      </c>
      <c r="F1096">
        <v>0.7</v>
      </c>
      <c r="G1096">
        <v>3.9</v>
      </c>
      <c r="H1096">
        <v>0.6</v>
      </c>
      <c r="I1096" t="s">
        <v>18</v>
      </c>
      <c r="J1096">
        <v>7</v>
      </c>
      <c r="K1096">
        <v>3</v>
      </c>
      <c r="L1096">
        <v>1</v>
      </c>
      <c r="M1096">
        <v>0</v>
      </c>
    </row>
    <row r="1097" spans="1:13" x14ac:dyDescent="0.3">
      <c r="A1097">
        <v>16</v>
      </c>
      <c r="B1097" t="s">
        <v>13</v>
      </c>
      <c r="C1097">
        <v>4.8</v>
      </c>
      <c r="D1097" t="s">
        <v>14</v>
      </c>
      <c r="E1097">
        <v>8.6</v>
      </c>
      <c r="F1097">
        <v>1.8</v>
      </c>
      <c r="G1097">
        <v>2.44</v>
      </c>
      <c r="H1097">
        <v>1.7</v>
      </c>
      <c r="I1097" t="s">
        <v>18</v>
      </c>
      <c r="J1097">
        <v>8</v>
      </c>
      <c r="K1097">
        <v>7</v>
      </c>
      <c r="L1097">
        <v>3</v>
      </c>
      <c r="M1097">
        <v>0</v>
      </c>
    </row>
    <row r="1098" spans="1:13" x14ac:dyDescent="0.3">
      <c r="A1098">
        <v>13</v>
      </c>
      <c r="B1098" t="s">
        <v>13</v>
      </c>
      <c r="C1098">
        <v>5.8</v>
      </c>
      <c r="D1098" t="s">
        <v>17</v>
      </c>
      <c r="E1098">
        <v>7.2</v>
      </c>
      <c r="F1098">
        <v>1.1000000000000001</v>
      </c>
      <c r="G1098">
        <v>2.69</v>
      </c>
      <c r="H1098">
        <v>0.4</v>
      </c>
      <c r="I1098" t="s">
        <v>15</v>
      </c>
      <c r="J1098">
        <v>7</v>
      </c>
      <c r="K1098">
        <v>3</v>
      </c>
      <c r="L1098">
        <v>7</v>
      </c>
      <c r="M1098">
        <v>0</v>
      </c>
    </row>
    <row r="1099" spans="1:13" x14ac:dyDescent="0.3">
      <c r="A1099">
        <v>16</v>
      </c>
      <c r="B1099" t="s">
        <v>16</v>
      </c>
      <c r="C1099">
        <v>6.1</v>
      </c>
      <c r="D1099" t="s">
        <v>20</v>
      </c>
      <c r="E1099">
        <v>7.5</v>
      </c>
      <c r="F1099">
        <v>2.5</v>
      </c>
      <c r="G1099">
        <v>3.14</v>
      </c>
      <c r="H1099">
        <v>0.5</v>
      </c>
      <c r="I1099" t="s">
        <v>15</v>
      </c>
      <c r="J1099">
        <v>9</v>
      </c>
      <c r="K1099">
        <v>6</v>
      </c>
      <c r="L1099">
        <v>10</v>
      </c>
      <c r="M1099">
        <v>0</v>
      </c>
    </row>
    <row r="1100" spans="1:13" x14ac:dyDescent="0.3">
      <c r="A1100">
        <v>14</v>
      </c>
      <c r="B1100" t="s">
        <v>16</v>
      </c>
      <c r="C1100">
        <v>4.3</v>
      </c>
      <c r="D1100" t="s">
        <v>20</v>
      </c>
      <c r="E1100">
        <v>7.8</v>
      </c>
      <c r="F1100">
        <v>0.5</v>
      </c>
      <c r="G1100">
        <v>3.92</v>
      </c>
      <c r="H1100">
        <v>0.7</v>
      </c>
      <c r="I1100" t="s">
        <v>18</v>
      </c>
      <c r="J1100">
        <v>3</v>
      </c>
      <c r="K1100">
        <v>4</v>
      </c>
      <c r="L1100">
        <v>8</v>
      </c>
      <c r="M1100">
        <v>0</v>
      </c>
    </row>
    <row r="1101" spans="1:13" x14ac:dyDescent="0.3">
      <c r="A1101">
        <v>15</v>
      </c>
      <c r="B1101" t="s">
        <v>16</v>
      </c>
      <c r="C1101">
        <v>7.8</v>
      </c>
      <c r="D1101" t="s">
        <v>14</v>
      </c>
      <c r="E1101">
        <v>4.5999999999999996</v>
      </c>
      <c r="F1101">
        <v>3</v>
      </c>
      <c r="G1101">
        <v>2.44</v>
      </c>
      <c r="H1101">
        <v>1.4</v>
      </c>
      <c r="I1101" t="s">
        <v>19</v>
      </c>
      <c r="J1101">
        <v>8</v>
      </c>
      <c r="K1101">
        <v>10</v>
      </c>
      <c r="L1101">
        <v>6</v>
      </c>
      <c r="M1101">
        <v>1</v>
      </c>
    </row>
    <row r="1102" spans="1:13" x14ac:dyDescent="0.3">
      <c r="A1102">
        <v>15</v>
      </c>
      <c r="B1102" t="s">
        <v>16</v>
      </c>
      <c r="C1102">
        <v>5.2</v>
      </c>
      <c r="D1102" t="s">
        <v>17</v>
      </c>
      <c r="E1102">
        <v>7.5</v>
      </c>
      <c r="F1102">
        <v>1.1000000000000001</v>
      </c>
      <c r="G1102">
        <v>3.61</v>
      </c>
      <c r="H1102">
        <v>0.1</v>
      </c>
      <c r="I1102" t="s">
        <v>15</v>
      </c>
      <c r="J1102">
        <v>4</v>
      </c>
      <c r="K1102">
        <v>6</v>
      </c>
      <c r="L1102">
        <v>7</v>
      </c>
      <c r="M1102">
        <v>0</v>
      </c>
    </row>
    <row r="1103" spans="1:13" x14ac:dyDescent="0.3">
      <c r="A1103">
        <v>17</v>
      </c>
      <c r="B1103" t="s">
        <v>13</v>
      </c>
      <c r="C1103">
        <v>3.5</v>
      </c>
      <c r="D1103" t="s">
        <v>14</v>
      </c>
      <c r="E1103">
        <v>4.3</v>
      </c>
      <c r="F1103">
        <v>2.2000000000000002</v>
      </c>
      <c r="G1103">
        <v>3.19</v>
      </c>
      <c r="H1103">
        <v>1</v>
      </c>
      <c r="I1103" t="s">
        <v>18</v>
      </c>
      <c r="J1103">
        <v>4</v>
      </c>
      <c r="K1103">
        <v>5</v>
      </c>
      <c r="L1103">
        <v>9</v>
      </c>
      <c r="M1103">
        <v>0</v>
      </c>
    </row>
    <row r="1104" spans="1:13" x14ac:dyDescent="0.3">
      <c r="A1104">
        <v>16</v>
      </c>
      <c r="B1104" t="s">
        <v>16</v>
      </c>
      <c r="C1104">
        <v>6.5</v>
      </c>
      <c r="D1104" t="s">
        <v>17</v>
      </c>
      <c r="E1104">
        <v>4.5999999999999996</v>
      </c>
      <c r="F1104">
        <v>1.8</v>
      </c>
      <c r="G1104">
        <v>2.2000000000000002</v>
      </c>
      <c r="H1104">
        <v>1.2</v>
      </c>
      <c r="I1104" t="s">
        <v>15</v>
      </c>
      <c r="J1104">
        <v>7</v>
      </c>
      <c r="K1104">
        <v>4</v>
      </c>
      <c r="L1104">
        <v>4</v>
      </c>
      <c r="M1104">
        <v>0</v>
      </c>
    </row>
    <row r="1105" spans="1:13" x14ac:dyDescent="0.3">
      <c r="A1105">
        <v>17</v>
      </c>
      <c r="B1105" t="s">
        <v>13</v>
      </c>
      <c r="C1105">
        <v>4.7</v>
      </c>
      <c r="D1105" t="s">
        <v>17</v>
      </c>
      <c r="E1105">
        <v>7.2</v>
      </c>
      <c r="F1105">
        <v>2.7</v>
      </c>
      <c r="G1105">
        <v>2.06</v>
      </c>
      <c r="H1105">
        <v>1.4</v>
      </c>
      <c r="I1105" t="s">
        <v>15</v>
      </c>
      <c r="J1105">
        <v>3</v>
      </c>
      <c r="K1105">
        <v>1</v>
      </c>
      <c r="L1105">
        <v>4</v>
      </c>
      <c r="M1105">
        <v>0</v>
      </c>
    </row>
    <row r="1106" spans="1:13" x14ac:dyDescent="0.3">
      <c r="A1106">
        <v>13</v>
      </c>
      <c r="B1106" t="s">
        <v>13</v>
      </c>
      <c r="C1106">
        <v>2.5</v>
      </c>
      <c r="D1106" t="s">
        <v>14</v>
      </c>
      <c r="E1106">
        <v>6.3</v>
      </c>
      <c r="F1106">
        <v>1.8</v>
      </c>
      <c r="G1106">
        <v>2.2000000000000002</v>
      </c>
      <c r="H1106">
        <v>0.1</v>
      </c>
      <c r="I1106" t="s">
        <v>18</v>
      </c>
      <c r="J1106">
        <v>9</v>
      </c>
      <c r="K1106">
        <v>3</v>
      </c>
      <c r="L1106">
        <v>9</v>
      </c>
      <c r="M1106">
        <v>0</v>
      </c>
    </row>
    <row r="1107" spans="1:13" x14ac:dyDescent="0.3">
      <c r="A1107">
        <v>19</v>
      </c>
      <c r="B1107" t="s">
        <v>16</v>
      </c>
      <c r="C1107">
        <v>5.5</v>
      </c>
      <c r="D1107" t="s">
        <v>17</v>
      </c>
      <c r="E1107">
        <v>7.4</v>
      </c>
      <c r="F1107">
        <v>2</v>
      </c>
      <c r="G1107">
        <v>2.8</v>
      </c>
      <c r="H1107">
        <v>1.8</v>
      </c>
      <c r="I1107" t="s">
        <v>18</v>
      </c>
      <c r="J1107">
        <v>9</v>
      </c>
      <c r="K1107">
        <v>8</v>
      </c>
      <c r="L1107">
        <v>10</v>
      </c>
      <c r="M1107">
        <v>0</v>
      </c>
    </row>
    <row r="1108" spans="1:13" x14ac:dyDescent="0.3">
      <c r="A1108">
        <v>15</v>
      </c>
      <c r="B1108" t="s">
        <v>16</v>
      </c>
      <c r="C1108">
        <v>3.5</v>
      </c>
      <c r="D1108" t="s">
        <v>14</v>
      </c>
      <c r="E1108">
        <v>8</v>
      </c>
      <c r="F1108">
        <v>1.9</v>
      </c>
      <c r="G1108">
        <v>3.45</v>
      </c>
      <c r="H1108">
        <v>1.5</v>
      </c>
      <c r="I1108" t="s">
        <v>18</v>
      </c>
      <c r="J1108">
        <v>10</v>
      </c>
      <c r="K1108">
        <v>4</v>
      </c>
      <c r="L1108">
        <v>1</v>
      </c>
      <c r="M1108">
        <v>0</v>
      </c>
    </row>
    <row r="1109" spans="1:13" x14ac:dyDescent="0.3">
      <c r="A1109">
        <v>14</v>
      </c>
      <c r="B1109" t="s">
        <v>16</v>
      </c>
      <c r="C1109">
        <v>4.5999999999999996</v>
      </c>
      <c r="D1109" t="s">
        <v>17</v>
      </c>
      <c r="E1109">
        <v>7</v>
      </c>
      <c r="F1109">
        <v>1.6</v>
      </c>
      <c r="G1109">
        <v>2.74</v>
      </c>
      <c r="H1109">
        <v>0.9</v>
      </c>
      <c r="I1109" t="s">
        <v>15</v>
      </c>
      <c r="J1109">
        <v>3</v>
      </c>
      <c r="K1109">
        <v>2</v>
      </c>
      <c r="L1109">
        <v>9</v>
      </c>
      <c r="M1109">
        <v>0</v>
      </c>
    </row>
    <row r="1110" spans="1:13" x14ac:dyDescent="0.3">
      <c r="A1110">
        <v>13</v>
      </c>
      <c r="B1110" t="s">
        <v>16</v>
      </c>
      <c r="C1110">
        <v>3.5</v>
      </c>
      <c r="D1110" t="s">
        <v>14</v>
      </c>
      <c r="E1110">
        <v>6.9</v>
      </c>
      <c r="F1110">
        <v>1.6</v>
      </c>
      <c r="G1110">
        <v>2.08</v>
      </c>
      <c r="H1110">
        <v>0.7</v>
      </c>
      <c r="I1110" t="s">
        <v>15</v>
      </c>
      <c r="J1110">
        <v>9</v>
      </c>
      <c r="K1110">
        <v>9</v>
      </c>
      <c r="L1110">
        <v>9</v>
      </c>
      <c r="M1110">
        <v>0</v>
      </c>
    </row>
    <row r="1111" spans="1:13" x14ac:dyDescent="0.3">
      <c r="A1111">
        <v>19</v>
      </c>
      <c r="B1111" t="s">
        <v>13</v>
      </c>
      <c r="C1111">
        <v>1.6</v>
      </c>
      <c r="D1111" t="s">
        <v>17</v>
      </c>
      <c r="E1111">
        <v>8.6</v>
      </c>
      <c r="F1111">
        <v>1.4</v>
      </c>
      <c r="G1111">
        <v>2.69</v>
      </c>
      <c r="H1111">
        <v>1.6</v>
      </c>
      <c r="I1111" t="s">
        <v>19</v>
      </c>
      <c r="J1111">
        <v>4</v>
      </c>
      <c r="K1111">
        <v>3</v>
      </c>
      <c r="L1111">
        <v>4</v>
      </c>
      <c r="M1111">
        <v>0</v>
      </c>
    </row>
    <row r="1112" spans="1:13" x14ac:dyDescent="0.3">
      <c r="A1112">
        <v>13</v>
      </c>
      <c r="B1112" t="s">
        <v>16</v>
      </c>
      <c r="C1112">
        <v>3.2</v>
      </c>
      <c r="D1112" t="s">
        <v>20</v>
      </c>
      <c r="E1112">
        <v>5.9</v>
      </c>
      <c r="F1112">
        <v>0.7</v>
      </c>
      <c r="G1112">
        <v>3.98</v>
      </c>
      <c r="H1112">
        <v>0.8</v>
      </c>
      <c r="I1112" t="s">
        <v>15</v>
      </c>
      <c r="J1112">
        <v>6</v>
      </c>
      <c r="K1112">
        <v>8</v>
      </c>
      <c r="L1112">
        <v>1</v>
      </c>
      <c r="M1112">
        <v>0</v>
      </c>
    </row>
    <row r="1113" spans="1:13" x14ac:dyDescent="0.3">
      <c r="A1113">
        <v>19</v>
      </c>
      <c r="B1113" t="s">
        <v>16</v>
      </c>
      <c r="C1113">
        <v>1.7</v>
      </c>
      <c r="D1113" t="s">
        <v>20</v>
      </c>
      <c r="E1113">
        <v>7</v>
      </c>
      <c r="F1113">
        <v>2.7</v>
      </c>
      <c r="G1113">
        <v>2.0699999999999998</v>
      </c>
      <c r="H1113">
        <v>0.5</v>
      </c>
      <c r="I1113" t="s">
        <v>18</v>
      </c>
      <c r="J1113">
        <v>6</v>
      </c>
      <c r="K1113">
        <v>4</v>
      </c>
      <c r="L1113">
        <v>10</v>
      </c>
      <c r="M1113">
        <v>0</v>
      </c>
    </row>
    <row r="1114" spans="1:13" x14ac:dyDescent="0.3">
      <c r="A1114">
        <v>14</v>
      </c>
      <c r="B1114" t="s">
        <v>13</v>
      </c>
      <c r="C1114">
        <v>6.4</v>
      </c>
      <c r="D1114" t="s">
        <v>14</v>
      </c>
      <c r="E1114">
        <v>4.3</v>
      </c>
      <c r="F1114">
        <v>2.2999999999999998</v>
      </c>
      <c r="G1114">
        <v>3.99</v>
      </c>
      <c r="H1114">
        <v>1.1000000000000001</v>
      </c>
      <c r="I1114" t="s">
        <v>15</v>
      </c>
      <c r="J1114">
        <v>7</v>
      </c>
      <c r="K1114">
        <v>4</v>
      </c>
      <c r="L1114">
        <v>3</v>
      </c>
      <c r="M1114">
        <v>0</v>
      </c>
    </row>
    <row r="1115" spans="1:13" x14ac:dyDescent="0.3">
      <c r="A1115">
        <v>13</v>
      </c>
      <c r="B1115" t="s">
        <v>16</v>
      </c>
      <c r="C1115">
        <v>3.3</v>
      </c>
      <c r="D1115" t="s">
        <v>17</v>
      </c>
      <c r="E1115">
        <v>6.4</v>
      </c>
      <c r="F1115">
        <v>1</v>
      </c>
      <c r="G1115">
        <v>2.4900000000000002</v>
      </c>
      <c r="H1115">
        <v>1</v>
      </c>
      <c r="I1115" t="s">
        <v>15</v>
      </c>
      <c r="J1115">
        <v>9</v>
      </c>
      <c r="K1115">
        <v>2</v>
      </c>
      <c r="L1115">
        <v>4</v>
      </c>
      <c r="M1115">
        <v>0</v>
      </c>
    </row>
    <row r="1116" spans="1:13" x14ac:dyDescent="0.3">
      <c r="A1116">
        <v>18</v>
      </c>
      <c r="B1116" t="s">
        <v>13</v>
      </c>
      <c r="C1116">
        <v>1.2</v>
      </c>
      <c r="D1116" t="s">
        <v>20</v>
      </c>
      <c r="E1116">
        <v>6.8</v>
      </c>
      <c r="F1116">
        <v>2.6</v>
      </c>
      <c r="G1116">
        <v>2.85</v>
      </c>
      <c r="H1116">
        <v>1.8</v>
      </c>
      <c r="I1116" t="s">
        <v>19</v>
      </c>
      <c r="J1116">
        <v>4</v>
      </c>
      <c r="K1116">
        <v>3</v>
      </c>
      <c r="L1116">
        <v>9</v>
      </c>
      <c r="M1116">
        <v>0</v>
      </c>
    </row>
    <row r="1117" spans="1:13" x14ac:dyDescent="0.3">
      <c r="A1117">
        <v>13</v>
      </c>
      <c r="B1117" t="s">
        <v>16</v>
      </c>
      <c r="C1117">
        <v>2.5</v>
      </c>
      <c r="D1117" t="s">
        <v>20</v>
      </c>
      <c r="E1117">
        <v>7.8</v>
      </c>
      <c r="F1117">
        <v>1.4</v>
      </c>
      <c r="G1117">
        <v>3.43</v>
      </c>
      <c r="H1117">
        <v>0.9</v>
      </c>
      <c r="I1117" t="s">
        <v>19</v>
      </c>
      <c r="J1117">
        <v>1</v>
      </c>
      <c r="K1117">
        <v>4</v>
      </c>
      <c r="L1117">
        <v>6</v>
      </c>
      <c r="M1117">
        <v>0</v>
      </c>
    </row>
    <row r="1118" spans="1:13" x14ac:dyDescent="0.3">
      <c r="A1118">
        <v>16</v>
      </c>
      <c r="B1118" t="s">
        <v>13</v>
      </c>
      <c r="C1118">
        <v>2.2000000000000002</v>
      </c>
      <c r="D1118" t="s">
        <v>17</v>
      </c>
      <c r="E1118">
        <v>5.0999999999999996</v>
      </c>
      <c r="F1118">
        <v>2.2999999999999998</v>
      </c>
      <c r="G1118">
        <v>3.6</v>
      </c>
      <c r="H1118">
        <v>1</v>
      </c>
      <c r="I1118" t="s">
        <v>18</v>
      </c>
      <c r="J1118">
        <v>4</v>
      </c>
      <c r="K1118">
        <v>7</v>
      </c>
      <c r="L1118">
        <v>6</v>
      </c>
      <c r="M1118">
        <v>0</v>
      </c>
    </row>
    <row r="1119" spans="1:13" x14ac:dyDescent="0.3">
      <c r="A1119">
        <v>18</v>
      </c>
      <c r="B1119" t="s">
        <v>16</v>
      </c>
      <c r="C1119">
        <v>5.2</v>
      </c>
      <c r="D1119" t="s">
        <v>20</v>
      </c>
      <c r="E1119">
        <v>7.1</v>
      </c>
      <c r="F1119">
        <v>1.9</v>
      </c>
      <c r="G1119">
        <v>2.87</v>
      </c>
      <c r="H1119">
        <v>1.7</v>
      </c>
      <c r="I1119" t="s">
        <v>19</v>
      </c>
      <c r="J1119">
        <v>5</v>
      </c>
      <c r="K1119">
        <v>8</v>
      </c>
      <c r="L1119">
        <v>6</v>
      </c>
      <c r="M1119">
        <v>0</v>
      </c>
    </row>
    <row r="1120" spans="1:13" x14ac:dyDescent="0.3">
      <c r="A1120">
        <v>16</v>
      </c>
      <c r="B1120" t="s">
        <v>13</v>
      </c>
      <c r="C1120">
        <v>7.9</v>
      </c>
      <c r="D1120" t="s">
        <v>14</v>
      </c>
      <c r="E1120">
        <v>8.6999999999999993</v>
      </c>
      <c r="F1120">
        <v>2.5</v>
      </c>
      <c r="G1120">
        <v>2.29</v>
      </c>
      <c r="H1120">
        <v>0.7</v>
      </c>
      <c r="I1120" t="s">
        <v>18</v>
      </c>
      <c r="J1120">
        <v>7</v>
      </c>
      <c r="K1120">
        <v>7</v>
      </c>
      <c r="L1120">
        <v>4</v>
      </c>
      <c r="M1120">
        <v>0</v>
      </c>
    </row>
    <row r="1121" spans="1:13" x14ac:dyDescent="0.3">
      <c r="A1121">
        <v>18</v>
      </c>
      <c r="B1121" t="s">
        <v>13</v>
      </c>
      <c r="C1121">
        <v>5.6</v>
      </c>
      <c r="D1121" t="s">
        <v>20</v>
      </c>
      <c r="E1121">
        <v>8</v>
      </c>
      <c r="F1121">
        <v>2.4</v>
      </c>
      <c r="G1121">
        <v>2.95</v>
      </c>
      <c r="H1121">
        <v>0</v>
      </c>
      <c r="I1121" t="s">
        <v>15</v>
      </c>
      <c r="J1121">
        <v>2</v>
      </c>
      <c r="K1121">
        <v>10</v>
      </c>
      <c r="L1121">
        <v>3</v>
      </c>
      <c r="M1121">
        <v>0</v>
      </c>
    </row>
    <row r="1122" spans="1:13" x14ac:dyDescent="0.3">
      <c r="A1122">
        <v>16</v>
      </c>
      <c r="B1122" t="s">
        <v>13</v>
      </c>
      <c r="C1122">
        <v>3.9</v>
      </c>
      <c r="D1122" t="s">
        <v>17</v>
      </c>
      <c r="E1122">
        <v>4.2</v>
      </c>
      <c r="F1122">
        <v>2.1</v>
      </c>
      <c r="G1122">
        <v>2.2799999999999998</v>
      </c>
      <c r="H1122">
        <v>1.1000000000000001</v>
      </c>
      <c r="I1122" t="s">
        <v>19</v>
      </c>
      <c r="J1122">
        <v>6</v>
      </c>
      <c r="K1122">
        <v>5</v>
      </c>
      <c r="L1122">
        <v>7</v>
      </c>
      <c r="M1122">
        <v>0</v>
      </c>
    </row>
    <row r="1123" spans="1:13" x14ac:dyDescent="0.3">
      <c r="A1123">
        <v>18</v>
      </c>
      <c r="B1123" t="s">
        <v>16</v>
      </c>
      <c r="C1123">
        <v>1.8</v>
      </c>
      <c r="D1123" t="s">
        <v>17</v>
      </c>
      <c r="E1123">
        <v>6.1</v>
      </c>
      <c r="F1123">
        <v>2.7</v>
      </c>
      <c r="G1123">
        <v>2.86</v>
      </c>
      <c r="H1123">
        <v>1.1000000000000001</v>
      </c>
      <c r="I1123" t="s">
        <v>15</v>
      </c>
      <c r="J1123">
        <v>4</v>
      </c>
      <c r="K1123">
        <v>2</v>
      </c>
      <c r="L1123">
        <v>4</v>
      </c>
      <c r="M1123">
        <v>0</v>
      </c>
    </row>
    <row r="1124" spans="1:13" x14ac:dyDescent="0.3">
      <c r="A1124">
        <v>18</v>
      </c>
      <c r="B1124" t="s">
        <v>16</v>
      </c>
      <c r="C1124">
        <v>5.8</v>
      </c>
      <c r="D1124" t="s">
        <v>20</v>
      </c>
      <c r="E1124">
        <v>5.0999999999999996</v>
      </c>
      <c r="F1124">
        <v>1.2</v>
      </c>
      <c r="G1124">
        <v>3.24</v>
      </c>
      <c r="H1124">
        <v>0.4</v>
      </c>
      <c r="I1124" t="s">
        <v>18</v>
      </c>
      <c r="J1124">
        <v>5</v>
      </c>
      <c r="K1124">
        <v>9</v>
      </c>
      <c r="L1124">
        <v>2</v>
      </c>
      <c r="M1124">
        <v>0</v>
      </c>
    </row>
    <row r="1125" spans="1:13" x14ac:dyDescent="0.3">
      <c r="A1125">
        <v>18</v>
      </c>
      <c r="B1125" t="s">
        <v>16</v>
      </c>
      <c r="C1125">
        <v>2.2000000000000002</v>
      </c>
      <c r="D1125" t="s">
        <v>14</v>
      </c>
      <c r="E1125">
        <v>4.4000000000000004</v>
      </c>
      <c r="F1125">
        <v>1.7</v>
      </c>
      <c r="G1125">
        <v>2.86</v>
      </c>
      <c r="H1125">
        <v>1.1000000000000001</v>
      </c>
      <c r="I1125" t="s">
        <v>18</v>
      </c>
      <c r="J1125">
        <v>8</v>
      </c>
      <c r="K1125">
        <v>9</v>
      </c>
      <c r="L1125">
        <v>7</v>
      </c>
      <c r="M1125">
        <v>0</v>
      </c>
    </row>
    <row r="1126" spans="1:13" x14ac:dyDescent="0.3">
      <c r="A1126">
        <v>17</v>
      </c>
      <c r="B1126" t="s">
        <v>13</v>
      </c>
      <c r="C1126">
        <v>6.9</v>
      </c>
      <c r="D1126" t="s">
        <v>20</v>
      </c>
      <c r="E1126">
        <v>4.5999999999999996</v>
      </c>
      <c r="F1126">
        <v>2.5</v>
      </c>
      <c r="G1126">
        <v>2.04</v>
      </c>
      <c r="H1126">
        <v>0.8</v>
      </c>
      <c r="I1126" t="s">
        <v>18</v>
      </c>
      <c r="J1126">
        <v>10</v>
      </c>
      <c r="K1126">
        <v>9</v>
      </c>
      <c r="L1126">
        <v>2</v>
      </c>
      <c r="M1126">
        <v>1</v>
      </c>
    </row>
    <row r="1127" spans="1:13" x14ac:dyDescent="0.3">
      <c r="A1127">
        <v>14</v>
      </c>
      <c r="B1127" t="s">
        <v>16</v>
      </c>
      <c r="C1127">
        <v>5.7</v>
      </c>
      <c r="D1127" t="s">
        <v>14</v>
      </c>
      <c r="E1127">
        <v>6.7</v>
      </c>
      <c r="F1127">
        <v>2.6</v>
      </c>
      <c r="G1127">
        <v>2.35</v>
      </c>
      <c r="H1127">
        <v>1.8</v>
      </c>
      <c r="I1127" t="s">
        <v>18</v>
      </c>
      <c r="J1127">
        <v>10</v>
      </c>
      <c r="K1127">
        <v>10</v>
      </c>
      <c r="L1127">
        <v>7</v>
      </c>
      <c r="M1127">
        <v>0</v>
      </c>
    </row>
    <row r="1128" spans="1:13" x14ac:dyDescent="0.3">
      <c r="A1128">
        <v>17</v>
      </c>
      <c r="B1128" t="s">
        <v>13</v>
      </c>
      <c r="C1128">
        <v>7.5</v>
      </c>
      <c r="D1128" t="s">
        <v>17</v>
      </c>
      <c r="E1128">
        <v>5.6</v>
      </c>
      <c r="F1128">
        <v>2.2999999999999998</v>
      </c>
      <c r="G1128">
        <v>2.37</v>
      </c>
      <c r="H1128">
        <v>0</v>
      </c>
      <c r="I1128" t="s">
        <v>18</v>
      </c>
      <c r="J1128">
        <v>3</v>
      </c>
      <c r="K1128">
        <v>10</v>
      </c>
      <c r="L1128">
        <v>8</v>
      </c>
      <c r="M1128">
        <v>0</v>
      </c>
    </row>
    <row r="1129" spans="1:13" x14ac:dyDescent="0.3">
      <c r="A1129">
        <v>13</v>
      </c>
      <c r="B1129" t="s">
        <v>13</v>
      </c>
      <c r="C1129">
        <v>5.2</v>
      </c>
      <c r="D1129" t="s">
        <v>20</v>
      </c>
      <c r="E1129">
        <v>6.4</v>
      </c>
      <c r="F1129">
        <v>2.5</v>
      </c>
      <c r="G1129">
        <v>3.13</v>
      </c>
      <c r="H1129">
        <v>0.3</v>
      </c>
      <c r="I1129" t="s">
        <v>19</v>
      </c>
      <c r="J1129">
        <v>8</v>
      </c>
      <c r="K1129">
        <v>6</v>
      </c>
      <c r="L1129">
        <v>7</v>
      </c>
      <c r="M1129">
        <v>0</v>
      </c>
    </row>
    <row r="1130" spans="1:13" x14ac:dyDescent="0.3">
      <c r="A1130">
        <v>16</v>
      </c>
      <c r="B1130" t="s">
        <v>13</v>
      </c>
      <c r="C1130">
        <v>7.2</v>
      </c>
      <c r="D1130" t="s">
        <v>20</v>
      </c>
      <c r="E1130">
        <v>6.9</v>
      </c>
      <c r="F1130">
        <v>2.1</v>
      </c>
      <c r="G1130">
        <v>2.3199999999999998</v>
      </c>
      <c r="H1130">
        <v>1.1000000000000001</v>
      </c>
      <c r="I1130" t="s">
        <v>15</v>
      </c>
      <c r="J1130">
        <v>3</v>
      </c>
      <c r="K1130">
        <v>4</v>
      </c>
      <c r="L1130">
        <v>10</v>
      </c>
      <c r="M1130">
        <v>0</v>
      </c>
    </row>
    <row r="1131" spans="1:13" x14ac:dyDescent="0.3">
      <c r="A1131">
        <v>19</v>
      </c>
      <c r="B1131" t="s">
        <v>13</v>
      </c>
      <c r="C1131">
        <v>2</v>
      </c>
      <c r="D1131" t="s">
        <v>17</v>
      </c>
      <c r="E1131">
        <v>4.3</v>
      </c>
      <c r="F1131">
        <v>0.8</v>
      </c>
      <c r="G1131">
        <v>3.4</v>
      </c>
      <c r="H1131">
        <v>0.7</v>
      </c>
      <c r="I1131" t="s">
        <v>15</v>
      </c>
      <c r="J1131">
        <v>8</v>
      </c>
      <c r="K1131">
        <v>1</v>
      </c>
      <c r="L1131">
        <v>1</v>
      </c>
      <c r="M1131">
        <v>0</v>
      </c>
    </row>
    <row r="1132" spans="1:13" x14ac:dyDescent="0.3">
      <c r="A1132">
        <v>13</v>
      </c>
      <c r="B1132" t="s">
        <v>16</v>
      </c>
      <c r="C1132">
        <v>4.7</v>
      </c>
      <c r="D1132" t="s">
        <v>20</v>
      </c>
      <c r="E1132">
        <v>6.8</v>
      </c>
      <c r="F1132">
        <v>1.4</v>
      </c>
      <c r="G1132">
        <v>3.91</v>
      </c>
      <c r="H1132">
        <v>0.8</v>
      </c>
      <c r="I1132" t="s">
        <v>18</v>
      </c>
      <c r="J1132">
        <v>10</v>
      </c>
      <c r="K1132">
        <v>6</v>
      </c>
      <c r="L1132">
        <v>9</v>
      </c>
      <c r="M1132">
        <v>0</v>
      </c>
    </row>
    <row r="1133" spans="1:13" x14ac:dyDescent="0.3">
      <c r="A1133">
        <v>14</v>
      </c>
      <c r="B1133" t="s">
        <v>13</v>
      </c>
      <c r="C1133">
        <v>5.6</v>
      </c>
      <c r="D1133" t="s">
        <v>20</v>
      </c>
      <c r="E1133">
        <v>4.5</v>
      </c>
      <c r="F1133">
        <v>1.4</v>
      </c>
      <c r="G1133">
        <v>2.44</v>
      </c>
      <c r="H1133">
        <v>1.2</v>
      </c>
      <c r="I1133" t="s">
        <v>15</v>
      </c>
      <c r="J1133">
        <v>5</v>
      </c>
      <c r="K1133">
        <v>10</v>
      </c>
      <c r="L1133">
        <v>9</v>
      </c>
      <c r="M1133">
        <v>0</v>
      </c>
    </row>
    <row r="1134" spans="1:13" x14ac:dyDescent="0.3">
      <c r="A1134">
        <v>18</v>
      </c>
      <c r="B1134" t="s">
        <v>16</v>
      </c>
      <c r="C1134">
        <v>4.5</v>
      </c>
      <c r="D1134" t="s">
        <v>14</v>
      </c>
      <c r="E1134">
        <v>4</v>
      </c>
      <c r="F1134">
        <v>2.9</v>
      </c>
      <c r="G1134">
        <v>3.15</v>
      </c>
      <c r="H1134">
        <v>1.9</v>
      </c>
      <c r="I1134" t="s">
        <v>19</v>
      </c>
      <c r="J1134">
        <v>8</v>
      </c>
      <c r="K1134">
        <v>6</v>
      </c>
      <c r="L1134">
        <v>5</v>
      </c>
      <c r="M1134">
        <v>0</v>
      </c>
    </row>
    <row r="1135" spans="1:13" x14ac:dyDescent="0.3">
      <c r="A1135">
        <v>15</v>
      </c>
      <c r="B1135" t="s">
        <v>16</v>
      </c>
      <c r="C1135">
        <v>1.1000000000000001</v>
      </c>
      <c r="D1135" t="s">
        <v>14</v>
      </c>
      <c r="E1135">
        <v>9</v>
      </c>
      <c r="F1135">
        <v>1.2</v>
      </c>
      <c r="G1135">
        <v>2.9</v>
      </c>
      <c r="H1135">
        <v>1.8</v>
      </c>
      <c r="I1135" t="s">
        <v>19</v>
      </c>
      <c r="J1135">
        <v>5</v>
      </c>
      <c r="K1135">
        <v>10</v>
      </c>
      <c r="L1135">
        <v>2</v>
      </c>
      <c r="M1135">
        <v>0</v>
      </c>
    </row>
    <row r="1136" spans="1:13" x14ac:dyDescent="0.3">
      <c r="A1136">
        <v>18</v>
      </c>
      <c r="B1136" t="s">
        <v>16</v>
      </c>
      <c r="C1136">
        <v>5.3</v>
      </c>
      <c r="D1136" t="s">
        <v>20</v>
      </c>
      <c r="E1136">
        <v>4.5999999999999996</v>
      </c>
      <c r="F1136">
        <v>1.5</v>
      </c>
      <c r="G1136">
        <v>2.54</v>
      </c>
      <c r="H1136">
        <v>0.6</v>
      </c>
      <c r="I1136" t="s">
        <v>19</v>
      </c>
      <c r="J1136">
        <v>4</v>
      </c>
      <c r="K1136">
        <v>3</v>
      </c>
      <c r="L1136">
        <v>4</v>
      </c>
      <c r="M1136">
        <v>0</v>
      </c>
    </row>
    <row r="1137" spans="1:13" x14ac:dyDescent="0.3">
      <c r="A1137">
        <v>14</v>
      </c>
      <c r="B1137" t="s">
        <v>16</v>
      </c>
      <c r="C1137">
        <v>3.5</v>
      </c>
      <c r="D1137" t="s">
        <v>20</v>
      </c>
      <c r="E1137">
        <v>5.3</v>
      </c>
      <c r="F1137">
        <v>2.5</v>
      </c>
      <c r="G1137">
        <v>2.29</v>
      </c>
      <c r="H1137">
        <v>0.7</v>
      </c>
      <c r="I1137" t="s">
        <v>15</v>
      </c>
      <c r="J1137">
        <v>1</v>
      </c>
      <c r="K1137">
        <v>10</v>
      </c>
      <c r="L1137">
        <v>3</v>
      </c>
      <c r="M1137">
        <v>0</v>
      </c>
    </row>
    <row r="1138" spans="1:13" x14ac:dyDescent="0.3">
      <c r="A1138">
        <v>15</v>
      </c>
      <c r="B1138" t="s">
        <v>13</v>
      </c>
      <c r="C1138">
        <v>6.5</v>
      </c>
      <c r="D1138" t="s">
        <v>20</v>
      </c>
      <c r="E1138">
        <v>6.2</v>
      </c>
      <c r="F1138">
        <v>1.2</v>
      </c>
      <c r="G1138">
        <v>3.19</v>
      </c>
      <c r="H1138">
        <v>0</v>
      </c>
      <c r="I1138" t="s">
        <v>19</v>
      </c>
      <c r="J1138">
        <v>6</v>
      </c>
      <c r="K1138">
        <v>5</v>
      </c>
      <c r="L1138">
        <v>2</v>
      </c>
      <c r="M1138">
        <v>0</v>
      </c>
    </row>
    <row r="1139" spans="1:13" x14ac:dyDescent="0.3">
      <c r="A1139">
        <v>14</v>
      </c>
      <c r="B1139" t="s">
        <v>13</v>
      </c>
      <c r="C1139">
        <v>7</v>
      </c>
      <c r="D1139" t="s">
        <v>20</v>
      </c>
      <c r="E1139">
        <v>6.7</v>
      </c>
      <c r="F1139">
        <v>1.9</v>
      </c>
      <c r="G1139">
        <v>2.48</v>
      </c>
      <c r="H1139">
        <v>1.3</v>
      </c>
      <c r="I1139" t="s">
        <v>15</v>
      </c>
      <c r="J1139">
        <v>7</v>
      </c>
      <c r="K1139">
        <v>1</v>
      </c>
      <c r="L1139">
        <v>5</v>
      </c>
      <c r="M1139">
        <v>0</v>
      </c>
    </row>
    <row r="1140" spans="1:13" x14ac:dyDescent="0.3">
      <c r="A1140">
        <v>14</v>
      </c>
      <c r="B1140" t="s">
        <v>16</v>
      </c>
      <c r="C1140">
        <v>4</v>
      </c>
      <c r="D1140" t="s">
        <v>17</v>
      </c>
      <c r="E1140">
        <v>4.0999999999999996</v>
      </c>
      <c r="F1140">
        <v>0.9</v>
      </c>
      <c r="G1140">
        <v>2.99</v>
      </c>
      <c r="H1140">
        <v>1.9</v>
      </c>
      <c r="I1140" t="s">
        <v>15</v>
      </c>
      <c r="J1140">
        <v>2</v>
      </c>
      <c r="K1140">
        <v>9</v>
      </c>
      <c r="L1140">
        <v>10</v>
      </c>
      <c r="M1140">
        <v>0</v>
      </c>
    </row>
    <row r="1141" spans="1:13" x14ac:dyDescent="0.3">
      <c r="A1141">
        <v>15</v>
      </c>
      <c r="B1141" t="s">
        <v>16</v>
      </c>
      <c r="C1141">
        <v>1.7</v>
      </c>
      <c r="D1141" t="s">
        <v>14</v>
      </c>
      <c r="E1141">
        <v>5.3</v>
      </c>
      <c r="F1141">
        <v>1.5</v>
      </c>
      <c r="G1141">
        <v>3.6</v>
      </c>
      <c r="H1141">
        <v>1.5</v>
      </c>
      <c r="I1141" t="s">
        <v>18</v>
      </c>
      <c r="J1141">
        <v>6</v>
      </c>
      <c r="K1141">
        <v>4</v>
      </c>
      <c r="L1141">
        <v>3</v>
      </c>
      <c r="M1141">
        <v>0</v>
      </c>
    </row>
    <row r="1142" spans="1:13" x14ac:dyDescent="0.3">
      <c r="A1142">
        <v>14</v>
      </c>
      <c r="B1142" t="s">
        <v>16</v>
      </c>
      <c r="C1142">
        <v>7.8</v>
      </c>
      <c r="D1142" t="s">
        <v>17</v>
      </c>
      <c r="E1142">
        <v>4.7</v>
      </c>
      <c r="F1142">
        <v>2.2000000000000002</v>
      </c>
      <c r="G1142">
        <v>3.53</v>
      </c>
      <c r="H1142">
        <v>0.6</v>
      </c>
      <c r="I1142" t="s">
        <v>15</v>
      </c>
      <c r="J1142">
        <v>5</v>
      </c>
      <c r="K1142">
        <v>8</v>
      </c>
      <c r="L1142">
        <v>2</v>
      </c>
      <c r="M1142">
        <v>0</v>
      </c>
    </row>
    <row r="1143" spans="1:13" x14ac:dyDescent="0.3">
      <c r="A1143">
        <v>15</v>
      </c>
      <c r="B1143" t="s">
        <v>16</v>
      </c>
      <c r="C1143">
        <v>5.2</v>
      </c>
      <c r="D1143" t="s">
        <v>14</v>
      </c>
      <c r="E1143">
        <v>6.7</v>
      </c>
      <c r="F1143">
        <v>3</v>
      </c>
      <c r="G1143">
        <v>3.18</v>
      </c>
      <c r="H1143">
        <v>0.6</v>
      </c>
      <c r="I1143" t="s">
        <v>15</v>
      </c>
      <c r="J1143">
        <v>9</v>
      </c>
      <c r="K1143">
        <v>7</v>
      </c>
      <c r="L1143">
        <v>9</v>
      </c>
      <c r="M1143">
        <v>0</v>
      </c>
    </row>
    <row r="1144" spans="1:13" x14ac:dyDescent="0.3">
      <c r="A1144">
        <v>19</v>
      </c>
      <c r="B1144" t="s">
        <v>16</v>
      </c>
      <c r="C1144">
        <v>7.9</v>
      </c>
      <c r="D1144" t="s">
        <v>17</v>
      </c>
      <c r="E1144">
        <v>5.8</v>
      </c>
      <c r="F1144">
        <v>2.1</v>
      </c>
      <c r="G1144">
        <v>3.91</v>
      </c>
      <c r="H1144">
        <v>1.4</v>
      </c>
      <c r="I1144" t="s">
        <v>18</v>
      </c>
      <c r="J1144">
        <v>7</v>
      </c>
      <c r="K1144">
        <v>1</v>
      </c>
      <c r="L1144">
        <v>10</v>
      </c>
      <c r="M1144">
        <v>0</v>
      </c>
    </row>
    <row r="1145" spans="1:13" x14ac:dyDescent="0.3">
      <c r="A1145">
        <v>17</v>
      </c>
      <c r="B1145" t="s">
        <v>13</v>
      </c>
      <c r="C1145">
        <v>5.9</v>
      </c>
      <c r="D1145" t="s">
        <v>20</v>
      </c>
      <c r="E1145">
        <v>6.6</v>
      </c>
      <c r="F1145">
        <v>1.3</v>
      </c>
      <c r="G1145">
        <v>2.11</v>
      </c>
      <c r="H1145">
        <v>1.4</v>
      </c>
      <c r="I1145" t="s">
        <v>15</v>
      </c>
      <c r="J1145">
        <v>10</v>
      </c>
      <c r="K1145">
        <v>4</v>
      </c>
      <c r="L1145">
        <v>9</v>
      </c>
      <c r="M1145">
        <v>0</v>
      </c>
    </row>
    <row r="1146" spans="1:13" x14ac:dyDescent="0.3">
      <c r="A1146">
        <v>13</v>
      </c>
      <c r="B1146" t="s">
        <v>16</v>
      </c>
      <c r="C1146">
        <v>2.6</v>
      </c>
      <c r="D1146" t="s">
        <v>17</v>
      </c>
      <c r="E1146">
        <v>8.5</v>
      </c>
      <c r="F1146">
        <v>1.9</v>
      </c>
      <c r="G1146">
        <v>3.06</v>
      </c>
      <c r="H1146">
        <v>1.9</v>
      </c>
      <c r="I1146" t="s">
        <v>18</v>
      </c>
      <c r="J1146">
        <v>5</v>
      </c>
      <c r="K1146">
        <v>7</v>
      </c>
      <c r="L1146">
        <v>6</v>
      </c>
      <c r="M1146">
        <v>0</v>
      </c>
    </row>
    <row r="1147" spans="1:13" x14ac:dyDescent="0.3">
      <c r="A1147">
        <v>18</v>
      </c>
      <c r="B1147" t="s">
        <v>16</v>
      </c>
      <c r="C1147">
        <v>6.3</v>
      </c>
      <c r="D1147" t="s">
        <v>17</v>
      </c>
      <c r="E1147">
        <v>4.8</v>
      </c>
      <c r="F1147">
        <v>1.2</v>
      </c>
      <c r="G1147">
        <v>2.91</v>
      </c>
      <c r="H1147">
        <v>1.3</v>
      </c>
      <c r="I1147" t="s">
        <v>19</v>
      </c>
      <c r="J1147">
        <v>9</v>
      </c>
      <c r="K1147">
        <v>10</v>
      </c>
      <c r="L1147">
        <v>3</v>
      </c>
      <c r="M1147">
        <v>1</v>
      </c>
    </row>
    <row r="1148" spans="1:13" x14ac:dyDescent="0.3">
      <c r="A1148">
        <v>19</v>
      </c>
      <c r="B1148" t="s">
        <v>16</v>
      </c>
      <c r="C1148">
        <v>4.5</v>
      </c>
      <c r="D1148" t="s">
        <v>17</v>
      </c>
      <c r="E1148">
        <v>8.4</v>
      </c>
      <c r="F1148">
        <v>2.1</v>
      </c>
      <c r="G1148">
        <v>2.62</v>
      </c>
      <c r="H1148">
        <v>2</v>
      </c>
      <c r="I1148" t="s">
        <v>15</v>
      </c>
      <c r="J1148">
        <v>5</v>
      </c>
      <c r="K1148">
        <v>10</v>
      </c>
      <c r="L1148">
        <v>5</v>
      </c>
      <c r="M1148">
        <v>0</v>
      </c>
    </row>
    <row r="1149" spans="1:13" x14ac:dyDescent="0.3">
      <c r="A1149">
        <v>19</v>
      </c>
      <c r="B1149" t="s">
        <v>13</v>
      </c>
      <c r="C1149">
        <v>5.3</v>
      </c>
      <c r="D1149" t="s">
        <v>14</v>
      </c>
      <c r="E1149">
        <v>4.7</v>
      </c>
      <c r="F1149">
        <v>2.8</v>
      </c>
      <c r="G1149">
        <v>2.82</v>
      </c>
      <c r="H1149">
        <v>0.3</v>
      </c>
      <c r="I1149" t="s">
        <v>18</v>
      </c>
      <c r="J1149">
        <v>1</v>
      </c>
      <c r="K1149">
        <v>9</v>
      </c>
      <c r="L1149">
        <v>6</v>
      </c>
      <c r="M1149">
        <v>0</v>
      </c>
    </row>
    <row r="1150" spans="1:13" x14ac:dyDescent="0.3">
      <c r="A1150">
        <v>13</v>
      </c>
      <c r="B1150" t="s">
        <v>16</v>
      </c>
      <c r="C1150">
        <v>5.2</v>
      </c>
      <c r="D1150" t="s">
        <v>20</v>
      </c>
      <c r="E1150">
        <v>7.4</v>
      </c>
      <c r="F1150">
        <v>2.5</v>
      </c>
      <c r="G1150">
        <v>3.93</v>
      </c>
      <c r="H1150">
        <v>0.8</v>
      </c>
      <c r="I1150" t="s">
        <v>15</v>
      </c>
      <c r="J1150">
        <v>4</v>
      </c>
      <c r="K1150">
        <v>4</v>
      </c>
      <c r="L1150">
        <v>8</v>
      </c>
      <c r="M1150">
        <v>0</v>
      </c>
    </row>
    <row r="1151" spans="1:13" x14ac:dyDescent="0.3">
      <c r="A1151">
        <v>15</v>
      </c>
      <c r="B1151" t="s">
        <v>13</v>
      </c>
      <c r="C1151">
        <v>3.3</v>
      </c>
      <c r="D1151" t="s">
        <v>20</v>
      </c>
      <c r="E1151">
        <v>6.1</v>
      </c>
      <c r="F1151">
        <v>1.2</v>
      </c>
      <c r="G1151">
        <v>2.56</v>
      </c>
      <c r="H1151">
        <v>1.4</v>
      </c>
      <c r="I1151" t="s">
        <v>15</v>
      </c>
      <c r="J1151">
        <v>8</v>
      </c>
      <c r="K1151">
        <v>6</v>
      </c>
      <c r="L1151">
        <v>3</v>
      </c>
      <c r="M1151">
        <v>0</v>
      </c>
    </row>
    <row r="1152" spans="1:13" x14ac:dyDescent="0.3">
      <c r="A1152">
        <v>14</v>
      </c>
      <c r="B1152" t="s">
        <v>16</v>
      </c>
      <c r="C1152">
        <v>1.1000000000000001</v>
      </c>
      <c r="D1152" t="s">
        <v>20</v>
      </c>
      <c r="E1152">
        <v>5.4</v>
      </c>
      <c r="F1152">
        <v>1.6</v>
      </c>
      <c r="G1152">
        <v>3.34</v>
      </c>
      <c r="H1152">
        <v>1.5</v>
      </c>
      <c r="I1152" t="s">
        <v>19</v>
      </c>
      <c r="J1152">
        <v>4</v>
      </c>
      <c r="K1152">
        <v>5</v>
      </c>
      <c r="L1152">
        <v>8</v>
      </c>
      <c r="M1152">
        <v>0</v>
      </c>
    </row>
    <row r="1153" spans="1:13" x14ac:dyDescent="0.3">
      <c r="A1153">
        <v>17</v>
      </c>
      <c r="B1153" t="s">
        <v>16</v>
      </c>
      <c r="C1153">
        <v>5</v>
      </c>
      <c r="D1153" t="s">
        <v>14</v>
      </c>
      <c r="E1153">
        <v>7.3</v>
      </c>
      <c r="F1153">
        <v>1.2</v>
      </c>
      <c r="G1153">
        <v>3.39</v>
      </c>
      <c r="H1153">
        <v>0.7</v>
      </c>
      <c r="I1153" t="s">
        <v>19</v>
      </c>
      <c r="J1153">
        <v>9</v>
      </c>
      <c r="K1153">
        <v>10</v>
      </c>
      <c r="L1153">
        <v>8</v>
      </c>
      <c r="M1153">
        <v>0</v>
      </c>
    </row>
    <row r="1154" spans="1:13" x14ac:dyDescent="0.3">
      <c r="A1154">
        <v>15</v>
      </c>
      <c r="B1154" t="s">
        <v>16</v>
      </c>
      <c r="C1154">
        <v>7.4</v>
      </c>
      <c r="D1154" t="s">
        <v>17</v>
      </c>
      <c r="E1154">
        <v>8.6</v>
      </c>
      <c r="F1154">
        <v>1.4</v>
      </c>
      <c r="G1154">
        <v>2.19</v>
      </c>
      <c r="H1154">
        <v>1.8</v>
      </c>
      <c r="I1154" t="s">
        <v>15</v>
      </c>
      <c r="J1154">
        <v>10</v>
      </c>
      <c r="K1154">
        <v>10</v>
      </c>
      <c r="L1154">
        <v>1</v>
      </c>
      <c r="M1154">
        <v>0</v>
      </c>
    </row>
    <row r="1155" spans="1:13" x14ac:dyDescent="0.3">
      <c r="A1155">
        <v>15</v>
      </c>
      <c r="B1155" t="s">
        <v>16</v>
      </c>
      <c r="C1155">
        <v>7.4</v>
      </c>
      <c r="D1155" t="s">
        <v>17</v>
      </c>
      <c r="E1155">
        <v>8.9</v>
      </c>
      <c r="F1155">
        <v>2.9</v>
      </c>
      <c r="G1155">
        <v>3.39</v>
      </c>
      <c r="H1155">
        <v>1.1000000000000001</v>
      </c>
      <c r="I1155" t="s">
        <v>18</v>
      </c>
      <c r="J1155">
        <v>4</v>
      </c>
      <c r="K1155">
        <v>9</v>
      </c>
      <c r="L1155">
        <v>1</v>
      </c>
      <c r="M1155">
        <v>0</v>
      </c>
    </row>
    <row r="1156" spans="1:13" x14ac:dyDescent="0.3">
      <c r="A1156">
        <v>17</v>
      </c>
      <c r="B1156" t="s">
        <v>13</v>
      </c>
      <c r="C1156">
        <v>6.6</v>
      </c>
      <c r="D1156" t="s">
        <v>17</v>
      </c>
      <c r="E1156">
        <v>5.2</v>
      </c>
      <c r="F1156">
        <v>2.2000000000000002</v>
      </c>
      <c r="G1156">
        <v>2.98</v>
      </c>
      <c r="H1156">
        <v>0.8</v>
      </c>
      <c r="I1156" t="s">
        <v>18</v>
      </c>
      <c r="J1156">
        <v>6</v>
      </c>
      <c r="K1156">
        <v>8</v>
      </c>
      <c r="L1156">
        <v>7</v>
      </c>
      <c r="M1156">
        <v>0</v>
      </c>
    </row>
    <row r="1157" spans="1:13" x14ac:dyDescent="0.3">
      <c r="A1157">
        <v>13</v>
      </c>
      <c r="B1157" t="s">
        <v>16</v>
      </c>
      <c r="C1157">
        <v>7.1</v>
      </c>
      <c r="D1157" t="s">
        <v>20</v>
      </c>
      <c r="E1157">
        <v>7.2</v>
      </c>
      <c r="F1157">
        <v>1.1000000000000001</v>
      </c>
      <c r="G1157">
        <v>3.69</v>
      </c>
      <c r="H1157">
        <v>1</v>
      </c>
      <c r="I1157" t="s">
        <v>15</v>
      </c>
      <c r="J1157">
        <v>4</v>
      </c>
      <c r="K1157">
        <v>6</v>
      </c>
      <c r="L1157">
        <v>3</v>
      </c>
      <c r="M1157">
        <v>0</v>
      </c>
    </row>
    <row r="1158" spans="1:13" x14ac:dyDescent="0.3">
      <c r="A1158">
        <v>15</v>
      </c>
      <c r="B1158" t="s">
        <v>16</v>
      </c>
      <c r="C1158">
        <v>1.1000000000000001</v>
      </c>
      <c r="D1158" t="s">
        <v>17</v>
      </c>
      <c r="E1158">
        <v>8.6</v>
      </c>
      <c r="F1158">
        <v>2.2999999999999998</v>
      </c>
      <c r="G1158">
        <v>3.68</v>
      </c>
      <c r="H1158">
        <v>0.5</v>
      </c>
      <c r="I1158" t="s">
        <v>15</v>
      </c>
      <c r="J1158">
        <v>1</v>
      </c>
      <c r="K1158">
        <v>2</v>
      </c>
      <c r="L1158">
        <v>7</v>
      </c>
      <c r="M1158">
        <v>0</v>
      </c>
    </row>
    <row r="1159" spans="1:13" x14ac:dyDescent="0.3">
      <c r="A1159">
        <v>13</v>
      </c>
      <c r="B1159" t="s">
        <v>16</v>
      </c>
      <c r="C1159">
        <v>3.6</v>
      </c>
      <c r="D1159" t="s">
        <v>17</v>
      </c>
      <c r="E1159">
        <v>8.6999999999999993</v>
      </c>
      <c r="F1159">
        <v>0.8</v>
      </c>
      <c r="G1159">
        <v>2.41</v>
      </c>
      <c r="H1159">
        <v>1.3</v>
      </c>
      <c r="I1159" t="s">
        <v>15</v>
      </c>
      <c r="J1159">
        <v>4</v>
      </c>
      <c r="K1159">
        <v>6</v>
      </c>
      <c r="L1159">
        <v>8</v>
      </c>
      <c r="M1159">
        <v>0</v>
      </c>
    </row>
    <row r="1160" spans="1:13" x14ac:dyDescent="0.3">
      <c r="A1160">
        <v>16</v>
      </c>
      <c r="B1160" t="s">
        <v>13</v>
      </c>
      <c r="C1160">
        <v>5.0999999999999996</v>
      </c>
      <c r="D1160" t="s">
        <v>17</v>
      </c>
      <c r="E1160">
        <v>4.5999999999999996</v>
      </c>
      <c r="F1160">
        <v>1.1000000000000001</v>
      </c>
      <c r="G1160">
        <v>2.75</v>
      </c>
      <c r="H1160">
        <v>1.5</v>
      </c>
      <c r="I1160" t="s">
        <v>19</v>
      </c>
      <c r="J1160">
        <v>6</v>
      </c>
      <c r="K1160">
        <v>3</v>
      </c>
      <c r="L1160">
        <v>6</v>
      </c>
      <c r="M1160">
        <v>0</v>
      </c>
    </row>
    <row r="1161" spans="1:13" x14ac:dyDescent="0.3">
      <c r="A1161">
        <v>19</v>
      </c>
      <c r="B1161" t="s">
        <v>16</v>
      </c>
      <c r="C1161">
        <v>7.3</v>
      </c>
      <c r="D1161" t="s">
        <v>14</v>
      </c>
      <c r="E1161">
        <v>7.8</v>
      </c>
      <c r="F1161">
        <v>1</v>
      </c>
      <c r="G1161">
        <v>2.91</v>
      </c>
      <c r="H1161">
        <v>0.8</v>
      </c>
      <c r="I1161" t="s">
        <v>19</v>
      </c>
      <c r="J1161">
        <v>9</v>
      </c>
      <c r="K1161">
        <v>7</v>
      </c>
      <c r="L1161">
        <v>5</v>
      </c>
      <c r="M1161">
        <v>0</v>
      </c>
    </row>
    <row r="1162" spans="1:13" x14ac:dyDescent="0.3">
      <c r="A1162">
        <v>13</v>
      </c>
      <c r="B1162" t="s">
        <v>16</v>
      </c>
      <c r="C1162">
        <v>7.7</v>
      </c>
      <c r="D1162" t="s">
        <v>20</v>
      </c>
      <c r="E1162">
        <v>7.5</v>
      </c>
      <c r="F1162">
        <v>1.4</v>
      </c>
      <c r="G1162">
        <v>2.2400000000000002</v>
      </c>
      <c r="H1162">
        <v>0.1</v>
      </c>
      <c r="I1162" t="s">
        <v>15</v>
      </c>
      <c r="J1162">
        <v>5</v>
      </c>
      <c r="K1162">
        <v>3</v>
      </c>
      <c r="L1162">
        <v>3</v>
      </c>
      <c r="M1162">
        <v>0</v>
      </c>
    </row>
    <row r="1163" spans="1:13" x14ac:dyDescent="0.3">
      <c r="A1163">
        <v>13</v>
      </c>
      <c r="B1163" t="s">
        <v>16</v>
      </c>
      <c r="C1163">
        <v>7.9</v>
      </c>
      <c r="D1163" t="s">
        <v>17</v>
      </c>
      <c r="E1163">
        <v>4.0999999999999996</v>
      </c>
      <c r="F1163">
        <v>1.6</v>
      </c>
      <c r="G1163">
        <v>2.74</v>
      </c>
      <c r="H1163">
        <v>0.9</v>
      </c>
      <c r="I1163" t="s">
        <v>19</v>
      </c>
      <c r="J1163">
        <v>9</v>
      </c>
      <c r="K1163">
        <v>3</v>
      </c>
      <c r="L1163">
        <v>5</v>
      </c>
      <c r="M1163">
        <v>0</v>
      </c>
    </row>
    <row r="1164" spans="1:13" x14ac:dyDescent="0.3">
      <c r="A1164">
        <v>16</v>
      </c>
      <c r="B1164" t="s">
        <v>16</v>
      </c>
      <c r="C1164">
        <v>5.5</v>
      </c>
      <c r="D1164" t="s">
        <v>20</v>
      </c>
      <c r="E1164">
        <v>5.8</v>
      </c>
      <c r="F1164">
        <v>2.5</v>
      </c>
      <c r="G1164">
        <v>2.34</v>
      </c>
      <c r="H1164">
        <v>1</v>
      </c>
      <c r="I1164" t="s">
        <v>15</v>
      </c>
      <c r="J1164">
        <v>5</v>
      </c>
      <c r="K1164">
        <v>2</v>
      </c>
      <c r="L1164">
        <v>8</v>
      </c>
      <c r="M1164">
        <v>0</v>
      </c>
    </row>
    <row r="1165" spans="1:13" x14ac:dyDescent="0.3">
      <c r="A1165">
        <v>19</v>
      </c>
      <c r="B1165" t="s">
        <v>13</v>
      </c>
      <c r="C1165">
        <v>4</v>
      </c>
      <c r="D1165" t="s">
        <v>14</v>
      </c>
      <c r="E1165">
        <v>7.8</v>
      </c>
      <c r="F1165">
        <v>0.6</v>
      </c>
      <c r="G1165">
        <v>3.61</v>
      </c>
      <c r="H1165">
        <v>1.7</v>
      </c>
      <c r="I1165" t="s">
        <v>18</v>
      </c>
      <c r="J1165">
        <v>2</v>
      </c>
      <c r="K1165">
        <v>7</v>
      </c>
      <c r="L1165">
        <v>9</v>
      </c>
      <c r="M1165">
        <v>0</v>
      </c>
    </row>
    <row r="1166" spans="1:13" x14ac:dyDescent="0.3">
      <c r="A1166">
        <v>15</v>
      </c>
      <c r="B1166" t="s">
        <v>16</v>
      </c>
      <c r="C1166">
        <v>7.9</v>
      </c>
      <c r="D1166" t="s">
        <v>17</v>
      </c>
      <c r="E1166">
        <v>4.7</v>
      </c>
      <c r="F1166">
        <v>1.5</v>
      </c>
      <c r="G1166">
        <v>3.3</v>
      </c>
      <c r="H1166">
        <v>0</v>
      </c>
      <c r="I1166" t="s">
        <v>15</v>
      </c>
      <c r="J1166">
        <v>5</v>
      </c>
      <c r="K1166">
        <v>8</v>
      </c>
      <c r="L1166">
        <v>5</v>
      </c>
      <c r="M1166">
        <v>0</v>
      </c>
    </row>
    <row r="1167" spans="1:13" x14ac:dyDescent="0.3">
      <c r="A1167">
        <v>18</v>
      </c>
      <c r="B1167" t="s">
        <v>16</v>
      </c>
      <c r="C1167">
        <v>5.5</v>
      </c>
      <c r="D1167" t="s">
        <v>20</v>
      </c>
      <c r="E1167">
        <v>8.1999999999999993</v>
      </c>
      <c r="F1167">
        <v>0.5</v>
      </c>
      <c r="G1167">
        <v>3.15</v>
      </c>
      <c r="H1167">
        <v>1.2</v>
      </c>
      <c r="I1167" t="s">
        <v>19</v>
      </c>
      <c r="J1167">
        <v>8</v>
      </c>
      <c r="K1167">
        <v>7</v>
      </c>
      <c r="L1167">
        <v>7</v>
      </c>
      <c r="M1167">
        <v>0</v>
      </c>
    </row>
    <row r="1168" spans="1:13" x14ac:dyDescent="0.3">
      <c r="A1168">
        <v>17</v>
      </c>
      <c r="B1168" t="s">
        <v>16</v>
      </c>
      <c r="C1168">
        <v>7.6</v>
      </c>
      <c r="D1168" t="s">
        <v>20</v>
      </c>
      <c r="E1168">
        <v>7.1</v>
      </c>
      <c r="F1168">
        <v>1.1000000000000001</v>
      </c>
      <c r="G1168">
        <v>2.0699999999999998</v>
      </c>
      <c r="H1168">
        <v>1.9</v>
      </c>
      <c r="I1168" t="s">
        <v>18</v>
      </c>
      <c r="J1168">
        <v>3</v>
      </c>
      <c r="K1168">
        <v>2</v>
      </c>
      <c r="L1168">
        <v>6</v>
      </c>
      <c r="M1168">
        <v>0</v>
      </c>
    </row>
    <row r="1169" spans="1:13" x14ac:dyDescent="0.3">
      <c r="A1169">
        <v>13</v>
      </c>
      <c r="B1169" t="s">
        <v>13</v>
      </c>
      <c r="C1169">
        <v>1.3</v>
      </c>
      <c r="D1169" t="s">
        <v>17</v>
      </c>
      <c r="E1169">
        <v>4.4000000000000004</v>
      </c>
      <c r="F1169">
        <v>0.9</v>
      </c>
      <c r="G1169">
        <v>2.99</v>
      </c>
      <c r="H1169">
        <v>0</v>
      </c>
      <c r="I1169" t="s">
        <v>18</v>
      </c>
      <c r="J1169">
        <v>8</v>
      </c>
      <c r="K1169">
        <v>2</v>
      </c>
      <c r="L1169">
        <v>5</v>
      </c>
      <c r="M1169">
        <v>0</v>
      </c>
    </row>
    <row r="1170" spans="1:13" x14ac:dyDescent="0.3">
      <c r="A1170">
        <v>16</v>
      </c>
      <c r="B1170" t="s">
        <v>13</v>
      </c>
      <c r="C1170">
        <v>7.3</v>
      </c>
      <c r="D1170" t="s">
        <v>17</v>
      </c>
      <c r="E1170">
        <v>7</v>
      </c>
      <c r="F1170">
        <v>2.2000000000000002</v>
      </c>
      <c r="G1170">
        <v>2.0699999999999998</v>
      </c>
      <c r="H1170">
        <v>1</v>
      </c>
      <c r="I1170" t="s">
        <v>19</v>
      </c>
      <c r="J1170">
        <v>3</v>
      </c>
      <c r="K1170">
        <v>7</v>
      </c>
      <c r="L1170">
        <v>1</v>
      </c>
      <c r="M1170">
        <v>0</v>
      </c>
    </row>
    <row r="1171" spans="1:13" x14ac:dyDescent="0.3">
      <c r="A1171">
        <v>18</v>
      </c>
      <c r="B1171" t="s">
        <v>13</v>
      </c>
      <c r="C1171">
        <v>4.3</v>
      </c>
      <c r="D1171" t="s">
        <v>14</v>
      </c>
      <c r="E1171">
        <v>6.7</v>
      </c>
      <c r="F1171">
        <v>2.5</v>
      </c>
      <c r="G1171">
        <v>3.19</v>
      </c>
      <c r="H1171">
        <v>1</v>
      </c>
      <c r="I1171" t="s">
        <v>18</v>
      </c>
      <c r="J1171">
        <v>5</v>
      </c>
      <c r="K1171">
        <v>5</v>
      </c>
      <c r="L1171">
        <v>5</v>
      </c>
      <c r="M1171">
        <v>0</v>
      </c>
    </row>
    <row r="1172" spans="1:13" x14ac:dyDescent="0.3">
      <c r="A1172">
        <v>16</v>
      </c>
      <c r="B1172" t="s">
        <v>13</v>
      </c>
      <c r="C1172">
        <v>7.1</v>
      </c>
      <c r="D1172" t="s">
        <v>17</v>
      </c>
      <c r="E1172">
        <v>7.7</v>
      </c>
      <c r="F1172">
        <v>1.9</v>
      </c>
      <c r="G1172">
        <v>2.2400000000000002</v>
      </c>
      <c r="H1172">
        <v>0.6</v>
      </c>
      <c r="I1172" t="s">
        <v>18</v>
      </c>
      <c r="J1172">
        <v>8</v>
      </c>
      <c r="K1172">
        <v>10</v>
      </c>
      <c r="L1172">
        <v>5</v>
      </c>
      <c r="M1172">
        <v>0</v>
      </c>
    </row>
    <row r="1173" spans="1:13" x14ac:dyDescent="0.3">
      <c r="A1173">
        <v>14</v>
      </c>
      <c r="B1173" t="s">
        <v>16</v>
      </c>
      <c r="C1173">
        <v>5.7</v>
      </c>
      <c r="D1173" t="s">
        <v>17</v>
      </c>
      <c r="E1173">
        <v>6.4</v>
      </c>
      <c r="F1173">
        <v>1.9</v>
      </c>
      <c r="G1173">
        <v>3.3</v>
      </c>
      <c r="H1173">
        <v>1.3</v>
      </c>
      <c r="I1173" t="s">
        <v>18</v>
      </c>
      <c r="J1173">
        <v>6</v>
      </c>
      <c r="K1173">
        <v>8</v>
      </c>
      <c r="L1173">
        <v>5</v>
      </c>
      <c r="M1173">
        <v>0</v>
      </c>
    </row>
    <row r="1174" spans="1:13" x14ac:dyDescent="0.3">
      <c r="A1174">
        <v>18</v>
      </c>
      <c r="B1174" t="s">
        <v>16</v>
      </c>
      <c r="C1174">
        <v>5.2</v>
      </c>
      <c r="D1174" t="s">
        <v>20</v>
      </c>
      <c r="E1174">
        <v>7.3</v>
      </c>
      <c r="F1174">
        <v>1.7</v>
      </c>
      <c r="G1174">
        <v>3.33</v>
      </c>
      <c r="H1174">
        <v>0.9</v>
      </c>
      <c r="I1174" t="s">
        <v>15</v>
      </c>
      <c r="J1174">
        <v>7</v>
      </c>
      <c r="K1174">
        <v>4</v>
      </c>
      <c r="L1174">
        <v>9</v>
      </c>
      <c r="M1174">
        <v>0</v>
      </c>
    </row>
    <row r="1175" spans="1:13" x14ac:dyDescent="0.3">
      <c r="A1175">
        <v>17</v>
      </c>
      <c r="B1175" t="s">
        <v>13</v>
      </c>
      <c r="C1175">
        <v>3.1</v>
      </c>
      <c r="D1175" t="s">
        <v>17</v>
      </c>
      <c r="E1175">
        <v>7.7</v>
      </c>
      <c r="F1175">
        <v>2.2000000000000002</v>
      </c>
      <c r="G1175">
        <v>3.72</v>
      </c>
      <c r="H1175">
        <v>1.4</v>
      </c>
      <c r="I1175" t="s">
        <v>19</v>
      </c>
      <c r="J1175">
        <v>1</v>
      </c>
      <c r="K1175">
        <v>5</v>
      </c>
      <c r="L1175">
        <v>8</v>
      </c>
      <c r="M1175">
        <v>0</v>
      </c>
    </row>
    <row r="1176" spans="1:13" x14ac:dyDescent="0.3">
      <c r="A1176">
        <v>13</v>
      </c>
      <c r="B1176" t="s">
        <v>13</v>
      </c>
      <c r="C1176">
        <v>3</v>
      </c>
      <c r="D1176" t="s">
        <v>20</v>
      </c>
      <c r="E1176">
        <v>6.2</v>
      </c>
      <c r="F1176">
        <v>0.8</v>
      </c>
      <c r="G1176">
        <v>3.96</v>
      </c>
      <c r="H1176">
        <v>1.1000000000000001</v>
      </c>
      <c r="I1176" t="s">
        <v>15</v>
      </c>
      <c r="J1176">
        <v>9</v>
      </c>
      <c r="K1176">
        <v>10</v>
      </c>
      <c r="L1176">
        <v>3</v>
      </c>
      <c r="M1176">
        <v>0</v>
      </c>
    </row>
    <row r="1177" spans="1:13" x14ac:dyDescent="0.3">
      <c r="A1177">
        <v>17</v>
      </c>
      <c r="B1177" t="s">
        <v>16</v>
      </c>
      <c r="C1177">
        <v>6</v>
      </c>
      <c r="D1177" t="s">
        <v>20</v>
      </c>
      <c r="E1177">
        <v>4.2</v>
      </c>
      <c r="F1177">
        <v>2.2000000000000002</v>
      </c>
      <c r="G1177">
        <v>2.27</v>
      </c>
      <c r="H1177">
        <v>0.5</v>
      </c>
      <c r="I1177" t="s">
        <v>19</v>
      </c>
      <c r="J1177">
        <v>1</v>
      </c>
      <c r="K1177">
        <v>4</v>
      </c>
      <c r="L1177">
        <v>5</v>
      </c>
      <c r="M1177">
        <v>0</v>
      </c>
    </row>
    <row r="1178" spans="1:13" x14ac:dyDescent="0.3">
      <c r="A1178">
        <v>13</v>
      </c>
      <c r="B1178" t="s">
        <v>13</v>
      </c>
      <c r="C1178">
        <v>5.9</v>
      </c>
      <c r="D1178" t="s">
        <v>14</v>
      </c>
      <c r="E1178">
        <v>8.6</v>
      </c>
      <c r="F1178">
        <v>1.9</v>
      </c>
      <c r="G1178">
        <v>3.88</v>
      </c>
      <c r="H1178">
        <v>0.2</v>
      </c>
      <c r="I1178" t="s">
        <v>19</v>
      </c>
      <c r="J1178">
        <v>1</v>
      </c>
      <c r="K1178">
        <v>6</v>
      </c>
      <c r="L1178">
        <v>9</v>
      </c>
      <c r="M1178">
        <v>0</v>
      </c>
    </row>
    <row r="1179" spans="1:13" x14ac:dyDescent="0.3">
      <c r="A1179">
        <v>15</v>
      </c>
      <c r="B1179" t="s">
        <v>13</v>
      </c>
      <c r="C1179">
        <v>5.0999999999999996</v>
      </c>
      <c r="D1179" t="s">
        <v>17</v>
      </c>
      <c r="E1179">
        <v>5.5</v>
      </c>
      <c r="F1179">
        <v>0.7</v>
      </c>
      <c r="G1179">
        <v>2.13</v>
      </c>
      <c r="H1179">
        <v>0.5</v>
      </c>
      <c r="I1179" t="s">
        <v>19</v>
      </c>
      <c r="J1179">
        <v>6</v>
      </c>
      <c r="K1179">
        <v>10</v>
      </c>
      <c r="L1179">
        <v>8</v>
      </c>
      <c r="M1179">
        <v>0</v>
      </c>
    </row>
    <row r="1180" spans="1:13" x14ac:dyDescent="0.3">
      <c r="A1180">
        <v>19</v>
      </c>
      <c r="B1180" t="s">
        <v>16</v>
      </c>
      <c r="C1180">
        <v>3.5</v>
      </c>
      <c r="D1180" t="s">
        <v>14</v>
      </c>
      <c r="E1180">
        <v>4.9000000000000004</v>
      </c>
      <c r="F1180">
        <v>0.5</v>
      </c>
      <c r="G1180">
        <v>3.68</v>
      </c>
      <c r="H1180">
        <v>1.7</v>
      </c>
      <c r="I1180" t="s">
        <v>18</v>
      </c>
      <c r="J1180">
        <v>8</v>
      </c>
      <c r="K1180">
        <v>4</v>
      </c>
      <c r="L1180">
        <v>3</v>
      </c>
      <c r="M1180">
        <v>0</v>
      </c>
    </row>
    <row r="1181" spans="1:13" x14ac:dyDescent="0.3">
      <c r="A1181">
        <v>16</v>
      </c>
      <c r="B1181" t="s">
        <v>13</v>
      </c>
      <c r="C1181">
        <v>5.3</v>
      </c>
      <c r="D1181" t="s">
        <v>17</v>
      </c>
      <c r="E1181">
        <v>5.3</v>
      </c>
      <c r="F1181">
        <v>2.4</v>
      </c>
      <c r="G1181">
        <v>3.01</v>
      </c>
      <c r="H1181">
        <v>1.6</v>
      </c>
      <c r="I1181" t="s">
        <v>19</v>
      </c>
      <c r="J1181">
        <v>2</v>
      </c>
      <c r="K1181">
        <v>9</v>
      </c>
      <c r="L1181">
        <v>1</v>
      </c>
      <c r="M1181">
        <v>0</v>
      </c>
    </row>
    <row r="1182" spans="1:13" x14ac:dyDescent="0.3">
      <c r="A1182">
        <v>13</v>
      </c>
      <c r="B1182" t="s">
        <v>16</v>
      </c>
      <c r="C1182">
        <v>4.0999999999999996</v>
      </c>
      <c r="D1182" t="s">
        <v>14</v>
      </c>
      <c r="E1182">
        <v>7.5</v>
      </c>
      <c r="F1182">
        <v>1.7</v>
      </c>
      <c r="G1182">
        <v>3.12</v>
      </c>
      <c r="H1182">
        <v>2</v>
      </c>
      <c r="I1182" t="s">
        <v>19</v>
      </c>
      <c r="J1182">
        <v>1</v>
      </c>
      <c r="K1182">
        <v>4</v>
      </c>
      <c r="L1182">
        <v>9</v>
      </c>
      <c r="M1182">
        <v>0</v>
      </c>
    </row>
    <row r="1183" spans="1:13" x14ac:dyDescent="0.3">
      <c r="A1183">
        <v>18</v>
      </c>
      <c r="B1183" t="s">
        <v>13</v>
      </c>
      <c r="C1183">
        <v>4.0999999999999996</v>
      </c>
      <c r="D1183" t="s">
        <v>14</v>
      </c>
      <c r="E1183">
        <v>6.7</v>
      </c>
      <c r="F1183">
        <v>2.1</v>
      </c>
      <c r="G1183">
        <v>2.5</v>
      </c>
      <c r="H1183">
        <v>0.1</v>
      </c>
      <c r="I1183" t="s">
        <v>19</v>
      </c>
      <c r="J1183">
        <v>8</v>
      </c>
      <c r="K1183">
        <v>1</v>
      </c>
      <c r="L1183">
        <v>5</v>
      </c>
      <c r="M1183">
        <v>0</v>
      </c>
    </row>
    <row r="1184" spans="1:13" x14ac:dyDescent="0.3">
      <c r="A1184">
        <v>15</v>
      </c>
      <c r="B1184" t="s">
        <v>13</v>
      </c>
      <c r="C1184">
        <v>6.3</v>
      </c>
      <c r="D1184" t="s">
        <v>17</v>
      </c>
      <c r="E1184">
        <v>6.8</v>
      </c>
      <c r="F1184">
        <v>1.8</v>
      </c>
      <c r="G1184">
        <v>2.59</v>
      </c>
      <c r="H1184">
        <v>1.9</v>
      </c>
      <c r="I1184" t="s">
        <v>18</v>
      </c>
      <c r="J1184">
        <v>10</v>
      </c>
      <c r="K1184">
        <v>5</v>
      </c>
      <c r="L1184">
        <v>5</v>
      </c>
      <c r="M1184">
        <v>0</v>
      </c>
    </row>
    <row r="1185" spans="1:13" x14ac:dyDescent="0.3">
      <c r="A1185">
        <v>19</v>
      </c>
      <c r="B1185" t="s">
        <v>16</v>
      </c>
      <c r="C1185">
        <v>6.6</v>
      </c>
      <c r="D1185" t="s">
        <v>20</v>
      </c>
      <c r="E1185">
        <v>9</v>
      </c>
      <c r="F1185">
        <v>2.9</v>
      </c>
      <c r="G1185">
        <v>2.4700000000000002</v>
      </c>
      <c r="H1185">
        <v>1.7</v>
      </c>
      <c r="I1185" t="s">
        <v>19</v>
      </c>
      <c r="J1185">
        <v>3</v>
      </c>
      <c r="K1185">
        <v>7</v>
      </c>
      <c r="L1185">
        <v>9</v>
      </c>
      <c r="M1185">
        <v>0</v>
      </c>
    </row>
    <row r="1186" spans="1:13" x14ac:dyDescent="0.3">
      <c r="A1186">
        <v>19</v>
      </c>
      <c r="B1186" t="s">
        <v>13</v>
      </c>
      <c r="C1186">
        <v>1.4</v>
      </c>
      <c r="D1186" t="s">
        <v>20</v>
      </c>
      <c r="E1186">
        <v>4.5</v>
      </c>
      <c r="F1186">
        <v>2.2999999999999998</v>
      </c>
      <c r="G1186">
        <v>3.9</v>
      </c>
      <c r="H1186">
        <v>0</v>
      </c>
      <c r="I1186" t="s">
        <v>19</v>
      </c>
      <c r="J1186">
        <v>2</v>
      </c>
      <c r="K1186">
        <v>8</v>
      </c>
      <c r="L1186">
        <v>10</v>
      </c>
      <c r="M1186">
        <v>0</v>
      </c>
    </row>
    <row r="1187" spans="1:13" x14ac:dyDescent="0.3">
      <c r="A1187">
        <v>19</v>
      </c>
      <c r="B1187" t="s">
        <v>13</v>
      </c>
      <c r="C1187">
        <v>2.4</v>
      </c>
      <c r="D1187" t="s">
        <v>17</v>
      </c>
      <c r="E1187">
        <v>9</v>
      </c>
      <c r="F1187">
        <v>2.4</v>
      </c>
      <c r="G1187">
        <v>3.13</v>
      </c>
      <c r="H1187">
        <v>0.5</v>
      </c>
      <c r="I1187" t="s">
        <v>18</v>
      </c>
      <c r="J1187">
        <v>5</v>
      </c>
      <c r="K1187">
        <v>3</v>
      </c>
      <c r="L1187">
        <v>3</v>
      </c>
      <c r="M1187">
        <v>0</v>
      </c>
    </row>
    <row r="1188" spans="1:13" x14ac:dyDescent="0.3">
      <c r="A1188">
        <v>18</v>
      </c>
      <c r="B1188" t="s">
        <v>13</v>
      </c>
      <c r="C1188">
        <v>1.6</v>
      </c>
      <c r="D1188" t="s">
        <v>20</v>
      </c>
      <c r="E1188">
        <v>5.4</v>
      </c>
      <c r="F1188">
        <v>2</v>
      </c>
      <c r="G1188">
        <v>3.2</v>
      </c>
      <c r="H1188">
        <v>1.8</v>
      </c>
      <c r="I1188" t="s">
        <v>15</v>
      </c>
      <c r="J1188">
        <v>8</v>
      </c>
      <c r="K1188">
        <v>8</v>
      </c>
      <c r="L1188">
        <v>3</v>
      </c>
      <c r="M1188">
        <v>0</v>
      </c>
    </row>
    <row r="1189" spans="1:13" x14ac:dyDescent="0.3">
      <c r="A1189">
        <v>18</v>
      </c>
      <c r="B1189" t="s">
        <v>13</v>
      </c>
      <c r="C1189">
        <v>2</v>
      </c>
      <c r="D1189" t="s">
        <v>14</v>
      </c>
      <c r="E1189">
        <v>8.9</v>
      </c>
      <c r="F1189">
        <v>0.8</v>
      </c>
      <c r="G1189">
        <v>2.96</v>
      </c>
      <c r="H1189">
        <v>0.5</v>
      </c>
      <c r="I1189" t="s">
        <v>19</v>
      </c>
      <c r="J1189">
        <v>6</v>
      </c>
      <c r="K1189">
        <v>2</v>
      </c>
      <c r="L1189">
        <v>2</v>
      </c>
      <c r="M1189">
        <v>0</v>
      </c>
    </row>
    <row r="1190" spans="1:13" x14ac:dyDescent="0.3">
      <c r="A1190">
        <v>17</v>
      </c>
      <c r="B1190" t="s">
        <v>16</v>
      </c>
      <c r="C1190">
        <v>7.4</v>
      </c>
      <c r="D1190" t="s">
        <v>14</v>
      </c>
      <c r="E1190">
        <v>7.4</v>
      </c>
      <c r="F1190">
        <v>2</v>
      </c>
      <c r="G1190">
        <v>3.76</v>
      </c>
      <c r="H1190">
        <v>1.7</v>
      </c>
      <c r="I1190" t="s">
        <v>18</v>
      </c>
      <c r="J1190">
        <v>10</v>
      </c>
      <c r="K1190">
        <v>1</v>
      </c>
      <c r="L1190">
        <v>4</v>
      </c>
      <c r="M1190">
        <v>0</v>
      </c>
    </row>
    <row r="1191" spans="1:13" x14ac:dyDescent="0.3">
      <c r="A1191">
        <v>14</v>
      </c>
      <c r="B1191" t="s">
        <v>16</v>
      </c>
      <c r="C1191">
        <v>1.6</v>
      </c>
      <c r="D1191" t="s">
        <v>17</v>
      </c>
      <c r="E1191">
        <v>4.8</v>
      </c>
      <c r="F1191">
        <v>2.4</v>
      </c>
      <c r="G1191">
        <v>2.97</v>
      </c>
      <c r="H1191">
        <v>1.9</v>
      </c>
      <c r="I1191" t="s">
        <v>15</v>
      </c>
      <c r="J1191">
        <v>9</v>
      </c>
      <c r="K1191">
        <v>9</v>
      </c>
      <c r="L1191">
        <v>10</v>
      </c>
      <c r="M1191">
        <v>0</v>
      </c>
    </row>
    <row r="1192" spans="1:13" x14ac:dyDescent="0.3">
      <c r="A1192">
        <v>17</v>
      </c>
      <c r="B1192" t="s">
        <v>16</v>
      </c>
      <c r="C1192">
        <v>3.8</v>
      </c>
      <c r="D1192" t="s">
        <v>14</v>
      </c>
      <c r="E1192">
        <v>8.4</v>
      </c>
      <c r="F1192">
        <v>0.9</v>
      </c>
      <c r="G1192">
        <v>3.6</v>
      </c>
      <c r="H1192">
        <v>1.9</v>
      </c>
      <c r="I1192" t="s">
        <v>18</v>
      </c>
      <c r="J1192">
        <v>1</v>
      </c>
      <c r="K1192">
        <v>2</v>
      </c>
      <c r="L1192">
        <v>2</v>
      </c>
      <c r="M1192">
        <v>0</v>
      </c>
    </row>
    <row r="1193" spans="1:13" x14ac:dyDescent="0.3">
      <c r="A1193">
        <v>19</v>
      </c>
      <c r="B1193" t="s">
        <v>13</v>
      </c>
      <c r="C1193">
        <v>8</v>
      </c>
      <c r="D1193" t="s">
        <v>17</v>
      </c>
      <c r="E1193">
        <v>4.7</v>
      </c>
      <c r="F1193">
        <v>0.5</v>
      </c>
      <c r="G1193">
        <v>2.1800000000000002</v>
      </c>
      <c r="H1193">
        <v>0.6</v>
      </c>
      <c r="I1193" t="s">
        <v>19</v>
      </c>
      <c r="J1193">
        <v>8</v>
      </c>
      <c r="K1193">
        <v>8</v>
      </c>
      <c r="L1193">
        <v>6</v>
      </c>
      <c r="M1193">
        <v>1</v>
      </c>
    </row>
    <row r="1194" spans="1:13" x14ac:dyDescent="0.3">
      <c r="A1194">
        <v>13</v>
      </c>
      <c r="B1194" t="s">
        <v>13</v>
      </c>
      <c r="C1194">
        <v>7.8</v>
      </c>
      <c r="D1194" t="s">
        <v>17</v>
      </c>
      <c r="E1194">
        <v>5.9</v>
      </c>
      <c r="F1194">
        <v>1.5</v>
      </c>
      <c r="G1194">
        <v>3.31</v>
      </c>
      <c r="H1194">
        <v>1.9</v>
      </c>
      <c r="I1194" t="s">
        <v>18</v>
      </c>
      <c r="J1194">
        <v>10</v>
      </c>
      <c r="K1194">
        <v>1</v>
      </c>
      <c r="L1194">
        <v>10</v>
      </c>
      <c r="M1194">
        <v>0</v>
      </c>
    </row>
    <row r="1195" spans="1:13" x14ac:dyDescent="0.3">
      <c r="A1195">
        <v>13</v>
      </c>
      <c r="B1195" t="s">
        <v>16</v>
      </c>
      <c r="C1195">
        <v>7.2</v>
      </c>
      <c r="D1195" t="s">
        <v>14</v>
      </c>
      <c r="E1195">
        <v>8.1</v>
      </c>
      <c r="F1195">
        <v>2.1</v>
      </c>
      <c r="G1195">
        <v>2.52</v>
      </c>
      <c r="H1195">
        <v>0.4</v>
      </c>
      <c r="I1195" t="s">
        <v>19</v>
      </c>
      <c r="J1195">
        <v>3</v>
      </c>
      <c r="K1195">
        <v>3</v>
      </c>
      <c r="L1195">
        <v>7</v>
      </c>
      <c r="M1195">
        <v>0</v>
      </c>
    </row>
    <row r="1196" spans="1:13" x14ac:dyDescent="0.3">
      <c r="A1196">
        <v>17</v>
      </c>
      <c r="B1196" t="s">
        <v>13</v>
      </c>
      <c r="C1196">
        <v>2</v>
      </c>
      <c r="D1196" t="s">
        <v>20</v>
      </c>
      <c r="E1196">
        <v>4.5</v>
      </c>
      <c r="F1196">
        <v>1.7</v>
      </c>
      <c r="G1196">
        <v>2.65</v>
      </c>
      <c r="H1196">
        <v>0</v>
      </c>
      <c r="I1196" t="s">
        <v>19</v>
      </c>
      <c r="J1196">
        <v>9</v>
      </c>
      <c r="K1196">
        <v>4</v>
      </c>
      <c r="L1196">
        <v>2</v>
      </c>
      <c r="M1196">
        <v>0</v>
      </c>
    </row>
    <row r="1197" spans="1:13" x14ac:dyDescent="0.3">
      <c r="A1197">
        <v>18</v>
      </c>
      <c r="B1197" t="s">
        <v>16</v>
      </c>
      <c r="C1197">
        <v>6.8</v>
      </c>
      <c r="D1197" t="s">
        <v>14</v>
      </c>
      <c r="E1197">
        <v>6.6</v>
      </c>
      <c r="F1197">
        <v>2</v>
      </c>
      <c r="G1197">
        <v>2.76</v>
      </c>
      <c r="H1197">
        <v>1</v>
      </c>
      <c r="I1197" t="s">
        <v>15</v>
      </c>
      <c r="J1197">
        <v>3</v>
      </c>
      <c r="K1197">
        <v>4</v>
      </c>
      <c r="L1197">
        <v>4</v>
      </c>
      <c r="M1197">
        <v>0</v>
      </c>
    </row>
    <row r="1198" spans="1:13" x14ac:dyDescent="0.3">
      <c r="A1198">
        <v>16</v>
      </c>
      <c r="B1198" t="s">
        <v>13</v>
      </c>
      <c r="C1198">
        <v>2.2999999999999998</v>
      </c>
      <c r="D1198" t="s">
        <v>20</v>
      </c>
      <c r="E1198">
        <v>8</v>
      </c>
      <c r="F1198">
        <v>1.9</v>
      </c>
      <c r="G1198">
        <v>2.12</v>
      </c>
      <c r="H1198">
        <v>0.4</v>
      </c>
      <c r="I1198" t="s">
        <v>18</v>
      </c>
      <c r="J1198">
        <v>7</v>
      </c>
      <c r="K1198">
        <v>4</v>
      </c>
      <c r="L1198">
        <v>4</v>
      </c>
      <c r="M1198">
        <v>0</v>
      </c>
    </row>
    <row r="1199" spans="1:13" x14ac:dyDescent="0.3">
      <c r="A1199">
        <v>14</v>
      </c>
      <c r="B1199" t="s">
        <v>16</v>
      </c>
      <c r="C1199">
        <v>1.7</v>
      </c>
      <c r="D1199" t="s">
        <v>20</v>
      </c>
      <c r="E1199">
        <v>8.6999999999999993</v>
      </c>
      <c r="F1199">
        <v>0.7</v>
      </c>
      <c r="G1199">
        <v>3.98</v>
      </c>
      <c r="H1199">
        <v>0.8</v>
      </c>
      <c r="I1199" t="s">
        <v>18</v>
      </c>
      <c r="J1199">
        <v>1</v>
      </c>
      <c r="K1199">
        <v>1</v>
      </c>
      <c r="L1199">
        <v>1</v>
      </c>
      <c r="M1199">
        <v>0</v>
      </c>
    </row>
    <row r="1200" spans="1:13" x14ac:dyDescent="0.3">
      <c r="A1200">
        <v>15</v>
      </c>
      <c r="B1200" t="s">
        <v>13</v>
      </c>
      <c r="C1200">
        <v>3.9</v>
      </c>
      <c r="D1200" t="s">
        <v>20</v>
      </c>
      <c r="E1200">
        <v>8.5</v>
      </c>
      <c r="F1200">
        <v>2.1</v>
      </c>
      <c r="G1200">
        <v>3.19</v>
      </c>
      <c r="H1200">
        <v>0.6</v>
      </c>
      <c r="I1200" t="s">
        <v>18</v>
      </c>
      <c r="J1200">
        <v>7</v>
      </c>
      <c r="K1200">
        <v>9</v>
      </c>
      <c r="L1200">
        <v>9</v>
      </c>
      <c r="M1200">
        <v>0</v>
      </c>
    </row>
    <row r="1201" spans="1:13" x14ac:dyDescent="0.3">
      <c r="A1201">
        <v>16</v>
      </c>
      <c r="B1201" t="s">
        <v>16</v>
      </c>
      <c r="C1201">
        <v>4.7</v>
      </c>
      <c r="D1201" t="s">
        <v>17</v>
      </c>
      <c r="E1201">
        <v>6.5</v>
      </c>
      <c r="F1201">
        <v>1</v>
      </c>
      <c r="G1201">
        <v>2.91</v>
      </c>
      <c r="H1201">
        <v>0.9</v>
      </c>
      <c r="I1201" t="s">
        <v>19</v>
      </c>
      <c r="J1201">
        <v>5</v>
      </c>
      <c r="K1201">
        <v>7</v>
      </c>
      <c r="L1201">
        <v>3</v>
      </c>
      <c r="M12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9A7DD-EE7B-49B4-B1EE-90FEF824DE6A}">
  <dimension ref="A1:P1201"/>
  <sheetViews>
    <sheetView topLeftCell="E1" workbookViewId="0">
      <selection sqref="A1:P1"/>
    </sheetView>
  </sheetViews>
  <sheetFormatPr defaultColWidth="16.5546875" defaultRowHeight="14.4" x14ac:dyDescent="0.3"/>
  <cols>
    <col min="16" max="16" width="36.55468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21</v>
      </c>
      <c r="O1" t="s">
        <v>22</v>
      </c>
      <c r="P1" t="s">
        <v>23</v>
      </c>
    </row>
    <row r="2" spans="1:16" x14ac:dyDescent="0.3">
      <c r="A2">
        <v>14</v>
      </c>
      <c r="B2" t="s">
        <v>13</v>
      </c>
      <c r="D2" t="s">
        <v>14</v>
      </c>
      <c r="E2">
        <v>7.4</v>
      </c>
      <c r="F2">
        <v>2.9</v>
      </c>
      <c r="G2">
        <v>3.01</v>
      </c>
      <c r="H2">
        <v>1.5</v>
      </c>
      <c r="I2" t="s">
        <v>15</v>
      </c>
      <c r="J2">
        <v>2</v>
      </c>
      <c r="K2">
        <v>2</v>
      </c>
      <c r="L2">
        <v>1</v>
      </c>
      <c r="M2">
        <v>0</v>
      </c>
      <c r="N2" t="str">
        <f>IF(A2&lt;=15,"13-15","16-19")</f>
        <v>13-15</v>
      </c>
      <c r="O2" t="str">
        <f>IF(E2&lt;=6,"low sleep","healthy sleep")</f>
        <v>healthy sleep</v>
      </c>
      <c r="P2" s="1" t="str" cm="1">
        <f t="array" ref="P2">_xlfn.IFS(L2&lt;=3,"low",L2&lt;=6,"medium",L2&gt;=7,"high")</f>
        <v>low</v>
      </c>
    </row>
    <row r="3" spans="1:16" x14ac:dyDescent="0.3">
      <c r="A3">
        <v>19</v>
      </c>
      <c r="B3" t="s">
        <v>16</v>
      </c>
      <c r="C3">
        <v>1.9</v>
      </c>
      <c r="D3" t="s">
        <v>17</v>
      </c>
      <c r="E3">
        <v>8</v>
      </c>
      <c r="F3">
        <v>2.9</v>
      </c>
      <c r="G3">
        <v>3.22</v>
      </c>
      <c r="H3">
        <v>0.8</v>
      </c>
      <c r="I3" t="s">
        <v>18</v>
      </c>
      <c r="J3">
        <v>8</v>
      </c>
      <c r="K3">
        <v>1</v>
      </c>
      <c r="L3">
        <v>10</v>
      </c>
      <c r="M3">
        <v>0</v>
      </c>
      <c r="N3" t="str">
        <f t="shared" ref="N3:N66" si="0">IF(A3&lt;=15,"13-15","16-19")</f>
        <v>16-19</v>
      </c>
      <c r="O3" t="str">
        <f t="shared" ref="O3:O10" si="1">IF(E3&lt;=6,"low sleep","healthy sleep")</f>
        <v>healthy sleep</v>
      </c>
      <c r="P3" s="1" t="str" cm="1">
        <f t="array" ref="P3">_xlfn.IFS(L3&lt;=3,"low",L3&lt;=6,"medium",L3&gt;=7,"high")</f>
        <v>high</v>
      </c>
    </row>
    <row r="4" spans="1:16" x14ac:dyDescent="0.3">
      <c r="A4">
        <v>17</v>
      </c>
      <c r="B4" t="s">
        <v>16</v>
      </c>
      <c r="C4">
        <v>1.3</v>
      </c>
      <c r="D4" t="s">
        <v>14</v>
      </c>
      <c r="E4">
        <v>7.6</v>
      </c>
      <c r="F4">
        <v>0.5</v>
      </c>
      <c r="G4">
        <v>3.92</v>
      </c>
      <c r="H4">
        <v>0</v>
      </c>
      <c r="I4" t="s">
        <v>18</v>
      </c>
      <c r="J4">
        <v>2</v>
      </c>
      <c r="K4">
        <v>4</v>
      </c>
      <c r="L4">
        <v>2</v>
      </c>
      <c r="M4">
        <v>0</v>
      </c>
      <c r="N4" t="str">
        <f t="shared" si="0"/>
        <v>16-19</v>
      </c>
      <c r="O4" t="str">
        <f t="shared" si="1"/>
        <v>healthy sleep</v>
      </c>
      <c r="P4" s="1" t="str" cm="1">
        <f t="array" ref="P4">_xlfn.IFS(L4&lt;=3,"low",L4&lt;=6,"medium",L4&gt;=7,"high")</f>
        <v>low</v>
      </c>
    </row>
    <row r="5" spans="1:16" x14ac:dyDescent="0.3">
      <c r="A5">
        <v>15</v>
      </c>
      <c r="B5" t="s">
        <v>13</v>
      </c>
      <c r="C5">
        <v>7.4</v>
      </c>
      <c r="D5" t="s">
        <v>17</v>
      </c>
      <c r="E5">
        <v>6.9</v>
      </c>
      <c r="F5">
        <v>1.6</v>
      </c>
      <c r="G5">
        <v>3.48</v>
      </c>
      <c r="H5">
        <v>0.8</v>
      </c>
      <c r="I5" t="s">
        <v>19</v>
      </c>
      <c r="J5">
        <v>1</v>
      </c>
      <c r="K5">
        <v>7</v>
      </c>
      <c r="L5">
        <v>9</v>
      </c>
      <c r="M5">
        <v>0</v>
      </c>
      <c r="N5" t="str">
        <f t="shared" si="0"/>
        <v>13-15</v>
      </c>
      <c r="O5" t="str">
        <f t="shared" si="1"/>
        <v>healthy sleep</v>
      </c>
      <c r="P5" s="1" t="str" cm="1">
        <f t="array" ref="P5">_xlfn.IFS(L5&lt;=3,"low",L5&lt;=6,"medium",L5&gt;=7,"high")</f>
        <v>high</v>
      </c>
    </row>
    <row r="6" spans="1:16" x14ac:dyDescent="0.3">
      <c r="A6">
        <v>15</v>
      </c>
      <c r="B6" t="s">
        <v>16</v>
      </c>
      <c r="C6">
        <v>4.7</v>
      </c>
      <c r="D6" t="s">
        <v>20</v>
      </c>
      <c r="E6">
        <v>4.9000000000000004</v>
      </c>
      <c r="F6">
        <v>3</v>
      </c>
      <c r="G6">
        <v>2.37</v>
      </c>
      <c r="H6">
        <v>1.4</v>
      </c>
      <c r="I6" t="s">
        <v>19</v>
      </c>
      <c r="J6">
        <v>3</v>
      </c>
      <c r="K6">
        <v>5</v>
      </c>
      <c r="L6">
        <v>2</v>
      </c>
      <c r="M6">
        <v>0</v>
      </c>
      <c r="N6" t="str">
        <f t="shared" si="0"/>
        <v>13-15</v>
      </c>
      <c r="O6" t="str">
        <f t="shared" si="1"/>
        <v>low sleep</v>
      </c>
      <c r="P6" s="1" t="str" cm="1">
        <f t="array" ref="P6">_xlfn.IFS(L6&lt;=3,"low",L6&lt;=6,"medium",L6&gt;=7,"high")</f>
        <v>low</v>
      </c>
    </row>
    <row r="7" spans="1:16" x14ac:dyDescent="0.3">
      <c r="A7">
        <v>19</v>
      </c>
      <c r="B7" t="s">
        <v>16</v>
      </c>
      <c r="C7">
        <v>7.4</v>
      </c>
      <c r="D7" t="s">
        <v>20</v>
      </c>
      <c r="E7">
        <v>4.4000000000000004</v>
      </c>
      <c r="F7">
        <v>2.4</v>
      </c>
      <c r="G7">
        <v>2.63</v>
      </c>
      <c r="H7">
        <v>0.6</v>
      </c>
      <c r="I7" t="s">
        <v>18</v>
      </c>
      <c r="J7">
        <v>3</v>
      </c>
      <c r="K7">
        <v>5</v>
      </c>
      <c r="L7">
        <v>7</v>
      </c>
      <c r="M7">
        <v>0</v>
      </c>
      <c r="N7" t="str">
        <f t="shared" si="0"/>
        <v>16-19</v>
      </c>
      <c r="O7" t="str">
        <f t="shared" si="1"/>
        <v>low sleep</v>
      </c>
      <c r="P7" s="1" t="str" cm="1">
        <f t="array" ref="P7">_xlfn.IFS(L7&lt;=3,"low",L7&lt;=6,"medium",L7&gt;=7,"high")</f>
        <v>high</v>
      </c>
    </row>
    <row r="8" spans="1:16" x14ac:dyDescent="0.3">
      <c r="A8">
        <v>18</v>
      </c>
      <c r="B8" t="s">
        <v>16</v>
      </c>
      <c r="C8">
        <v>2.5</v>
      </c>
      <c r="D8" t="s">
        <v>14</v>
      </c>
      <c r="E8">
        <v>6.4</v>
      </c>
      <c r="F8">
        <v>2.4</v>
      </c>
      <c r="G8">
        <v>2.63</v>
      </c>
      <c r="H8">
        <v>0.7</v>
      </c>
      <c r="I8" t="s">
        <v>15</v>
      </c>
      <c r="J8">
        <v>2</v>
      </c>
      <c r="K8">
        <v>2</v>
      </c>
      <c r="L8">
        <v>5</v>
      </c>
      <c r="M8">
        <v>0</v>
      </c>
      <c r="N8" t="str">
        <f t="shared" si="0"/>
        <v>16-19</v>
      </c>
      <c r="O8" t="str">
        <f t="shared" si="1"/>
        <v>healthy sleep</v>
      </c>
      <c r="P8" s="1" t="str" cm="1">
        <f t="array" ref="P8">_xlfn.IFS(L8&lt;=3,"low",L8&lt;=6,"medium",L8&gt;=7,"high")</f>
        <v>medium</v>
      </c>
    </row>
    <row r="9" spans="1:16" x14ac:dyDescent="0.3">
      <c r="A9">
        <v>16</v>
      </c>
      <c r="B9" t="s">
        <v>13</v>
      </c>
      <c r="C9">
        <v>4</v>
      </c>
      <c r="D9" t="s">
        <v>20</v>
      </c>
      <c r="E9">
        <v>4.2</v>
      </c>
      <c r="F9">
        <v>0.5</v>
      </c>
      <c r="G9">
        <v>2.4</v>
      </c>
      <c r="H9">
        <v>1.3</v>
      </c>
      <c r="I9" t="s">
        <v>15</v>
      </c>
      <c r="J9">
        <v>6</v>
      </c>
      <c r="K9">
        <v>10</v>
      </c>
      <c r="L9">
        <v>5</v>
      </c>
      <c r="M9">
        <v>0</v>
      </c>
      <c r="N9" t="str">
        <f t="shared" si="0"/>
        <v>16-19</v>
      </c>
      <c r="O9" t="str">
        <f t="shared" si="1"/>
        <v>low sleep</v>
      </c>
      <c r="P9" s="1" t="str" cm="1">
        <f t="array" ref="P9">_xlfn.IFS(L9&lt;=3,"low",L9&lt;=6,"medium",L9&gt;=7,"high")</f>
        <v>medium</v>
      </c>
    </row>
    <row r="10" spans="1:16" x14ac:dyDescent="0.3">
      <c r="A10">
        <v>19</v>
      </c>
      <c r="B10" t="s">
        <v>16</v>
      </c>
      <c r="C10">
        <v>3.3</v>
      </c>
      <c r="D10" t="s">
        <v>17</v>
      </c>
      <c r="E10">
        <v>5</v>
      </c>
      <c r="F10">
        <v>2.1</v>
      </c>
      <c r="G10">
        <v>2.04</v>
      </c>
      <c r="H10">
        <v>0.9</v>
      </c>
      <c r="I10" t="s">
        <v>18</v>
      </c>
      <c r="J10">
        <v>1</v>
      </c>
      <c r="K10">
        <v>10</v>
      </c>
      <c r="L10">
        <v>9</v>
      </c>
      <c r="M10">
        <v>0</v>
      </c>
      <c r="N10" t="str">
        <f t="shared" si="0"/>
        <v>16-19</v>
      </c>
      <c r="O10" t="str">
        <f t="shared" si="1"/>
        <v>low sleep</v>
      </c>
      <c r="P10" s="1" t="str" cm="1">
        <f t="array" ref="P10">_xlfn.IFS(L10&lt;=3,"low",L10&lt;=6,"medium",L10&gt;=7,"high")</f>
        <v>high</v>
      </c>
    </row>
    <row r="11" spans="1:16" x14ac:dyDescent="0.3">
      <c r="A11">
        <v>15</v>
      </c>
      <c r="B11" t="s">
        <v>13</v>
      </c>
      <c r="C11">
        <v>1.9</v>
      </c>
      <c r="D11" t="s">
        <v>17</v>
      </c>
      <c r="E11">
        <v>4.9000000000000004</v>
      </c>
      <c r="F11">
        <v>1.5</v>
      </c>
      <c r="G11">
        <v>3.77</v>
      </c>
      <c r="H11">
        <v>1.1000000000000001</v>
      </c>
      <c r="I11" t="s">
        <v>18</v>
      </c>
      <c r="J11">
        <v>1</v>
      </c>
      <c r="K11">
        <v>1</v>
      </c>
      <c r="L11">
        <v>4</v>
      </c>
      <c r="M11">
        <v>0</v>
      </c>
      <c r="N11" t="str">
        <f t="shared" si="0"/>
        <v>13-15</v>
      </c>
      <c r="O11" t="str">
        <f t="shared" ref="O11" si="2">IF(E11&lt;=6,"low sleep","healthy sleep")</f>
        <v>low sleep</v>
      </c>
      <c r="P11" s="1" t="str" cm="1">
        <f t="array" ref="P11">_xlfn.IFS(L11&lt;=3,"low",L11&lt;=6,"medium",L11&gt;=7,"high")</f>
        <v>medium</v>
      </c>
    </row>
    <row r="12" spans="1:16" x14ac:dyDescent="0.3">
      <c r="A12">
        <v>16</v>
      </c>
      <c r="B12" t="s">
        <v>13</v>
      </c>
      <c r="C12">
        <v>7.2</v>
      </c>
      <c r="D12" t="s">
        <v>20</v>
      </c>
      <c r="E12">
        <v>5.8</v>
      </c>
      <c r="F12">
        <v>2.9</v>
      </c>
      <c r="G12">
        <v>3.16</v>
      </c>
      <c r="H12">
        <v>1.2</v>
      </c>
      <c r="I12" t="s">
        <v>19</v>
      </c>
      <c r="J12">
        <v>5</v>
      </c>
      <c r="K12">
        <v>8</v>
      </c>
      <c r="L12">
        <v>9</v>
      </c>
      <c r="M12">
        <v>0</v>
      </c>
      <c r="N12" t="str">
        <f t="shared" si="0"/>
        <v>16-19</v>
      </c>
      <c r="O12" t="str">
        <f t="shared" ref="O12:O66" si="3">IF(E12&lt;=6,"low sleep","healthy sleep")</f>
        <v>low sleep</v>
      </c>
      <c r="P12" s="1" t="str" cm="1">
        <f t="array" ref="P12">_xlfn.IFS(L12&lt;=3,"low",L12&lt;=6,"medium",L12&gt;=7,"high")</f>
        <v>high</v>
      </c>
    </row>
    <row r="13" spans="1:16" x14ac:dyDescent="0.3">
      <c r="A13">
        <v>13</v>
      </c>
      <c r="B13" t="s">
        <v>13</v>
      </c>
      <c r="C13">
        <v>4.9000000000000004</v>
      </c>
      <c r="D13" t="s">
        <v>14</v>
      </c>
      <c r="E13">
        <v>4.7</v>
      </c>
      <c r="F13">
        <v>2.5</v>
      </c>
      <c r="G13">
        <v>3.92</v>
      </c>
      <c r="H13">
        <v>1.2</v>
      </c>
      <c r="I13" t="s">
        <v>15</v>
      </c>
      <c r="J13">
        <v>1</v>
      </c>
      <c r="K13">
        <v>10</v>
      </c>
      <c r="L13">
        <v>8</v>
      </c>
      <c r="M13">
        <v>0</v>
      </c>
      <c r="N13" t="str">
        <f t="shared" si="0"/>
        <v>13-15</v>
      </c>
      <c r="O13" t="str">
        <f t="shared" si="3"/>
        <v>low sleep</v>
      </c>
      <c r="P13" s="1" t="str" cm="1">
        <f t="array" ref="P13">_xlfn.IFS(L13&lt;=3,"low",L13&lt;=6,"medium",L13&gt;=7,"high")</f>
        <v>high</v>
      </c>
    </row>
    <row r="14" spans="1:16" x14ac:dyDescent="0.3">
      <c r="A14">
        <v>16</v>
      </c>
      <c r="B14" t="s">
        <v>13</v>
      </c>
      <c r="C14">
        <v>6.2</v>
      </c>
      <c r="D14" t="s">
        <v>20</v>
      </c>
      <c r="E14">
        <v>7.2</v>
      </c>
      <c r="F14">
        <v>2.6</v>
      </c>
      <c r="G14">
        <v>2.02</v>
      </c>
      <c r="H14">
        <v>1.7</v>
      </c>
      <c r="I14" t="s">
        <v>19</v>
      </c>
      <c r="J14">
        <v>5</v>
      </c>
      <c r="K14">
        <v>7</v>
      </c>
      <c r="L14">
        <v>6</v>
      </c>
      <c r="M14">
        <v>0</v>
      </c>
      <c r="N14" t="str">
        <f t="shared" si="0"/>
        <v>16-19</v>
      </c>
      <c r="O14" t="str">
        <f t="shared" si="3"/>
        <v>healthy sleep</v>
      </c>
      <c r="P14" s="1" t="str" cm="1">
        <f t="array" ref="P14">_xlfn.IFS(L14&lt;=3,"low",L14&lt;=6,"medium",L14&gt;=7,"high")</f>
        <v>medium</v>
      </c>
    </row>
    <row r="15" spans="1:16" x14ac:dyDescent="0.3">
      <c r="A15">
        <v>17</v>
      </c>
      <c r="B15" t="s">
        <v>16</v>
      </c>
      <c r="C15">
        <v>6.8</v>
      </c>
      <c r="D15" t="s">
        <v>17</v>
      </c>
      <c r="E15">
        <v>5.7</v>
      </c>
      <c r="F15">
        <v>1.1000000000000001</v>
      </c>
      <c r="G15">
        <v>3.29</v>
      </c>
      <c r="H15">
        <v>1.3</v>
      </c>
      <c r="I15" t="s">
        <v>19</v>
      </c>
      <c r="J15">
        <v>1</v>
      </c>
      <c r="K15">
        <v>10</v>
      </c>
      <c r="L15">
        <v>10</v>
      </c>
      <c r="M15">
        <v>0</v>
      </c>
      <c r="N15" t="str">
        <f t="shared" si="0"/>
        <v>16-19</v>
      </c>
      <c r="O15" t="str">
        <f t="shared" si="3"/>
        <v>low sleep</v>
      </c>
      <c r="P15" s="1" t="str" cm="1">
        <f t="array" ref="P15">_xlfn.IFS(L15&lt;=3,"low",L15&lt;=6,"medium",L15&gt;=7,"high")</f>
        <v>high</v>
      </c>
    </row>
    <row r="16" spans="1:16" x14ac:dyDescent="0.3">
      <c r="A16">
        <v>15</v>
      </c>
      <c r="B16" t="s">
        <v>13</v>
      </c>
      <c r="C16">
        <v>5.7</v>
      </c>
      <c r="D16" t="s">
        <v>17</v>
      </c>
      <c r="E16">
        <v>5.9</v>
      </c>
      <c r="F16">
        <v>0.8</v>
      </c>
      <c r="G16">
        <v>3.5</v>
      </c>
      <c r="H16">
        <v>0.7</v>
      </c>
      <c r="I16" t="s">
        <v>15</v>
      </c>
      <c r="J16">
        <v>1</v>
      </c>
      <c r="K16">
        <v>9</v>
      </c>
      <c r="L16">
        <v>1</v>
      </c>
      <c r="M16">
        <v>0</v>
      </c>
      <c r="N16" t="str">
        <f t="shared" si="0"/>
        <v>13-15</v>
      </c>
      <c r="O16" t="str">
        <f t="shared" si="3"/>
        <v>low sleep</v>
      </c>
      <c r="P16" s="1" t="str" cm="1">
        <f t="array" ref="P16">_xlfn.IFS(L16&lt;=3,"low",L16&lt;=6,"medium",L16&gt;=7,"high")</f>
        <v>low</v>
      </c>
    </row>
    <row r="17" spans="1:16" x14ac:dyDescent="0.3">
      <c r="A17">
        <v>14</v>
      </c>
      <c r="B17" t="s">
        <v>16</v>
      </c>
      <c r="C17">
        <v>3.6</v>
      </c>
      <c r="D17" t="s">
        <v>20</v>
      </c>
      <c r="E17">
        <v>5.3</v>
      </c>
      <c r="F17">
        <v>0.6</v>
      </c>
      <c r="G17">
        <v>2.99</v>
      </c>
      <c r="H17">
        <v>0.3</v>
      </c>
      <c r="I17" t="s">
        <v>18</v>
      </c>
      <c r="J17">
        <v>4</v>
      </c>
      <c r="K17">
        <v>10</v>
      </c>
      <c r="L17">
        <v>2</v>
      </c>
      <c r="M17">
        <v>0</v>
      </c>
      <c r="N17" t="str">
        <f t="shared" si="0"/>
        <v>13-15</v>
      </c>
      <c r="O17" t="str">
        <f t="shared" si="3"/>
        <v>low sleep</v>
      </c>
      <c r="P17" s="1" t="str" cm="1">
        <f t="array" ref="P17">_xlfn.IFS(L17&lt;=3,"low",L17&lt;=6,"medium",L17&gt;=7,"high")</f>
        <v>low</v>
      </c>
    </row>
    <row r="18" spans="1:16" x14ac:dyDescent="0.3">
      <c r="A18">
        <v>13</v>
      </c>
      <c r="B18" t="s">
        <v>13</v>
      </c>
      <c r="C18">
        <v>1.5</v>
      </c>
      <c r="D18" t="s">
        <v>20</v>
      </c>
      <c r="E18">
        <v>4.2</v>
      </c>
      <c r="F18">
        <v>1.4</v>
      </c>
      <c r="G18">
        <v>2.59</v>
      </c>
      <c r="H18">
        <v>0.5</v>
      </c>
      <c r="I18" t="s">
        <v>18</v>
      </c>
      <c r="J18">
        <v>4</v>
      </c>
      <c r="K18">
        <v>5</v>
      </c>
      <c r="L18">
        <v>8</v>
      </c>
      <c r="M18">
        <v>0</v>
      </c>
      <c r="N18" t="str">
        <f t="shared" si="0"/>
        <v>13-15</v>
      </c>
      <c r="O18" t="str">
        <f t="shared" si="3"/>
        <v>low sleep</v>
      </c>
      <c r="P18" s="1" t="str" cm="1">
        <f t="array" ref="P18">_xlfn.IFS(L18&lt;=3,"low",L18&lt;=6,"medium",L18&gt;=7,"high")</f>
        <v>high</v>
      </c>
    </row>
    <row r="19" spans="1:16" x14ac:dyDescent="0.3">
      <c r="A19">
        <v>16</v>
      </c>
      <c r="B19" t="s">
        <v>13</v>
      </c>
      <c r="C19">
        <v>3.1</v>
      </c>
      <c r="D19" t="s">
        <v>20</v>
      </c>
      <c r="E19">
        <v>6.1</v>
      </c>
      <c r="F19">
        <v>0.8</v>
      </c>
      <c r="G19">
        <v>2.11</v>
      </c>
      <c r="H19">
        <v>1.9</v>
      </c>
      <c r="I19" t="s">
        <v>18</v>
      </c>
      <c r="J19">
        <v>10</v>
      </c>
      <c r="K19">
        <v>7</v>
      </c>
      <c r="L19">
        <v>10</v>
      </c>
      <c r="M19">
        <v>0</v>
      </c>
      <c r="N19" t="str">
        <f t="shared" si="0"/>
        <v>16-19</v>
      </c>
      <c r="O19" t="str">
        <f t="shared" si="3"/>
        <v>healthy sleep</v>
      </c>
      <c r="P19" s="1" t="str" cm="1">
        <f t="array" ref="P19">_xlfn.IFS(L19&lt;=3,"low",L19&lt;=6,"medium",L19&gt;=7,"high")</f>
        <v>high</v>
      </c>
    </row>
    <row r="20" spans="1:16" x14ac:dyDescent="0.3">
      <c r="A20">
        <v>16</v>
      </c>
      <c r="B20" t="s">
        <v>16</v>
      </c>
      <c r="C20">
        <v>6.7</v>
      </c>
      <c r="D20" t="s">
        <v>20</v>
      </c>
      <c r="E20">
        <v>6.8</v>
      </c>
      <c r="F20">
        <v>1.9</v>
      </c>
      <c r="G20">
        <v>3.08</v>
      </c>
      <c r="H20">
        <v>1.4</v>
      </c>
      <c r="I20" t="s">
        <v>18</v>
      </c>
      <c r="J20">
        <v>10</v>
      </c>
      <c r="K20">
        <v>9</v>
      </c>
      <c r="L20">
        <v>1</v>
      </c>
      <c r="M20">
        <v>0</v>
      </c>
      <c r="N20" t="str">
        <f t="shared" si="0"/>
        <v>16-19</v>
      </c>
      <c r="O20" t="str">
        <f t="shared" si="3"/>
        <v>healthy sleep</v>
      </c>
      <c r="P20" s="1" t="str" cm="1">
        <f t="array" ref="P20">_xlfn.IFS(L20&lt;=3,"low",L20&lt;=6,"medium",L20&gt;=7,"high")</f>
        <v>low</v>
      </c>
    </row>
    <row r="21" spans="1:16" x14ac:dyDescent="0.3">
      <c r="A21">
        <v>14</v>
      </c>
      <c r="B21" t="s">
        <v>16</v>
      </c>
      <c r="C21">
        <v>1.2</v>
      </c>
      <c r="D21" t="s">
        <v>14</v>
      </c>
      <c r="E21">
        <v>7.6</v>
      </c>
      <c r="F21">
        <v>1</v>
      </c>
      <c r="G21">
        <v>3.85</v>
      </c>
      <c r="H21">
        <v>0.8</v>
      </c>
      <c r="I21" t="s">
        <v>18</v>
      </c>
      <c r="J21">
        <v>8</v>
      </c>
      <c r="K21">
        <v>4</v>
      </c>
      <c r="L21">
        <v>6</v>
      </c>
      <c r="M21">
        <v>0</v>
      </c>
      <c r="N21" t="str">
        <f t="shared" si="0"/>
        <v>13-15</v>
      </c>
      <c r="O21" t="str">
        <f t="shared" si="3"/>
        <v>healthy sleep</v>
      </c>
      <c r="P21" s="1" t="str" cm="1">
        <f t="array" ref="P21">_xlfn.IFS(L21&lt;=3,"low",L21&lt;=6,"medium",L21&gt;=7,"high")</f>
        <v>medium</v>
      </c>
    </row>
    <row r="22" spans="1:16" x14ac:dyDescent="0.3">
      <c r="A22">
        <v>16</v>
      </c>
      <c r="B22" t="s">
        <v>13</v>
      </c>
      <c r="C22">
        <v>3.4</v>
      </c>
      <c r="D22" t="s">
        <v>17</v>
      </c>
      <c r="E22">
        <v>4.5999999999999996</v>
      </c>
      <c r="F22">
        <v>2.1</v>
      </c>
      <c r="G22">
        <v>2.2400000000000002</v>
      </c>
      <c r="H22">
        <v>0.4</v>
      </c>
      <c r="I22" t="s">
        <v>18</v>
      </c>
      <c r="J22">
        <v>4</v>
      </c>
      <c r="K22">
        <v>1</v>
      </c>
      <c r="L22">
        <v>3</v>
      </c>
      <c r="M22">
        <v>0</v>
      </c>
      <c r="N22" t="str">
        <f t="shared" si="0"/>
        <v>16-19</v>
      </c>
      <c r="O22" t="str">
        <f t="shared" si="3"/>
        <v>low sleep</v>
      </c>
      <c r="P22" s="1" t="str" cm="1">
        <f t="array" ref="P22">_xlfn.IFS(L22&lt;=3,"low",L22&lt;=6,"medium",L22&gt;=7,"high")</f>
        <v>low</v>
      </c>
    </row>
    <row r="23" spans="1:16" x14ac:dyDescent="0.3">
      <c r="A23">
        <v>18</v>
      </c>
      <c r="B23" t="s">
        <v>13</v>
      </c>
      <c r="C23">
        <v>4.0999999999999996</v>
      </c>
      <c r="D23" t="s">
        <v>20</v>
      </c>
      <c r="E23">
        <v>7.4</v>
      </c>
      <c r="F23">
        <v>2.4</v>
      </c>
      <c r="G23">
        <v>2.38</v>
      </c>
      <c r="H23">
        <v>1.5</v>
      </c>
      <c r="I23" t="s">
        <v>19</v>
      </c>
      <c r="J23">
        <v>8</v>
      </c>
      <c r="K23">
        <v>4</v>
      </c>
      <c r="L23">
        <v>9</v>
      </c>
      <c r="M23">
        <v>0</v>
      </c>
      <c r="N23" t="str">
        <f t="shared" si="0"/>
        <v>16-19</v>
      </c>
      <c r="O23" t="str">
        <f t="shared" si="3"/>
        <v>healthy sleep</v>
      </c>
      <c r="P23" s="1" t="str" cm="1">
        <f t="array" ref="P23">_xlfn.IFS(L23&lt;=3,"low",L23&lt;=6,"medium",L23&gt;=7,"high")</f>
        <v>high</v>
      </c>
    </row>
    <row r="24" spans="1:16" x14ac:dyDescent="0.3">
      <c r="A24">
        <v>18</v>
      </c>
      <c r="B24" t="s">
        <v>13</v>
      </c>
      <c r="C24">
        <v>5.3</v>
      </c>
      <c r="D24" t="s">
        <v>14</v>
      </c>
      <c r="E24">
        <v>4.9000000000000004</v>
      </c>
      <c r="F24">
        <v>1.2</v>
      </c>
      <c r="G24">
        <v>3.69</v>
      </c>
      <c r="H24">
        <v>1.2</v>
      </c>
      <c r="I24" t="s">
        <v>15</v>
      </c>
      <c r="J24">
        <v>5</v>
      </c>
      <c r="K24">
        <v>4</v>
      </c>
      <c r="L24">
        <v>5</v>
      </c>
      <c r="M24">
        <v>0</v>
      </c>
      <c r="N24" t="str">
        <f t="shared" si="0"/>
        <v>16-19</v>
      </c>
      <c r="O24" t="str">
        <f t="shared" si="3"/>
        <v>low sleep</v>
      </c>
      <c r="P24" s="1" t="str" cm="1">
        <f t="array" ref="P24">_xlfn.IFS(L24&lt;=3,"low",L24&lt;=6,"medium",L24&gt;=7,"high")</f>
        <v>medium</v>
      </c>
    </row>
    <row r="25" spans="1:16" x14ac:dyDescent="0.3">
      <c r="A25">
        <v>18</v>
      </c>
      <c r="B25" t="s">
        <v>16</v>
      </c>
      <c r="C25">
        <v>2.2999999999999998</v>
      </c>
      <c r="D25" t="s">
        <v>17</v>
      </c>
      <c r="E25">
        <v>7.6</v>
      </c>
      <c r="F25">
        <v>0.5</v>
      </c>
      <c r="G25">
        <v>2.96</v>
      </c>
      <c r="H25">
        <v>1.7</v>
      </c>
      <c r="I25" t="s">
        <v>19</v>
      </c>
      <c r="J25">
        <v>9</v>
      </c>
      <c r="K25">
        <v>8</v>
      </c>
      <c r="L25">
        <v>7</v>
      </c>
      <c r="M25">
        <v>0</v>
      </c>
      <c r="N25" t="str">
        <f t="shared" si="0"/>
        <v>16-19</v>
      </c>
      <c r="O25" t="str">
        <f t="shared" si="3"/>
        <v>healthy sleep</v>
      </c>
      <c r="P25" s="1" t="str" cm="1">
        <f t="array" ref="P25">_xlfn.IFS(L25&lt;=3,"low",L25&lt;=6,"medium",L25&gt;=7,"high")</f>
        <v>high</v>
      </c>
    </row>
    <row r="26" spans="1:16" x14ac:dyDescent="0.3">
      <c r="A26">
        <v>18</v>
      </c>
      <c r="B26" t="s">
        <v>16</v>
      </c>
      <c r="C26">
        <v>2.4</v>
      </c>
      <c r="D26" t="s">
        <v>20</v>
      </c>
      <c r="E26">
        <v>6.7</v>
      </c>
      <c r="F26">
        <v>1.9</v>
      </c>
      <c r="G26">
        <v>2.5299999999999998</v>
      </c>
      <c r="H26">
        <v>0.4</v>
      </c>
      <c r="I26" t="s">
        <v>18</v>
      </c>
      <c r="J26">
        <v>8</v>
      </c>
      <c r="K26">
        <v>8</v>
      </c>
      <c r="L26">
        <v>2</v>
      </c>
      <c r="M26">
        <v>0</v>
      </c>
      <c r="N26" t="str">
        <f t="shared" si="0"/>
        <v>16-19</v>
      </c>
      <c r="O26" t="str">
        <f t="shared" si="3"/>
        <v>healthy sleep</v>
      </c>
      <c r="P26" s="1" t="str" cm="1">
        <f t="array" ref="P26">_xlfn.IFS(L26&lt;=3,"low",L26&lt;=6,"medium",L26&gt;=7,"high")</f>
        <v>low</v>
      </c>
    </row>
    <row r="27" spans="1:16" x14ac:dyDescent="0.3">
      <c r="A27">
        <v>13</v>
      </c>
      <c r="B27" t="s">
        <v>16</v>
      </c>
      <c r="C27">
        <v>1.5</v>
      </c>
      <c r="D27" t="s">
        <v>20</v>
      </c>
      <c r="E27">
        <v>7.2</v>
      </c>
      <c r="F27">
        <v>2.5</v>
      </c>
      <c r="G27">
        <v>2.15</v>
      </c>
      <c r="H27">
        <v>1.3</v>
      </c>
      <c r="I27" t="s">
        <v>19</v>
      </c>
      <c r="J27">
        <v>4</v>
      </c>
      <c r="K27">
        <v>6</v>
      </c>
      <c r="L27">
        <v>2</v>
      </c>
      <c r="M27">
        <v>0</v>
      </c>
      <c r="N27" t="str">
        <f t="shared" si="0"/>
        <v>13-15</v>
      </c>
      <c r="O27" t="str">
        <f t="shared" si="3"/>
        <v>healthy sleep</v>
      </c>
      <c r="P27" s="1" t="str" cm="1">
        <f t="array" ref="P27">_xlfn.IFS(L27&lt;=3,"low",L27&lt;=6,"medium",L27&gt;=7,"high")</f>
        <v>low</v>
      </c>
    </row>
    <row r="28" spans="1:16" x14ac:dyDescent="0.3">
      <c r="A28">
        <v>14</v>
      </c>
      <c r="B28" t="s">
        <v>16</v>
      </c>
      <c r="C28">
        <v>5.7</v>
      </c>
      <c r="D28" t="s">
        <v>20</v>
      </c>
      <c r="E28">
        <v>8.6999999999999993</v>
      </c>
      <c r="F28">
        <v>0.6</v>
      </c>
      <c r="G28">
        <v>2.64</v>
      </c>
      <c r="H28">
        <v>0.1</v>
      </c>
      <c r="I28" t="s">
        <v>15</v>
      </c>
      <c r="J28">
        <v>8</v>
      </c>
      <c r="K28">
        <v>9</v>
      </c>
      <c r="L28">
        <v>4</v>
      </c>
      <c r="M28">
        <v>0</v>
      </c>
      <c r="N28" t="str">
        <f t="shared" si="0"/>
        <v>13-15</v>
      </c>
      <c r="O28" t="str">
        <f t="shared" si="3"/>
        <v>healthy sleep</v>
      </c>
      <c r="P28" s="1" t="str" cm="1">
        <f t="array" ref="P28">_xlfn.IFS(L28&lt;=3,"low",L28&lt;=6,"medium",L28&gt;=7,"high")</f>
        <v>medium</v>
      </c>
    </row>
    <row r="29" spans="1:16" x14ac:dyDescent="0.3">
      <c r="A29">
        <v>19</v>
      </c>
      <c r="B29" t="s">
        <v>13</v>
      </c>
      <c r="C29">
        <v>2</v>
      </c>
      <c r="D29" t="s">
        <v>17</v>
      </c>
      <c r="E29">
        <v>7.1</v>
      </c>
      <c r="F29">
        <v>0.9</v>
      </c>
      <c r="G29">
        <v>3.26</v>
      </c>
      <c r="H29">
        <v>1.6</v>
      </c>
      <c r="I29" t="s">
        <v>18</v>
      </c>
      <c r="J29">
        <v>7</v>
      </c>
      <c r="K29">
        <v>5</v>
      </c>
      <c r="L29">
        <v>9</v>
      </c>
      <c r="M29">
        <v>0</v>
      </c>
      <c r="N29" t="str">
        <f t="shared" si="0"/>
        <v>16-19</v>
      </c>
      <c r="O29" t="str">
        <f t="shared" si="3"/>
        <v>healthy sleep</v>
      </c>
      <c r="P29" s="1" t="str" cm="1">
        <f t="array" ref="P29">_xlfn.IFS(L29&lt;=3,"low",L29&lt;=6,"medium",L29&gt;=7,"high")</f>
        <v>high</v>
      </c>
    </row>
    <row r="30" spans="1:16" x14ac:dyDescent="0.3">
      <c r="A30">
        <v>14</v>
      </c>
      <c r="B30" t="s">
        <v>13</v>
      </c>
      <c r="C30">
        <v>2.5</v>
      </c>
      <c r="D30" t="s">
        <v>17</v>
      </c>
      <c r="E30">
        <v>5.6</v>
      </c>
      <c r="F30">
        <v>2.9</v>
      </c>
      <c r="G30">
        <v>2.2400000000000002</v>
      </c>
      <c r="H30">
        <v>0.5</v>
      </c>
      <c r="I30" t="s">
        <v>15</v>
      </c>
      <c r="J30">
        <v>3</v>
      </c>
      <c r="K30">
        <v>9</v>
      </c>
      <c r="L30">
        <v>5</v>
      </c>
      <c r="M30">
        <v>0</v>
      </c>
      <c r="N30" t="str">
        <f t="shared" si="0"/>
        <v>13-15</v>
      </c>
      <c r="O30" t="str">
        <f t="shared" si="3"/>
        <v>low sleep</v>
      </c>
      <c r="P30" s="1" t="str" cm="1">
        <f t="array" ref="P30">_xlfn.IFS(L30&lt;=3,"low",L30&lt;=6,"medium",L30&gt;=7,"high")</f>
        <v>medium</v>
      </c>
    </row>
    <row r="31" spans="1:16" x14ac:dyDescent="0.3">
      <c r="A31">
        <v>16</v>
      </c>
      <c r="B31" t="s">
        <v>16</v>
      </c>
      <c r="C31">
        <v>3.4</v>
      </c>
      <c r="D31" t="s">
        <v>17</v>
      </c>
      <c r="E31">
        <v>7.8</v>
      </c>
      <c r="F31">
        <v>2.8</v>
      </c>
      <c r="G31">
        <v>3.83</v>
      </c>
      <c r="H31">
        <v>1.8</v>
      </c>
      <c r="I31" t="s">
        <v>19</v>
      </c>
      <c r="J31">
        <v>6</v>
      </c>
      <c r="K31">
        <v>6</v>
      </c>
      <c r="L31">
        <v>4</v>
      </c>
      <c r="M31">
        <v>0</v>
      </c>
      <c r="N31" t="str">
        <f t="shared" si="0"/>
        <v>16-19</v>
      </c>
      <c r="O31" t="str">
        <f t="shared" si="3"/>
        <v>healthy sleep</v>
      </c>
      <c r="P31" s="1" t="str" cm="1">
        <f t="array" ref="P31">_xlfn.IFS(L31&lt;=3,"low",L31&lt;=6,"medium",L31&gt;=7,"high")</f>
        <v>medium</v>
      </c>
    </row>
    <row r="32" spans="1:16" x14ac:dyDescent="0.3">
      <c r="A32">
        <v>13</v>
      </c>
      <c r="B32" t="s">
        <v>13</v>
      </c>
      <c r="C32">
        <v>6.6</v>
      </c>
      <c r="D32" t="s">
        <v>17</v>
      </c>
      <c r="E32">
        <v>5.7</v>
      </c>
      <c r="F32">
        <v>2.5</v>
      </c>
      <c r="G32">
        <v>2.67</v>
      </c>
      <c r="H32">
        <v>1.1000000000000001</v>
      </c>
      <c r="I32" t="s">
        <v>15</v>
      </c>
      <c r="J32">
        <v>2</v>
      </c>
      <c r="K32">
        <v>1</v>
      </c>
      <c r="L32">
        <v>10</v>
      </c>
      <c r="M32">
        <v>0</v>
      </c>
      <c r="N32" t="str">
        <f t="shared" si="0"/>
        <v>13-15</v>
      </c>
      <c r="O32" t="str">
        <f t="shared" si="3"/>
        <v>low sleep</v>
      </c>
      <c r="P32" s="1" t="str" cm="1">
        <f t="array" ref="P32">_xlfn.IFS(L32&lt;=3,"low",L32&lt;=6,"medium",L32&gt;=7,"high")</f>
        <v>high</v>
      </c>
    </row>
    <row r="33" spans="1:16" x14ac:dyDescent="0.3">
      <c r="A33">
        <v>13</v>
      </c>
      <c r="B33" t="s">
        <v>16</v>
      </c>
      <c r="C33">
        <v>1.6</v>
      </c>
      <c r="D33" t="s">
        <v>14</v>
      </c>
      <c r="E33">
        <v>8.6999999999999993</v>
      </c>
      <c r="F33">
        <v>2.5</v>
      </c>
      <c r="G33">
        <v>3.69</v>
      </c>
      <c r="H33">
        <v>0.4</v>
      </c>
      <c r="I33" t="s">
        <v>18</v>
      </c>
      <c r="J33">
        <v>8</v>
      </c>
      <c r="K33">
        <v>2</v>
      </c>
      <c r="L33">
        <v>9</v>
      </c>
      <c r="M33">
        <v>0</v>
      </c>
      <c r="N33" t="str">
        <f t="shared" si="0"/>
        <v>13-15</v>
      </c>
      <c r="O33" t="str">
        <f t="shared" si="3"/>
        <v>healthy sleep</v>
      </c>
      <c r="P33" s="1" t="str" cm="1">
        <f t="array" ref="P33">_xlfn.IFS(L33&lt;=3,"low",L33&lt;=6,"medium",L33&gt;=7,"high")</f>
        <v>high</v>
      </c>
    </row>
    <row r="34" spans="1:16" x14ac:dyDescent="0.3">
      <c r="A34">
        <v>16</v>
      </c>
      <c r="B34" t="s">
        <v>13</v>
      </c>
      <c r="C34">
        <v>2.7</v>
      </c>
      <c r="D34" t="s">
        <v>14</v>
      </c>
      <c r="E34">
        <v>4.2</v>
      </c>
      <c r="F34">
        <v>2.4</v>
      </c>
      <c r="G34">
        <v>3.05</v>
      </c>
      <c r="H34">
        <v>0.2</v>
      </c>
      <c r="I34" t="s">
        <v>18</v>
      </c>
      <c r="J34">
        <v>1</v>
      </c>
      <c r="K34">
        <v>8</v>
      </c>
      <c r="L34">
        <v>4</v>
      </c>
      <c r="M34">
        <v>0</v>
      </c>
      <c r="N34" t="str">
        <f t="shared" si="0"/>
        <v>16-19</v>
      </c>
      <c r="O34" t="str">
        <f t="shared" si="3"/>
        <v>low sleep</v>
      </c>
      <c r="P34" s="1" t="str" cm="1">
        <f t="array" ref="P34">_xlfn.IFS(L34&lt;=3,"low",L34&lt;=6,"medium",L34&gt;=7,"high")</f>
        <v>medium</v>
      </c>
    </row>
    <row r="35" spans="1:16" x14ac:dyDescent="0.3">
      <c r="A35">
        <v>14</v>
      </c>
      <c r="B35" t="s">
        <v>13</v>
      </c>
      <c r="C35">
        <v>4.0999999999999996</v>
      </c>
      <c r="D35" t="s">
        <v>17</v>
      </c>
      <c r="E35">
        <v>8</v>
      </c>
      <c r="F35">
        <v>3</v>
      </c>
      <c r="G35">
        <v>2.31</v>
      </c>
      <c r="H35">
        <v>0.8</v>
      </c>
      <c r="I35" t="s">
        <v>15</v>
      </c>
      <c r="J35">
        <v>8</v>
      </c>
      <c r="K35">
        <v>4</v>
      </c>
      <c r="L35">
        <v>1</v>
      </c>
      <c r="M35">
        <v>0</v>
      </c>
      <c r="N35" t="str">
        <f t="shared" si="0"/>
        <v>13-15</v>
      </c>
      <c r="O35" t="str">
        <f t="shared" si="3"/>
        <v>healthy sleep</v>
      </c>
      <c r="P35" s="1" t="str" cm="1">
        <f t="array" ref="P35">_xlfn.IFS(L35&lt;=3,"low",L35&lt;=6,"medium",L35&gt;=7,"high")</f>
        <v>low</v>
      </c>
    </row>
    <row r="36" spans="1:16" x14ac:dyDescent="0.3">
      <c r="A36">
        <v>13</v>
      </c>
      <c r="B36" t="s">
        <v>16</v>
      </c>
      <c r="C36">
        <v>6.6</v>
      </c>
      <c r="D36" t="s">
        <v>17</v>
      </c>
      <c r="E36">
        <v>7.3</v>
      </c>
      <c r="F36">
        <v>1.6</v>
      </c>
      <c r="G36">
        <v>3.27</v>
      </c>
      <c r="H36">
        <v>0.1</v>
      </c>
      <c r="I36" t="s">
        <v>19</v>
      </c>
      <c r="J36">
        <v>10</v>
      </c>
      <c r="K36">
        <v>2</v>
      </c>
      <c r="L36">
        <v>1</v>
      </c>
      <c r="M36">
        <v>0</v>
      </c>
      <c r="N36" t="str">
        <f t="shared" si="0"/>
        <v>13-15</v>
      </c>
      <c r="O36" t="str">
        <f t="shared" si="3"/>
        <v>healthy sleep</v>
      </c>
      <c r="P36" s="1" t="str" cm="1">
        <f t="array" ref="P36">_xlfn.IFS(L36&lt;=3,"low",L36&lt;=6,"medium",L36&gt;=7,"high")</f>
        <v>low</v>
      </c>
    </row>
    <row r="37" spans="1:16" x14ac:dyDescent="0.3">
      <c r="A37">
        <v>17</v>
      </c>
      <c r="B37" t="s">
        <v>16</v>
      </c>
      <c r="C37">
        <v>5</v>
      </c>
      <c r="D37" t="s">
        <v>20</v>
      </c>
      <c r="E37">
        <v>4.9000000000000004</v>
      </c>
      <c r="F37">
        <v>2.1</v>
      </c>
      <c r="G37">
        <v>2.0099999999999998</v>
      </c>
      <c r="H37">
        <v>1</v>
      </c>
      <c r="I37" t="s">
        <v>15</v>
      </c>
      <c r="J37">
        <v>9</v>
      </c>
      <c r="K37">
        <v>4</v>
      </c>
      <c r="L37">
        <v>9</v>
      </c>
      <c r="M37">
        <v>0</v>
      </c>
      <c r="N37" t="str">
        <f t="shared" si="0"/>
        <v>16-19</v>
      </c>
      <c r="O37" t="str">
        <f t="shared" si="3"/>
        <v>low sleep</v>
      </c>
      <c r="P37" s="1" t="str" cm="1">
        <f t="array" ref="P37">_xlfn.IFS(L37&lt;=3,"low",L37&lt;=6,"medium",L37&gt;=7,"high")</f>
        <v>high</v>
      </c>
    </row>
    <row r="38" spans="1:16" x14ac:dyDescent="0.3">
      <c r="A38">
        <v>19</v>
      </c>
      <c r="B38" t="s">
        <v>16</v>
      </c>
      <c r="C38">
        <v>4.5999999999999996</v>
      </c>
      <c r="D38" t="s">
        <v>14</v>
      </c>
      <c r="E38">
        <v>5.5</v>
      </c>
      <c r="F38">
        <v>2.5</v>
      </c>
      <c r="G38">
        <v>3.96</v>
      </c>
      <c r="H38">
        <v>0.8</v>
      </c>
      <c r="I38" t="s">
        <v>18</v>
      </c>
      <c r="J38">
        <v>3</v>
      </c>
      <c r="K38">
        <v>10</v>
      </c>
      <c r="L38">
        <v>7</v>
      </c>
      <c r="M38">
        <v>0</v>
      </c>
      <c r="N38" t="str">
        <f t="shared" si="0"/>
        <v>16-19</v>
      </c>
      <c r="O38" t="str">
        <f t="shared" si="3"/>
        <v>low sleep</v>
      </c>
      <c r="P38" s="1" t="str" cm="1">
        <f t="array" ref="P38">_xlfn.IFS(L38&lt;=3,"low",L38&lt;=6,"medium",L38&gt;=7,"high")</f>
        <v>high</v>
      </c>
    </row>
    <row r="39" spans="1:16" x14ac:dyDescent="0.3">
      <c r="A39">
        <v>17</v>
      </c>
      <c r="B39" t="s">
        <v>16</v>
      </c>
      <c r="C39">
        <v>4.8</v>
      </c>
      <c r="D39" t="s">
        <v>14</v>
      </c>
      <c r="E39">
        <v>4.4000000000000004</v>
      </c>
      <c r="F39">
        <v>1.3</v>
      </c>
      <c r="G39">
        <v>2.02</v>
      </c>
      <c r="H39">
        <v>0.5</v>
      </c>
      <c r="I39" t="s">
        <v>15</v>
      </c>
      <c r="J39">
        <v>5</v>
      </c>
      <c r="K39">
        <v>10</v>
      </c>
      <c r="L39">
        <v>6</v>
      </c>
      <c r="M39">
        <v>0</v>
      </c>
      <c r="N39" t="str">
        <f t="shared" si="0"/>
        <v>16-19</v>
      </c>
      <c r="O39" t="str">
        <f t="shared" si="3"/>
        <v>low sleep</v>
      </c>
      <c r="P39" s="1" t="str" cm="1">
        <f t="array" ref="P39">_xlfn.IFS(L39&lt;=3,"low",L39&lt;=6,"medium",L39&gt;=7,"high")</f>
        <v>medium</v>
      </c>
    </row>
    <row r="40" spans="1:16" x14ac:dyDescent="0.3">
      <c r="A40">
        <v>17</v>
      </c>
      <c r="B40" t="s">
        <v>16</v>
      </c>
      <c r="C40">
        <v>1.3</v>
      </c>
      <c r="D40" t="s">
        <v>17</v>
      </c>
      <c r="E40">
        <v>8</v>
      </c>
      <c r="F40">
        <v>2</v>
      </c>
      <c r="G40">
        <v>2.84</v>
      </c>
      <c r="H40">
        <v>1.8</v>
      </c>
      <c r="I40" t="s">
        <v>18</v>
      </c>
      <c r="J40">
        <v>1</v>
      </c>
      <c r="K40">
        <v>7</v>
      </c>
      <c r="L40">
        <v>8</v>
      </c>
      <c r="M40">
        <v>0</v>
      </c>
      <c r="N40" t="str">
        <f t="shared" si="0"/>
        <v>16-19</v>
      </c>
      <c r="O40" t="str">
        <f t="shared" si="3"/>
        <v>healthy sleep</v>
      </c>
      <c r="P40" s="1" t="str" cm="1">
        <f t="array" ref="P40">_xlfn.IFS(L40&lt;=3,"low",L40&lt;=6,"medium",L40&gt;=7,"high")</f>
        <v>high</v>
      </c>
    </row>
    <row r="41" spans="1:16" x14ac:dyDescent="0.3">
      <c r="A41">
        <v>17</v>
      </c>
      <c r="B41" t="s">
        <v>16</v>
      </c>
      <c r="C41">
        <v>6.3</v>
      </c>
      <c r="D41" t="s">
        <v>14</v>
      </c>
      <c r="E41">
        <v>4</v>
      </c>
      <c r="F41">
        <v>1</v>
      </c>
      <c r="G41">
        <v>2.4300000000000002</v>
      </c>
      <c r="H41">
        <v>1.2</v>
      </c>
      <c r="I41" t="s">
        <v>18</v>
      </c>
      <c r="J41">
        <v>1</v>
      </c>
      <c r="K41">
        <v>10</v>
      </c>
      <c r="L41">
        <v>9</v>
      </c>
      <c r="M41">
        <v>0</v>
      </c>
      <c r="N41" t="str">
        <f t="shared" si="0"/>
        <v>16-19</v>
      </c>
      <c r="O41" t="str">
        <f t="shared" si="3"/>
        <v>low sleep</v>
      </c>
      <c r="P41" s="1" t="str" cm="1">
        <f t="array" ref="P41">_xlfn.IFS(L41&lt;=3,"low",L41&lt;=6,"medium",L41&gt;=7,"high")</f>
        <v>high</v>
      </c>
    </row>
    <row r="42" spans="1:16" x14ac:dyDescent="0.3">
      <c r="A42">
        <v>14</v>
      </c>
      <c r="B42" t="s">
        <v>13</v>
      </c>
      <c r="C42">
        <v>6.4</v>
      </c>
      <c r="D42" t="s">
        <v>14</v>
      </c>
      <c r="E42">
        <v>5.7</v>
      </c>
      <c r="F42">
        <v>0.9</v>
      </c>
      <c r="G42">
        <v>2.06</v>
      </c>
      <c r="H42">
        <v>1.8</v>
      </c>
      <c r="I42" t="s">
        <v>18</v>
      </c>
      <c r="J42">
        <v>10</v>
      </c>
      <c r="K42">
        <v>4</v>
      </c>
      <c r="L42">
        <v>2</v>
      </c>
      <c r="M42">
        <v>0</v>
      </c>
      <c r="N42" t="str">
        <f t="shared" si="0"/>
        <v>13-15</v>
      </c>
      <c r="O42" t="str">
        <f t="shared" si="3"/>
        <v>low sleep</v>
      </c>
      <c r="P42" s="1" t="str" cm="1">
        <f t="array" ref="P42">_xlfn.IFS(L42&lt;=3,"low",L42&lt;=6,"medium",L42&gt;=7,"high")</f>
        <v>low</v>
      </c>
    </row>
    <row r="43" spans="1:16" x14ac:dyDescent="0.3">
      <c r="A43">
        <v>19</v>
      </c>
      <c r="B43" t="s">
        <v>13</v>
      </c>
      <c r="C43">
        <v>1.6</v>
      </c>
      <c r="D43" t="s">
        <v>14</v>
      </c>
      <c r="E43">
        <v>8.6</v>
      </c>
      <c r="F43">
        <v>2.4</v>
      </c>
      <c r="G43">
        <v>3.81</v>
      </c>
      <c r="H43">
        <v>0.4</v>
      </c>
      <c r="I43" t="s">
        <v>15</v>
      </c>
      <c r="J43">
        <v>10</v>
      </c>
      <c r="K43">
        <v>4</v>
      </c>
      <c r="L43">
        <v>1</v>
      </c>
      <c r="M43">
        <v>0</v>
      </c>
      <c r="N43" t="str">
        <f t="shared" si="0"/>
        <v>16-19</v>
      </c>
      <c r="O43" t="str">
        <f t="shared" si="3"/>
        <v>healthy sleep</v>
      </c>
      <c r="P43" s="1" t="str" cm="1">
        <f t="array" ref="P43">_xlfn.IFS(L43&lt;=3,"low",L43&lt;=6,"medium",L43&gt;=7,"high")</f>
        <v>low</v>
      </c>
    </row>
    <row r="44" spans="1:16" x14ac:dyDescent="0.3">
      <c r="A44">
        <v>14</v>
      </c>
      <c r="B44" t="s">
        <v>16</v>
      </c>
      <c r="C44">
        <v>7.3</v>
      </c>
      <c r="D44" t="s">
        <v>14</v>
      </c>
      <c r="E44">
        <v>7.7</v>
      </c>
      <c r="F44">
        <v>1.4</v>
      </c>
      <c r="G44">
        <v>3.42</v>
      </c>
      <c r="H44">
        <v>0.3</v>
      </c>
      <c r="I44" t="s">
        <v>19</v>
      </c>
      <c r="J44">
        <v>6</v>
      </c>
      <c r="K44">
        <v>1</v>
      </c>
      <c r="L44">
        <v>8</v>
      </c>
      <c r="M44">
        <v>0</v>
      </c>
      <c r="N44" t="str">
        <f t="shared" si="0"/>
        <v>13-15</v>
      </c>
      <c r="O44" t="str">
        <f t="shared" si="3"/>
        <v>healthy sleep</v>
      </c>
      <c r="P44" s="1" t="str" cm="1">
        <f t="array" ref="P44">_xlfn.IFS(L44&lt;=3,"low",L44&lt;=6,"medium",L44&gt;=7,"high")</f>
        <v>high</v>
      </c>
    </row>
    <row r="45" spans="1:16" x14ac:dyDescent="0.3">
      <c r="A45">
        <v>15</v>
      </c>
      <c r="B45" t="s">
        <v>13</v>
      </c>
      <c r="C45">
        <v>4</v>
      </c>
      <c r="D45" t="s">
        <v>20</v>
      </c>
      <c r="E45">
        <v>8.8000000000000007</v>
      </c>
      <c r="F45">
        <v>1.3</v>
      </c>
      <c r="G45">
        <v>3.59</v>
      </c>
      <c r="H45">
        <v>1.9</v>
      </c>
      <c r="I45" t="s">
        <v>19</v>
      </c>
      <c r="J45">
        <v>10</v>
      </c>
      <c r="K45">
        <v>6</v>
      </c>
      <c r="L45">
        <v>10</v>
      </c>
      <c r="M45">
        <v>0</v>
      </c>
      <c r="N45" t="str">
        <f t="shared" si="0"/>
        <v>13-15</v>
      </c>
      <c r="O45" t="str">
        <f t="shared" si="3"/>
        <v>healthy sleep</v>
      </c>
      <c r="P45" s="1" t="str" cm="1">
        <f t="array" ref="P45">_xlfn.IFS(L45&lt;=3,"low",L45&lt;=6,"medium",L45&gt;=7,"high")</f>
        <v>high</v>
      </c>
    </row>
    <row r="46" spans="1:16" x14ac:dyDescent="0.3">
      <c r="A46">
        <v>14</v>
      </c>
      <c r="B46" t="s">
        <v>13</v>
      </c>
      <c r="C46">
        <v>5.2</v>
      </c>
      <c r="D46" t="s">
        <v>20</v>
      </c>
      <c r="E46">
        <v>4.0999999999999996</v>
      </c>
      <c r="F46">
        <v>2.1</v>
      </c>
      <c r="G46">
        <v>3.07</v>
      </c>
      <c r="H46">
        <v>0.2</v>
      </c>
      <c r="I46" t="s">
        <v>19</v>
      </c>
      <c r="J46">
        <v>9</v>
      </c>
      <c r="K46">
        <v>3</v>
      </c>
      <c r="L46">
        <v>8</v>
      </c>
      <c r="M46">
        <v>0</v>
      </c>
      <c r="N46" t="str">
        <f t="shared" si="0"/>
        <v>13-15</v>
      </c>
      <c r="O46" t="str">
        <f t="shared" si="3"/>
        <v>low sleep</v>
      </c>
      <c r="P46" s="1" t="str" cm="1">
        <f t="array" ref="P46">_xlfn.IFS(L46&lt;=3,"low",L46&lt;=6,"medium",L46&gt;=7,"high")</f>
        <v>high</v>
      </c>
    </row>
    <row r="47" spans="1:16" x14ac:dyDescent="0.3">
      <c r="A47">
        <v>14</v>
      </c>
      <c r="B47" t="s">
        <v>16</v>
      </c>
      <c r="C47">
        <v>4.5</v>
      </c>
      <c r="D47" t="s">
        <v>17</v>
      </c>
      <c r="E47">
        <v>4.8</v>
      </c>
      <c r="F47">
        <v>0.9</v>
      </c>
      <c r="G47">
        <v>2.2200000000000002</v>
      </c>
      <c r="H47">
        <v>0.8</v>
      </c>
      <c r="I47" t="s">
        <v>15</v>
      </c>
      <c r="J47">
        <v>1</v>
      </c>
      <c r="K47">
        <v>4</v>
      </c>
      <c r="L47">
        <v>10</v>
      </c>
      <c r="M47">
        <v>0</v>
      </c>
      <c r="N47" t="str">
        <f t="shared" si="0"/>
        <v>13-15</v>
      </c>
      <c r="O47" t="str">
        <f t="shared" si="3"/>
        <v>low sleep</v>
      </c>
      <c r="P47" s="1" t="str" cm="1">
        <f t="array" ref="P47">_xlfn.IFS(L47&lt;=3,"low",L47&lt;=6,"medium",L47&gt;=7,"high")</f>
        <v>high</v>
      </c>
    </row>
    <row r="48" spans="1:16" x14ac:dyDescent="0.3">
      <c r="A48">
        <v>18</v>
      </c>
      <c r="B48" t="s">
        <v>13</v>
      </c>
      <c r="C48">
        <v>6.8</v>
      </c>
      <c r="D48" t="s">
        <v>17</v>
      </c>
      <c r="E48">
        <v>8.6</v>
      </c>
      <c r="F48">
        <v>1.1000000000000001</v>
      </c>
      <c r="G48">
        <v>2.36</v>
      </c>
      <c r="H48">
        <v>1.6</v>
      </c>
      <c r="I48" t="s">
        <v>18</v>
      </c>
      <c r="J48">
        <v>1</v>
      </c>
      <c r="K48">
        <v>10</v>
      </c>
      <c r="L48">
        <v>10</v>
      </c>
      <c r="M48">
        <v>0</v>
      </c>
      <c r="N48" t="str">
        <f t="shared" si="0"/>
        <v>16-19</v>
      </c>
      <c r="O48" t="str">
        <f t="shared" si="3"/>
        <v>healthy sleep</v>
      </c>
      <c r="P48" s="1" t="str" cm="1">
        <f t="array" ref="P48">_xlfn.IFS(L48&lt;=3,"low",L48&lt;=6,"medium",L48&gt;=7,"high")</f>
        <v>high</v>
      </c>
    </row>
    <row r="49" spans="1:16" x14ac:dyDescent="0.3">
      <c r="A49">
        <v>13</v>
      </c>
      <c r="B49" t="s">
        <v>16</v>
      </c>
      <c r="C49">
        <v>3.5</v>
      </c>
      <c r="D49" t="s">
        <v>14</v>
      </c>
      <c r="E49">
        <v>5.0999999999999996</v>
      </c>
      <c r="F49">
        <v>1.1000000000000001</v>
      </c>
      <c r="G49">
        <v>2.27</v>
      </c>
      <c r="H49">
        <v>1.8</v>
      </c>
      <c r="I49" t="s">
        <v>19</v>
      </c>
      <c r="J49">
        <v>2</v>
      </c>
      <c r="K49">
        <v>5</v>
      </c>
      <c r="L49">
        <v>6</v>
      </c>
      <c r="M49">
        <v>0</v>
      </c>
      <c r="N49" t="str">
        <f t="shared" si="0"/>
        <v>13-15</v>
      </c>
      <c r="O49" t="str">
        <f t="shared" si="3"/>
        <v>low sleep</v>
      </c>
      <c r="P49" s="1" t="str" cm="1">
        <f t="array" ref="P49">_xlfn.IFS(L49&lt;=3,"low",L49&lt;=6,"medium",L49&gt;=7,"high")</f>
        <v>medium</v>
      </c>
    </row>
    <row r="50" spans="1:16" x14ac:dyDescent="0.3">
      <c r="A50">
        <v>16</v>
      </c>
      <c r="B50" t="s">
        <v>13</v>
      </c>
      <c r="C50">
        <v>2.2999999999999998</v>
      </c>
      <c r="D50" t="s">
        <v>17</v>
      </c>
      <c r="E50">
        <v>6.3</v>
      </c>
      <c r="F50">
        <v>3</v>
      </c>
      <c r="G50">
        <v>3.24</v>
      </c>
      <c r="H50">
        <v>1.9</v>
      </c>
      <c r="I50" t="s">
        <v>19</v>
      </c>
      <c r="J50">
        <v>4</v>
      </c>
      <c r="K50">
        <v>4</v>
      </c>
      <c r="L50">
        <v>9</v>
      </c>
      <c r="M50">
        <v>0</v>
      </c>
      <c r="N50" t="str">
        <f t="shared" si="0"/>
        <v>16-19</v>
      </c>
      <c r="O50" t="str">
        <f t="shared" si="3"/>
        <v>healthy sleep</v>
      </c>
      <c r="P50" s="1" t="str" cm="1">
        <f t="array" ref="P50">_xlfn.IFS(L50&lt;=3,"low",L50&lt;=6,"medium",L50&gt;=7,"high")</f>
        <v>high</v>
      </c>
    </row>
    <row r="51" spans="1:16" x14ac:dyDescent="0.3">
      <c r="A51">
        <v>14</v>
      </c>
      <c r="B51" t="s">
        <v>13</v>
      </c>
      <c r="C51">
        <v>1.2</v>
      </c>
      <c r="D51" t="s">
        <v>14</v>
      </c>
      <c r="E51">
        <v>8.5</v>
      </c>
      <c r="F51">
        <v>1.8</v>
      </c>
      <c r="G51">
        <v>3.65</v>
      </c>
      <c r="H51">
        <v>1.8</v>
      </c>
      <c r="I51" t="s">
        <v>18</v>
      </c>
      <c r="J51">
        <v>5</v>
      </c>
      <c r="K51">
        <v>10</v>
      </c>
      <c r="L51">
        <v>10</v>
      </c>
      <c r="M51">
        <v>0</v>
      </c>
      <c r="N51" t="str">
        <f t="shared" si="0"/>
        <v>13-15</v>
      </c>
      <c r="O51" t="str">
        <f t="shared" si="3"/>
        <v>healthy sleep</v>
      </c>
      <c r="P51" s="1" t="str" cm="1">
        <f t="array" ref="P51">_xlfn.IFS(L51&lt;=3,"low",L51&lt;=6,"medium",L51&gt;=7,"high")</f>
        <v>high</v>
      </c>
    </row>
    <row r="52" spans="1:16" x14ac:dyDescent="0.3">
      <c r="A52">
        <v>13</v>
      </c>
      <c r="B52" t="s">
        <v>13</v>
      </c>
      <c r="C52">
        <v>6.2</v>
      </c>
      <c r="D52" t="s">
        <v>20</v>
      </c>
      <c r="E52">
        <v>7.1</v>
      </c>
      <c r="F52">
        <v>2.2000000000000002</v>
      </c>
      <c r="G52">
        <v>3.43</v>
      </c>
      <c r="H52">
        <v>0.2</v>
      </c>
      <c r="I52" t="s">
        <v>19</v>
      </c>
      <c r="J52">
        <v>5</v>
      </c>
      <c r="K52">
        <v>2</v>
      </c>
      <c r="L52">
        <v>2</v>
      </c>
      <c r="M52">
        <v>0</v>
      </c>
      <c r="N52" t="str">
        <f t="shared" si="0"/>
        <v>13-15</v>
      </c>
      <c r="O52" t="str">
        <f t="shared" si="3"/>
        <v>healthy sleep</v>
      </c>
      <c r="P52" s="1" t="str" cm="1">
        <f t="array" ref="P52">_xlfn.IFS(L52&lt;=3,"low",L52&lt;=6,"medium",L52&gt;=7,"high")</f>
        <v>low</v>
      </c>
    </row>
    <row r="53" spans="1:16" x14ac:dyDescent="0.3">
      <c r="A53">
        <v>18</v>
      </c>
      <c r="B53" t="s">
        <v>13</v>
      </c>
      <c r="C53">
        <v>4.5</v>
      </c>
      <c r="D53" t="s">
        <v>17</v>
      </c>
      <c r="E53">
        <v>4.0999999999999996</v>
      </c>
      <c r="F53">
        <v>1.9</v>
      </c>
      <c r="G53">
        <v>3.42</v>
      </c>
      <c r="H53">
        <v>0.1</v>
      </c>
      <c r="I53" t="s">
        <v>19</v>
      </c>
      <c r="J53">
        <v>6</v>
      </c>
      <c r="K53">
        <v>7</v>
      </c>
      <c r="L53">
        <v>8</v>
      </c>
      <c r="M53">
        <v>0</v>
      </c>
      <c r="N53" t="str">
        <f t="shared" si="0"/>
        <v>16-19</v>
      </c>
      <c r="O53" t="str">
        <f t="shared" si="3"/>
        <v>low sleep</v>
      </c>
      <c r="P53" s="1" t="str" cm="1">
        <f t="array" ref="P53">_xlfn.IFS(L53&lt;=3,"low",L53&lt;=6,"medium",L53&gt;=7,"high")</f>
        <v>high</v>
      </c>
    </row>
    <row r="54" spans="1:16" x14ac:dyDescent="0.3">
      <c r="A54">
        <v>18</v>
      </c>
      <c r="B54" t="s">
        <v>13</v>
      </c>
      <c r="C54">
        <v>2.9</v>
      </c>
      <c r="D54" t="s">
        <v>14</v>
      </c>
      <c r="E54">
        <v>4.5</v>
      </c>
      <c r="F54">
        <v>2.5</v>
      </c>
      <c r="G54">
        <v>3.16</v>
      </c>
      <c r="H54">
        <v>1.3</v>
      </c>
      <c r="I54" t="s">
        <v>15</v>
      </c>
      <c r="J54">
        <v>3</v>
      </c>
      <c r="K54">
        <v>7</v>
      </c>
      <c r="L54">
        <v>8</v>
      </c>
      <c r="M54">
        <v>0</v>
      </c>
      <c r="N54" t="str">
        <f t="shared" si="0"/>
        <v>16-19</v>
      </c>
      <c r="O54" t="str">
        <f t="shared" si="3"/>
        <v>low sleep</v>
      </c>
      <c r="P54" s="1" t="str" cm="1">
        <f t="array" ref="P54">_xlfn.IFS(L54&lt;=3,"low",L54&lt;=6,"medium",L54&gt;=7,"high")</f>
        <v>high</v>
      </c>
    </row>
    <row r="55" spans="1:16" x14ac:dyDescent="0.3">
      <c r="A55">
        <v>13</v>
      </c>
      <c r="B55" t="s">
        <v>16</v>
      </c>
      <c r="C55">
        <v>5.8</v>
      </c>
      <c r="D55" t="s">
        <v>17</v>
      </c>
      <c r="E55">
        <v>8.5</v>
      </c>
      <c r="F55">
        <v>2.2999999999999998</v>
      </c>
      <c r="G55">
        <v>3.3</v>
      </c>
      <c r="H55">
        <v>1.9</v>
      </c>
      <c r="I55" t="s">
        <v>18</v>
      </c>
      <c r="J55">
        <v>1</v>
      </c>
      <c r="K55">
        <v>1</v>
      </c>
      <c r="L55">
        <v>5</v>
      </c>
      <c r="M55">
        <v>0</v>
      </c>
      <c r="N55" t="str">
        <f t="shared" si="0"/>
        <v>13-15</v>
      </c>
      <c r="O55" t="str">
        <f t="shared" si="3"/>
        <v>healthy sleep</v>
      </c>
      <c r="P55" s="1" t="str" cm="1">
        <f t="array" ref="P55">_xlfn.IFS(L55&lt;=3,"low",L55&lt;=6,"medium",L55&gt;=7,"high")</f>
        <v>medium</v>
      </c>
    </row>
    <row r="56" spans="1:16" x14ac:dyDescent="0.3">
      <c r="A56">
        <v>18</v>
      </c>
      <c r="B56" t="s">
        <v>13</v>
      </c>
      <c r="C56">
        <v>6.8</v>
      </c>
      <c r="D56" t="s">
        <v>14</v>
      </c>
      <c r="E56">
        <v>6.5</v>
      </c>
      <c r="F56">
        <v>2.7</v>
      </c>
      <c r="G56">
        <v>2.97</v>
      </c>
      <c r="H56">
        <v>1.9</v>
      </c>
      <c r="I56" t="s">
        <v>15</v>
      </c>
      <c r="J56">
        <v>4</v>
      </c>
      <c r="K56">
        <v>4</v>
      </c>
      <c r="L56">
        <v>5</v>
      </c>
      <c r="M56">
        <v>0</v>
      </c>
      <c r="N56" t="str">
        <f t="shared" si="0"/>
        <v>16-19</v>
      </c>
      <c r="O56" t="str">
        <f t="shared" si="3"/>
        <v>healthy sleep</v>
      </c>
      <c r="P56" s="1" t="str" cm="1">
        <f t="array" ref="P56">_xlfn.IFS(L56&lt;=3,"low",L56&lt;=6,"medium",L56&gt;=7,"high")</f>
        <v>medium</v>
      </c>
    </row>
    <row r="57" spans="1:16" x14ac:dyDescent="0.3">
      <c r="A57">
        <v>15</v>
      </c>
      <c r="B57" t="s">
        <v>16</v>
      </c>
      <c r="C57">
        <v>7.4</v>
      </c>
      <c r="D57" t="s">
        <v>14</v>
      </c>
      <c r="E57">
        <v>8.6</v>
      </c>
      <c r="F57">
        <v>0.9</v>
      </c>
      <c r="G57">
        <v>2.2999999999999998</v>
      </c>
      <c r="H57">
        <v>0</v>
      </c>
      <c r="I57" t="s">
        <v>15</v>
      </c>
      <c r="J57">
        <v>1</v>
      </c>
      <c r="K57">
        <v>5</v>
      </c>
      <c r="L57">
        <v>3</v>
      </c>
      <c r="M57">
        <v>0</v>
      </c>
      <c r="N57" t="str">
        <f t="shared" si="0"/>
        <v>13-15</v>
      </c>
      <c r="O57" t="str">
        <f t="shared" si="3"/>
        <v>healthy sleep</v>
      </c>
      <c r="P57" s="1" t="str" cm="1">
        <f t="array" ref="P57">_xlfn.IFS(L57&lt;=3,"low",L57&lt;=6,"medium",L57&gt;=7,"high")</f>
        <v>low</v>
      </c>
    </row>
    <row r="58" spans="1:16" x14ac:dyDescent="0.3">
      <c r="A58">
        <v>18</v>
      </c>
      <c r="B58" t="s">
        <v>13</v>
      </c>
      <c r="C58">
        <v>4.5</v>
      </c>
      <c r="D58" t="s">
        <v>17</v>
      </c>
      <c r="E58">
        <v>5</v>
      </c>
      <c r="F58">
        <v>2.5</v>
      </c>
      <c r="G58">
        <v>2.65</v>
      </c>
      <c r="H58">
        <v>0.7</v>
      </c>
      <c r="I58" t="s">
        <v>19</v>
      </c>
      <c r="J58">
        <v>8</v>
      </c>
      <c r="K58">
        <v>9</v>
      </c>
      <c r="L58">
        <v>1</v>
      </c>
      <c r="M58">
        <v>0</v>
      </c>
      <c r="N58" t="str">
        <f t="shared" si="0"/>
        <v>16-19</v>
      </c>
      <c r="O58" t="str">
        <f t="shared" si="3"/>
        <v>low sleep</v>
      </c>
      <c r="P58" s="1" t="str" cm="1">
        <f t="array" ref="P58">_xlfn.IFS(L58&lt;=3,"low",L58&lt;=6,"medium",L58&gt;=7,"high")</f>
        <v>low</v>
      </c>
    </row>
    <row r="59" spans="1:16" x14ac:dyDescent="0.3">
      <c r="A59">
        <v>16</v>
      </c>
      <c r="B59" t="s">
        <v>13</v>
      </c>
      <c r="C59">
        <v>6.4</v>
      </c>
      <c r="D59" t="s">
        <v>17</v>
      </c>
      <c r="E59">
        <v>5.3</v>
      </c>
      <c r="F59">
        <v>2.4</v>
      </c>
      <c r="G59">
        <v>2.0299999999999998</v>
      </c>
      <c r="H59">
        <v>1.7</v>
      </c>
      <c r="I59" t="s">
        <v>19</v>
      </c>
      <c r="J59">
        <v>7</v>
      </c>
      <c r="K59">
        <v>5</v>
      </c>
      <c r="L59">
        <v>10</v>
      </c>
      <c r="M59">
        <v>0</v>
      </c>
      <c r="N59" t="str">
        <f t="shared" si="0"/>
        <v>16-19</v>
      </c>
      <c r="O59" t="str">
        <f t="shared" si="3"/>
        <v>low sleep</v>
      </c>
      <c r="P59" s="1" t="str" cm="1">
        <f t="array" ref="P59">_xlfn.IFS(L59&lt;=3,"low",L59&lt;=6,"medium",L59&gt;=7,"high")</f>
        <v>high</v>
      </c>
    </row>
    <row r="60" spans="1:16" x14ac:dyDescent="0.3">
      <c r="A60">
        <v>13</v>
      </c>
      <c r="B60" t="s">
        <v>13</v>
      </c>
      <c r="C60">
        <v>7.3</v>
      </c>
      <c r="D60" t="s">
        <v>20</v>
      </c>
      <c r="E60">
        <v>4.2</v>
      </c>
      <c r="F60">
        <v>1.3</v>
      </c>
      <c r="G60">
        <v>2.16</v>
      </c>
      <c r="H60">
        <v>1</v>
      </c>
      <c r="I60" t="s">
        <v>18</v>
      </c>
      <c r="J60">
        <v>4</v>
      </c>
      <c r="K60">
        <v>5</v>
      </c>
      <c r="L60">
        <v>2</v>
      </c>
      <c r="M60">
        <v>0</v>
      </c>
      <c r="N60" t="str">
        <f t="shared" si="0"/>
        <v>13-15</v>
      </c>
      <c r="O60" t="str">
        <f t="shared" si="3"/>
        <v>low sleep</v>
      </c>
      <c r="P60" s="1" t="str" cm="1">
        <f t="array" ref="P60">_xlfn.IFS(L60&lt;=3,"low",L60&lt;=6,"medium",L60&gt;=7,"high")</f>
        <v>low</v>
      </c>
    </row>
    <row r="61" spans="1:16" x14ac:dyDescent="0.3">
      <c r="A61">
        <v>17</v>
      </c>
      <c r="B61" t="s">
        <v>16</v>
      </c>
      <c r="C61">
        <v>7.1</v>
      </c>
      <c r="D61" t="s">
        <v>14</v>
      </c>
      <c r="E61">
        <v>5.6</v>
      </c>
      <c r="F61">
        <v>0.6</v>
      </c>
      <c r="G61">
        <v>3.07</v>
      </c>
      <c r="H61">
        <v>1</v>
      </c>
      <c r="I61" t="s">
        <v>19</v>
      </c>
      <c r="J61">
        <v>1</v>
      </c>
      <c r="K61">
        <v>3</v>
      </c>
      <c r="L61">
        <v>7</v>
      </c>
      <c r="M61">
        <v>0</v>
      </c>
      <c r="N61" t="str">
        <f t="shared" si="0"/>
        <v>16-19</v>
      </c>
      <c r="O61" t="str">
        <f t="shared" si="3"/>
        <v>low sleep</v>
      </c>
      <c r="P61" s="1" t="str" cm="1">
        <f t="array" ref="P61">_xlfn.IFS(L61&lt;=3,"low",L61&lt;=6,"medium",L61&gt;=7,"high")</f>
        <v>high</v>
      </c>
    </row>
    <row r="62" spans="1:16" x14ac:dyDescent="0.3">
      <c r="A62">
        <v>18</v>
      </c>
      <c r="B62" t="s">
        <v>13</v>
      </c>
      <c r="C62">
        <v>1.6</v>
      </c>
      <c r="D62" t="s">
        <v>17</v>
      </c>
      <c r="E62">
        <v>5.0999999999999996</v>
      </c>
      <c r="F62">
        <v>2.7</v>
      </c>
      <c r="G62">
        <v>3.57</v>
      </c>
      <c r="H62">
        <v>0.8</v>
      </c>
      <c r="I62" t="s">
        <v>18</v>
      </c>
      <c r="J62">
        <v>3</v>
      </c>
      <c r="K62">
        <v>9</v>
      </c>
      <c r="L62">
        <v>7</v>
      </c>
      <c r="M62">
        <v>0</v>
      </c>
      <c r="N62" t="str">
        <f t="shared" si="0"/>
        <v>16-19</v>
      </c>
      <c r="O62" t="str">
        <f t="shared" si="3"/>
        <v>low sleep</v>
      </c>
      <c r="P62" s="1" t="str" cm="1">
        <f t="array" ref="P62">_xlfn.IFS(L62&lt;=3,"low",L62&lt;=6,"medium",L62&gt;=7,"high")</f>
        <v>high</v>
      </c>
    </row>
    <row r="63" spans="1:16" x14ac:dyDescent="0.3">
      <c r="A63">
        <v>15</v>
      </c>
      <c r="B63" t="s">
        <v>16</v>
      </c>
      <c r="C63">
        <v>1.5</v>
      </c>
      <c r="D63" t="s">
        <v>14</v>
      </c>
      <c r="E63">
        <v>4.7</v>
      </c>
      <c r="F63">
        <v>1</v>
      </c>
      <c r="G63">
        <v>3.82</v>
      </c>
      <c r="H63">
        <v>0.6</v>
      </c>
      <c r="I63" t="s">
        <v>19</v>
      </c>
      <c r="J63">
        <v>6</v>
      </c>
      <c r="K63">
        <v>1</v>
      </c>
      <c r="L63">
        <v>4</v>
      </c>
      <c r="M63">
        <v>0</v>
      </c>
      <c r="N63" t="str">
        <f t="shared" si="0"/>
        <v>13-15</v>
      </c>
      <c r="O63" t="str">
        <f t="shared" si="3"/>
        <v>low sleep</v>
      </c>
      <c r="P63" s="1" t="str" cm="1">
        <f t="array" ref="P63">_xlfn.IFS(L63&lt;=3,"low",L63&lt;=6,"medium",L63&gt;=7,"high")</f>
        <v>medium</v>
      </c>
    </row>
    <row r="64" spans="1:16" x14ac:dyDescent="0.3">
      <c r="A64">
        <v>13</v>
      </c>
      <c r="B64" t="s">
        <v>13</v>
      </c>
      <c r="C64">
        <v>4.3</v>
      </c>
      <c r="D64" t="s">
        <v>20</v>
      </c>
      <c r="E64">
        <v>5.8</v>
      </c>
      <c r="F64">
        <v>0.7</v>
      </c>
      <c r="G64">
        <v>3.15</v>
      </c>
      <c r="H64">
        <v>0.1</v>
      </c>
      <c r="I64" t="s">
        <v>19</v>
      </c>
      <c r="J64">
        <v>7</v>
      </c>
      <c r="K64">
        <v>2</v>
      </c>
      <c r="L64">
        <v>1</v>
      </c>
      <c r="M64">
        <v>0</v>
      </c>
      <c r="N64" t="str">
        <f t="shared" si="0"/>
        <v>13-15</v>
      </c>
      <c r="O64" t="str">
        <f t="shared" si="3"/>
        <v>low sleep</v>
      </c>
      <c r="P64" s="1" t="str" cm="1">
        <f t="array" ref="P64">_xlfn.IFS(L64&lt;=3,"low",L64&lt;=6,"medium",L64&gt;=7,"high")</f>
        <v>low</v>
      </c>
    </row>
    <row r="65" spans="1:16" x14ac:dyDescent="0.3">
      <c r="A65">
        <v>17</v>
      </c>
      <c r="B65" t="s">
        <v>13</v>
      </c>
      <c r="C65">
        <v>2.5</v>
      </c>
      <c r="D65" t="s">
        <v>20</v>
      </c>
      <c r="E65">
        <v>6.7</v>
      </c>
      <c r="F65">
        <v>2</v>
      </c>
      <c r="G65">
        <v>2.56</v>
      </c>
      <c r="H65">
        <v>1.7</v>
      </c>
      <c r="I65" t="s">
        <v>18</v>
      </c>
      <c r="J65">
        <v>5</v>
      </c>
      <c r="K65">
        <v>7</v>
      </c>
      <c r="L65">
        <v>5</v>
      </c>
      <c r="M65">
        <v>0</v>
      </c>
      <c r="N65" t="str">
        <f t="shared" si="0"/>
        <v>16-19</v>
      </c>
      <c r="O65" t="str">
        <f t="shared" si="3"/>
        <v>healthy sleep</v>
      </c>
      <c r="P65" s="1" t="str" cm="1">
        <f t="array" ref="P65">_xlfn.IFS(L65&lt;=3,"low",L65&lt;=6,"medium",L65&gt;=7,"high")</f>
        <v>medium</v>
      </c>
    </row>
    <row r="66" spans="1:16" x14ac:dyDescent="0.3">
      <c r="A66">
        <v>19</v>
      </c>
      <c r="B66" t="s">
        <v>16</v>
      </c>
      <c r="C66">
        <v>7.9</v>
      </c>
      <c r="D66" t="s">
        <v>17</v>
      </c>
      <c r="E66">
        <v>5.0999999999999996</v>
      </c>
      <c r="F66">
        <v>1.7</v>
      </c>
      <c r="G66">
        <v>2.8</v>
      </c>
      <c r="H66">
        <v>0.8</v>
      </c>
      <c r="I66" t="s">
        <v>15</v>
      </c>
      <c r="J66">
        <v>6</v>
      </c>
      <c r="K66">
        <v>1</v>
      </c>
      <c r="L66">
        <v>8</v>
      </c>
      <c r="M66">
        <v>0</v>
      </c>
      <c r="N66" t="str">
        <f t="shared" si="0"/>
        <v>16-19</v>
      </c>
      <c r="O66" t="str">
        <f t="shared" si="3"/>
        <v>low sleep</v>
      </c>
      <c r="P66" s="1" t="str" cm="1">
        <f t="array" ref="P66">_xlfn.IFS(L66&lt;=3,"low",L66&lt;=6,"medium",L66&gt;=7,"high")</f>
        <v>high</v>
      </c>
    </row>
    <row r="67" spans="1:16" x14ac:dyDescent="0.3">
      <c r="A67">
        <v>17</v>
      </c>
      <c r="B67" t="s">
        <v>13</v>
      </c>
      <c r="C67">
        <v>2.7</v>
      </c>
      <c r="D67" t="s">
        <v>14</v>
      </c>
      <c r="E67">
        <v>8</v>
      </c>
      <c r="F67">
        <v>2.6</v>
      </c>
      <c r="G67">
        <v>3.53</v>
      </c>
      <c r="H67">
        <v>1.9</v>
      </c>
      <c r="I67" t="s">
        <v>18</v>
      </c>
      <c r="J67">
        <v>1</v>
      </c>
      <c r="K67">
        <v>8</v>
      </c>
      <c r="L67">
        <v>7</v>
      </c>
      <c r="M67">
        <v>0</v>
      </c>
      <c r="N67" t="str">
        <f t="shared" ref="N67:N130" si="4">IF(A67&lt;=15,"13-15","16-19")</f>
        <v>16-19</v>
      </c>
      <c r="O67" t="str">
        <f t="shared" ref="O67:O130" si="5">IF(E67&lt;=6,"low sleep","healthy sleep")</f>
        <v>healthy sleep</v>
      </c>
      <c r="P67" s="1" t="str" cm="1">
        <f t="array" ref="P67">_xlfn.IFS(L67&lt;=3,"low",L67&lt;=6,"medium",L67&gt;=7,"high")</f>
        <v>high</v>
      </c>
    </row>
    <row r="68" spans="1:16" x14ac:dyDescent="0.3">
      <c r="A68">
        <v>13</v>
      </c>
      <c r="B68" t="s">
        <v>13</v>
      </c>
      <c r="C68">
        <v>3.1</v>
      </c>
      <c r="D68" t="s">
        <v>17</v>
      </c>
      <c r="E68">
        <v>8.1999999999999993</v>
      </c>
      <c r="F68">
        <v>1.5</v>
      </c>
      <c r="G68">
        <v>2.4500000000000002</v>
      </c>
      <c r="H68">
        <v>0.3</v>
      </c>
      <c r="I68" t="s">
        <v>15</v>
      </c>
      <c r="J68">
        <v>5</v>
      </c>
      <c r="K68">
        <v>8</v>
      </c>
      <c r="L68">
        <v>6</v>
      </c>
      <c r="M68">
        <v>0</v>
      </c>
      <c r="N68" t="str">
        <f t="shared" si="4"/>
        <v>13-15</v>
      </c>
      <c r="O68" t="str">
        <f t="shared" si="5"/>
        <v>healthy sleep</v>
      </c>
      <c r="P68" s="1" t="str" cm="1">
        <f t="array" ref="P68">_xlfn.IFS(L68&lt;=3,"low",L68&lt;=6,"medium",L68&gt;=7,"high")</f>
        <v>medium</v>
      </c>
    </row>
    <row r="69" spans="1:16" x14ac:dyDescent="0.3">
      <c r="A69">
        <v>17</v>
      </c>
      <c r="B69" t="s">
        <v>13</v>
      </c>
      <c r="C69">
        <v>5.8</v>
      </c>
      <c r="D69" t="s">
        <v>20</v>
      </c>
      <c r="E69">
        <v>7.6</v>
      </c>
      <c r="F69">
        <v>0.7</v>
      </c>
      <c r="G69">
        <v>2.83</v>
      </c>
      <c r="H69">
        <v>1</v>
      </c>
      <c r="I69" t="s">
        <v>19</v>
      </c>
      <c r="J69">
        <v>7</v>
      </c>
      <c r="K69">
        <v>6</v>
      </c>
      <c r="L69">
        <v>8</v>
      </c>
      <c r="M69">
        <v>0</v>
      </c>
      <c r="N69" t="str">
        <f t="shared" si="4"/>
        <v>16-19</v>
      </c>
      <c r="O69" t="str">
        <f t="shared" si="5"/>
        <v>healthy sleep</v>
      </c>
      <c r="P69" s="1" t="str" cm="1">
        <f t="array" ref="P69">_xlfn.IFS(L69&lt;=3,"low",L69&lt;=6,"medium",L69&gt;=7,"high")</f>
        <v>high</v>
      </c>
    </row>
    <row r="70" spans="1:16" x14ac:dyDescent="0.3">
      <c r="A70">
        <v>14</v>
      </c>
      <c r="B70" t="s">
        <v>16</v>
      </c>
      <c r="C70">
        <v>3.9</v>
      </c>
      <c r="D70" t="s">
        <v>20</v>
      </c>
      <c r="E70">
        <v>7</v>
      </c>
      <c r="F70">
        <v>2.8</v>
      </c>
      <c r="G70">
        <v>2.8</v>
      </c>
      <c r="H70">
        <v>0.1</v>
      </c>
      <c r="I70" t="s">
        <v>15</v>
      </c>
      <c r="J70">
        <v>8</v>
      </c>
      <c r="K70">
        <v>2</v>
      </c>
      <c r="L70">
        <v>8</v>
      </c>
      <c r="M70">
        <v>0</v>
      </c>
      <c r="N70" t="str">
        <f t="shared" si="4"/>
        <v>13-15</v>
      </c>
      <c r="O70" t="str">
        <f t="shared" si="5"/>
        <v>healthy sleep</v>
      </c>
      <c r="P70" s="1" t="str" cm="1">
        <f t="array" ref="P70">_xlfn.IFS(L70&lt;=3,"low",L70&lt;=6,"medium",L70&gt;=7,"high")</f>
        <v>high</v>
      </c>
    </row>
    <row r="71" spans="1:16" x14ac:dyDescent="0.3">
      <c r="A71">
        <v>15</v>
      </c>
      <c r="B71" t="s">
        <v>13</v>
      </c>
      <c r="C71">
        <v>7.5</v>
      </c>
      <c r="D71" t="s">
        <v>20</v>
      </c>
      <c r="E71">
        <v>7</v>
      </c>
      <c r="F71">
        <v>0.9</v>
      </c>
      <c r="G71">
        <v>3.48</v>
      </c>
      <c r="H71">
        <v>1.1000000000000001</v>
      </c>
      <c r="I71" t="s">
        <v>18</v>
      </c>
      <c r="J71">
        <v>2</v>
      </c>
      <c r="K71">
        <v>2</v>
      </c>
      <c r="L71">
        <v>6</v>
      </c>
      <c r="M71">
        <v>0</v>
      </c>
      <c r="N71" t="str">
        <f t="shared" si="4"/>
        <v>13-15</v>
      </c>
      <c r="O71" t="str">
        <f t="shared" si="5"/>
        <v>healthy sleep</v>
      </c>
      <c r="P71" s="1" t="str" cm="1">
        <f t="array" ref="P71">_xlfn.IFS(L71&lt;=3,"low",L71&lt;=6,"medium",L71&gt;=7,"high")</f>
        <v>medium</v>
      </c>
    </row>
    <row r="72" spans="1:16" x14ac:dyDescent="0.3">
      <c r="A72">
        <v>14</v>
      </c>
      <c r="B72" t="s">
        <v>13</v>
      </c>
      <c r="C72">
        <v>5.2</v>
      </c>
      <c r="D72" t="s">
        <v>20</v>
      </c>
      <c r="E72">
        <v>6.7</v>
      </c>
      <c r="F72">
        <v>2</v>
      </c>
      <c r="G72">
        <v>3.48</v>
      </c>
      <c r="H72">
        <v>1</v>
      </c>
      <c r="I72" t="s">
        <v>19</v>
      </c>
      <c r="J72">
        <v>2</v>
      </c>
      <c r="K72">
        <v>1</v>
      </c>
      <c r="L72">
        <v>5</v>
      </c>
      <c r="M72">
        <v>0</v>
      </c>
      <c r="N72" t="str">
        <f t="shared" si="4"/>
        <v>13-15</v>
      </c>
      <c r="O72" t="str">
        <f t="shared" si="5"/>
        <v>healthy sleep</v>
      </c>
      <c r="P72" s="1" t="str" cm="1">
        <f t="array" ref="P72">_xlfn.IFS(L72&lt;=3,"low",L72&lt;=6,"medium",L72&gt;=7,"high")</f>
        <v>medium</v>
      </c>
    </row>
    <row r="73" spans="1:16" x14ac:dyDescent="0.3">
      <c r="A73">
        <v>16</v>
      </c>
      <c r="B73" t="s">
        <v>16</v>
      </c>
      <c r="C73">
        <v>3.1</v>
      </c>
      <c r="D73" t="s">
        <v>17</v>
      </c>
      <c r="E73">
        <v>5</v>
      </c>
      <c r="F73">
        <v>1.1000000000000001</v>
      </c>
      <c r="G73">
        <v>2.73</v>
      </c>
      <c r="H73">
        <v>1.6</v>
      </c>
      <c r="I73" t="s">
        <v>15</v>
      </c>
      <c r="J73">
        <v>2</v>
      </c>
      <c r="K73">
        <v>8</v>
      </c>
      <c r="L73">
        <v>1</v>
      </c>
      <c r="M73">
        <v>0</v>
      </c>
      <c r="N73" t="str">
        <f t="shared" si="4"/>
        <v>16-19</v>
      </c>
      <c r="O73" t="str">
        <f t="shared" si="5"/>
        <v>low sleep</v>
      </c>
      <c r="P73" s="1" t="str" cm="1">
        <f t="array" ref="P73">_xlfn.IFS(L73&lt;=3,"low",L73&lt;=6,"medium",L73&gt;=7,"high")</f>
        <v>low</v>
      </c>
    </row>
    <row r="74" spans="1:16" x14ac:dyDescent="0.3">
      <c r="A74">
        <v>16</v>
      </c>
      <c r="B74" t="s">
        <v>16</v>
      </c>
      <c r="C74">
        <v>2</v>
      </c>
      <c r="D74" t="s">
        <v>14</v>
      </c>
      <c r="E74">
        <v>8.6999999999999993</v>
      </c>
      <c r="F74">
        <v>1.2</v>
      </c>
      <c r="G74">
        <v>3</v>
      </c>
      <c r="H74">
        <v>0</v>
      </c>
      <c r="I74" t="s">
        <v>15</v>
      </c>
      <c r="J74">
        <v>8</v>
      </c>
      <c r="K74">
        <v>8</v>
      </c>
      <c r="L74">
        <v>4</v>
      </c>
      <c r="M74">
        <v>0</v>
      </c>
      <c r="N74" t="str">
        <f t="shared" si="4"/>
        <v>16-19</v>
      </c>
      <c r="O74" t="str">
        <f t="shared" si="5"/>
        <v>healthy sleep</v>
      </c>
      <c r="P74" s="1" t="str" cm="1">
        <f t="array" ref="P74">_xlfn.IFS(L74&lt;=3,"low",L74&lt;=6,"medium",L74&gt;=7,"high")</f>
        <v>medium</v>
      </c>
    </row>
    <row r="75" spans="1:16" x14ac:dyDescent="0.3">
      <c r="A75">
        <v>14</v>
      </c>
      <c r="B75" t="s">
        <v>13</v>
      </c>
      <c r="C75">
        <v>2.7</v>
      </c>
      <c r="D75" t="s">
        <v>14</v>
      </c>
      <c r="E75">
        <v>8.4</v>
      </c>
      <c r="F75">
        <v>1.3</v>
      </c>
      <c r="G75">
        <v>2.0099999999999998</v>
      </c>
      <c r="H75">
        <v>0.6</v>
      </c>
      <c r="I75" t="s">
        <v>15</v>
      </c>
      <c r="J75">
        <v>6</v>
      </c>
      <c r="K75">
        <v>3</v>
      </c>
      <c r="L75">
        <v>8</v>
      </c>
      <c r="M75">
        <v>0</v>
      </c>
      <c r="N75" t="str">
        <f t="shared" si="4"/>
        <v>13-15</v>
      </c>
      <c r="O75" t="str">
        <f t="shared" si="5"/>
        <v>healthy sleep</v>
      </c>
      <c r="P75" s="1" t="str" cm="1">
        <f t="array" ref="P75">_xlfn.IFS(L75&lt;=3,"low",L75&lt;=6,"medium",L75&gt;=7,"high")</f>
        <v>high</v>
      </c>
    </row>
    <row r="76" spans="1:16" x14ac:dyDescent="0.3">
      <c r="A76">
        <v>14</v>
      </c>
      <c r="B76" t="s">
        <v>13</v>
      </c>
      <c r="C76">
        <v>1.5</v>
      </c>
      <c r="D76" t="s">
        <v>20</v>
      </c>
      <c r="E76">
        <v>4.3</v>
      </c>
      <c r="F76">
        <v>2.1</v>
      </c>
      <c r="G76">
        <v>3.9</v>
      </c>
      <c r="H76">
        <v>1.5</v>
      </c>
      <c r="I76" t="s">
        <v>15</v>
      </c>
      <c r="J76">
        <v>10</v>
      </c>
      <c r="K76">
        <v>2</v>
      </c>
      <c r="L76">
        <v>4</v>
      </c>
      <c r="M76">
        <v>0</v>
      </c>
      <c r="N76" t="str">
        <f t="shared" si="4"/>
        <v>13-15</v>
      </c>
      <c r="O76" t="str">
        <f t="shared" si="5"/>
        <v>low sleep</v>
      </c>
      <c r="P76" s="1" t="str" cm="1">
        <f t="array" ref="P76">_xlfn.IFS(L76&lt;=3,"low",L76&lt;=6,"medium",L76&gt;=7,"high")</f>
        <v>medium</v>
      </c>
    </row>
    <row r="77" spans="1:16" x14ac:dyDescent="0.3">
      <c r="A77">
        <v>17</v>
      </c>
      <c r="B77" t="s">
        <v>16</v>
      </c>
      <c r="C77">
        <v>6.9</v>
      </c>
      <c r="D77" t="s">
        <v>14</v>
      </c>
      <c r="E77">
        <v>8.1999999999999993</v>
      </c>
      <c r="F77">
        <v>0.8</v>
      </c>
      <c r="G77">
        <v>2.36</v>
      </c>
      <c r="H77">
        <v>0</v>
      </c>
      <c r="I77" t="s">
        <v>19</v>
      </c>
      <c r="J77">
        <v>10</v>
      </c>
      <c r="K77">
        <v>10</v>
      </c>
      <c r="L77">
        <v>7</v>
      </c>
      <c r="M77">
        <v>0</v>
      </c>
      <c r="N77" t="str">
        <f t="shared" si="4"/>
        <v>16-19</v>
      </c>
      <c r="O77" t="str">
        <f t="shared" si="5"/>
        <v>healthy sleep</v>
      </c>
      <c r="P77" s="1" t="str" cm="1">
        <f t="array" ref="P77">_xlfn.IFS(L77&lt;=3,"low",L77&lt;=6,"medium",L77&gt;=7,"high")</f>
        <v>high</v>
      </c>
    </row>
    <row r="78" spans="1:16" x14ac:dyDescent="0.3">
      <c r="A78">
        <v>13</v>
      </c>
      <c r="B78" t="s">
        <v>13</v>
      </c>
      <c r="C78">
        <v>1.1000000000000001</v>
      </c>
      <c r="D78" t="s">
        <v>17</v>
      </c>
      <c r="E78">
        <v>7.1</v>
      </c>
      <c r="F78">
        <v>1.8</v>
      </c>
      <c r="G78">
        <v>2.5499999999999998</v>
      </c>
      <c r="H78">
        <v>0.8</v>
      </c>
      <c r="I78" t="s">
        <v>18</v>
      </c>
      <c r="J78">
        <v>5</v>
      </c>
      <c r="K78">
        <v>5</v>
      </c>
      <c r="L78">
        <v>10</v>
      </c>
      <c r="M78">
        <v>0</v>
      </c>
      <c r="N78" t="str">
        <f t="shared" si="4"/>
        <v>13-15</v>
      </c>
      <c r="O78" t="str">
        <f t="shared" si="5"/>
        <v>healthy sleep</v>
      </c>
      <c r="P78" s="1" t="str" cm="1">
        <f t="array" ref="P78">_xlfn.IFS(L78&lt;=3,"low",L78&lt;=6,"medium",L78&gt;=7,"high")</f>
        <v>high</v>
      </c>
    </row>
    <row r="79" spans="1:16" x14ac:dyDescent="0.3">
      <c r="A79">
        <v>13</v>
      </c>
      <c r="B79" t="s">
        <v>13</v>
      </c>
      <c r="C79">
        <v>3.4</v>
      </c>
      <c r="D79" t="s">
        <v>17</v>
      </c>
      <c r="E79">
        <v>4.4000000000000004</v>
      </c>
      <c r="F79">
        <v>0.6</v>
      </c>
      <c r="G79">
        <v>3.41</v>
      </c>
      <c r="H79">
        <v>0.2</v>
      </c>
      <c r="I79" t="s">
        <v>15</v>
      </c>
      <c r="J79">
        <v>8</v>
      </c>
      <c r="K79">
        <v>6</v>
      </c>
      <c r="L79">
        <v>3</v>
      </c>
      <c r="M79">
        <v>0</v>
      </c>
      <c r="N79" t="str">
        <f t="shared" si="4"/>
        <v>13-15</v>
      </c>
      <c r="O79" t="str">
        <f t="shared" si="5"/>
        <v>low sleep</v>
      </c>
      <c r="P79" s="1" t="str" cm="1">
        <f t="array" ref="P79">_xlfn.IFS(L79&lt;=3,"low",L79&lt;=6,"medium",L79&gt;=7,"high")</f>
        <v>low</v>
      </c>
    </row>
    <row r="80" spans="1:16" x14ac:dyDescent="0.3">
      <c r="A80">
        <v>15</v>
      </c>
      <c r="B80" t="s">
        <v>13</v>
      </c>
      <c r="C80">
        <v>6.7</v>
      </c>
      <c r="D80" t="s">
        <v>20</v>
      </c>
      <c r="E80">
        <v>4.5</v>
      </c>
      <c r="F80">
        <v>2.1</v>
      </c>
      <c r="G80">
        <v>3.71</v>
      </c>
      <c r="H80">
        <v>1.3</v>
      </c>
      <c r="I80" t="s">
        <v>18</v>
      </c>
      <c r="J80">
        <v>3</v>
      </c>
      <c r="K80">
        <v>3</v>
      </c>
      <c r="L80">
        <v>3</v>
      </c>
      <c r="M80">
        <v>0</v>
      </c>
      <c r="N80" t="str">
        <f t="shared" si="4"/>
        <v>13-15</v>
      </c>
      <c r="O80" t="str">
        <f t="shared" si="5"/>
        <v>low sleep</v>
      </c>
      <c r="P80" s="1" t="str" cm="1">
        <f t="array" ref="P80">_xlfn.IFS(L80&lt;=3,"low",L80&lt;=6,"medium",L80&gt;=7,"high")</f>
        <v>low</v>
      </c>
    </row>
    <row r="81" spans="1:16" x14ac:dyDescent="0.3">
      <c r="A81">
        <v>18</v>
      </c>
      <c r="B81" t="s">
        <v>13</v>
      </c>
      <c r="C81">
        <v>1.1000000000000001</v>
      </c>
      <c r="D81" t="s">
        <v>20</v>
      </c>
      <c r="E81">
        <v>7.2</v>
      </c>
      <c r="F81">
        <v>1</v>
      </c>
      <c r="G81">
        <v>3.13</v>
      </c>
      <c r="H81">
        <v>0.6</v>
      </c>
      <c r="I81" t="s">
        <v>19</v>
      </c>
      <c r="J81">
        <v>2</v>
      </c>
      <c r="K81">
        <v>1</v>
      </c>
      <c r="L81">
        <v>4</v>
      </c>
      <c r="M81">
        <v>0</v>
      </c>
      <c r="N81" t="str">
        <f t="shared" si="4"/>
        <v>16-19</v>
      </c>
      <c r="O81" t="str">
        <f t="shared" si="5"/>
        <v>healthy sleep</v>
      </c>
      <c r="P81" s="1" t="str" cm="1">
        <f t="array" ref="P81">_xlfn.IFS(L81&lt;=3,"low",L81&lt;=6,"medium",L81&gt;=7,"high")</f>
        <v>medium</v>
      </c>
    </row>
    <row r="82" spans="1:16" x14ac:dyDescent="0.3">
      <c r="A82">
        <v>18</v>
      </c>
      <c r="B82" t="s">
        <v>16</v>
      </c>
      <c r="C82">
        <v>7.4</v>
      </c>
      <c r="D82" t="s">
        <v>14</v>
      </c>
      <c r="E82">
        <v>7.5</v>
      </c>
      <c r="F82">
        <v>2.2999999999999998</v>
      </c>
      <c r="G82">
        <v>2.39</v>
      </c>
      <c r="H82">
        <v>0.9</v>
      </c>
      <c r="I82" t="s">
        <v>18</v>
      </c>
      <c r="J82">
        <v>4</v>
      </c>
      <c r="K82">
        <v>1</v>
      </c>
      <c r="L82">
        <v>4</v>
      </c>
      <c r="M82">
        <v>0</v>
      </c>
      <c r="N82" t="str">
        <f t="shared" si="4"/>
        <v>16-19</v>
      </c>
      <c r="O82" t="str">
        <f t="shared" si="5"/>
        <v>healthy sleep</v>
      </c>
      <c r="P82" s="1" t="str" cm="1">
        <f t="array" ref="P82">_xlfn.IFS(L82&lt;=3,"low",L82&lt;=6,"medium",L82&gt;=7,"high")</f>
        <v>medium</v>
      </c>
    </row>
    <row r="83" spans="1:16" x14ac:dyDescent="0.3">
      <c r="A83">
        <v>19</v>
      </c>
      <c r="B83" t="s">
        <v>16</v>
      </c>
      <c r="C83">
        <v>4.8</v>
      </c>
      <c r="D83" t="s">
        <v>17</v>
      </c>
      <c r="E83">
        <v>6</v>
      </c>
      <c r="F83">
        <v>1.5</v>
      </c>
      <c r="G83">
        <v>2.61</v>
      </c>
      <c r="H83">
        <v>1.2</v>
      </c>
      <c r="I83" t="s">
        <v>18</v>
      </c>
      <c r="J83">
        <v>2</v>
      </c>
      <c r="K83">
        <v>2</v>
      </c>
      <c r="L83">
        <v>6</v>
      </c>
      <c r="M83">
        <v>0</v>
      </c>
      <c r="N83" t="str">
        <f t="shared" si="4"/>
        <v>16-19</v>
      </c>
      <c r="O83" t="str">
        <f t="shared" si="5"/>
        <v>low sleep</v>
      </c>
      <c r="P83" s="1" t="str" cm="1">
        <f t="array" ref="P83">_xlfn.IFS(L83&lt;=3,"low",L83&lt;=6,"medium",L83&gt;=7,"high")</f>
        <v>medium</v>
      </c>
    </row>
    <row r="84" spans="1:16" x14ac:dyDescent="0.3">
      <c r="A84">
        <v>14</v>
      </c>
      <c r="B84" t="s">
        <v>13</v>
      </c>
      <c r="C84">
        <v>1.2</v>
      </c>
      <c r="D84" t="s">
        <v>20</v>
      </c>
      <c r="E84">
        <v>5.2</v>
      </c>
      <c r="F84">
        <v>2.2000000000000002</v>
      </c>
      <c r="G84">
        <v>2.19</v>
      </c>
      <c r="H84">
        <v>1.9</v>
      </c>
      <c r="I84" t="s">
        <v>19</v>
      </c>
      <c r="J84">
        <v>9</v>
      </c>
      <c r="K84">
        <v>9</v>
      </c>
      <c r="L84">
        <v>4</v>
      </c>
      <c r="M84">
        <v>0</v>
      </c>
      <c r="N84" t="str">
        <f t="shared" si="4"/>
        <v>13-15</v>
      </c>
      <c r="O84" t="str">
        <f t="shared" si="5"/>
        <v>low sleep</v>
      </c>
      <c r="P84" s="1" t="str" cm="1">
        <f t="array" ref="P84">_xlfn.IFS(L84&lt;=3,"low",L84&lt;=6,"medium",L84&gt;=7,"high")</f>
        <v>medium</v>
      </c>
    </row>
    <row r="85" spans="1:16" x14ac:dyDescent="0.3">
      <c r="A85">
        <v>13</v>
      </c>
      <c r="B85" t="s">
        <v>13</v>
      </c>
      <c r="C85">
        <v>7.4</v>
      </c>
      <c r="D85" t="s">
        <v>14</v>
      </c>
      <c r="E85">
        <v>5.6</v>
      </c>
      <c r="F85">
        <v>1.4</v>
      </c>
      <c r="G85">
        <v>2.95</v>
      </c>
      <c r="H85">
        <v>1.7</v>
      </c>
      <c r="I85" t="s">
        <v>18</v>
      </c>
      <c r="J85">
        <v>8</v>
      </c>
      <c r="K85">
        <v>5</v>
      </c>
      <c r="L85">
        <v>5</v>
      </c>
      <c r="M85">
        <v>0</v>
      </c>
      <c r="N85" t="str">
        <f t="shared" si="4"/>
        <v>13-15</v>
      </c>
      <c r="O85" t="str">
        <f t="shared" si="5"/>
        <v>low sleep</v>
      </c>
      <c r="P85" s="1" t="str" cm="1">
        <f t="array" ref="P85">_xlfn.IFS(L85&lt;=3,"low",L85&lt;=6,"medium",L85&gt;=7,"high")</f>
        <v>medium</v>
      </c>
    </row>
    <row r="86" spans="1:16" x14ac:dyDescent="0.3">
      <c r="A86">
        <v>16</v>
      </c>
      <c r="B86" t="s">
        <v>16</v>
      </c>
      <c r="C86">
        <v>2.6</v>
      </c>
      <c r="D86" t="s">
        <v>20</v>
      </c>
      <c r="E86">
        <v>8.6</v>
      </c>
      <c r="F86">
        <v>1.3</v>
      </c>
      <c r="G86">
        <v>3.64</v>
      </c>
      <c r="H86">
        <v>1.6</v>
      </c>
      <c r="I86" t="s">
        <v>18</v>
      </c>
      <c r="J86">
        <v>5</v>
      </c>
      <c r="K86">
        <v>3</v>
      </c>
      <c r="L86">
        <v>1</v>
      </c>
      <c r="M86">
        <v>0</v>
      </c>
      <c r="N86" t="str">
        <f t="shared" si="4"/>
        <v>16-19</v>
      </c>
      <c r="O86" t="str">
        <f t="shared" si="5"/>
        <v>healthy sleep</v>
      </c>
      <c r="P86" s="1" t="str" cm="1">
        <f t="array" ref="P86">_xlfn.IFS(L86&lt;=3,"low",L86&lt;=6,"medium",L86&gt;=7,"high")</f>
        <v>low</v>
      </c>
    </row>
    <row r="87" spans="1:16" x14ac:dyDescent="0.3">
      <c r="A87">
        <v>17</v>
      </c>
      <c r="B87" t="s">
        <v>16</v>
      </c>
      <c r="C87">
        <v>5</v>
      </c>
      <c r="D87" t="s">
        <v>20</v>
      </c>
      <c r="E87">
        <v>9</v>
      </c>
      <c r="F87">
        <v>2.5</v>
      </c>
      <c r="G87">
        <v>3.4</v>
      </c>
      <c r="H87">
        <v>0.9</v>
      </c>
      <c r="I87" t="s">
        <v>18</v>
      </c>
      <c r="J87">
        <v>8</v>
      </c>
      <c r="K87">
        <v>10</v>
      </c>
      <c r="L87">
        <v>5</v>
      </c>
      <c r="M87">
        <v>0</v>
      </c>
      <c r="N87" t="str">
        <f t="shared" si="4"/>
        <v>16-19</v>
      </c>
      <c r="O87" t="str">
        <f t="shared" si="5"/>
        <v>healthy sleep</v>
      </c>
      <c r="P87" s="1" t="str" cm="1">
        <f t="array" ref="P87">_xlfn.IFS(L87&lt;=3,"low",L87&lt;=6,"medium",L87&gt;=7,"high")</f>
        <v>medium</v>
      </c>
    </row>
    <row r="88" spans="1:16" x14ac:dyDescent="0.3">
      <c r="A88">
        <v>18</v>
      </c>
      <c r="B88" t="s">
        <v>13</v>
      </c>
      <c r="C88">
        <v>7.5</v>
      </c>
      <c r="D88" t="s">
        <v>14</v>
      </c>
      <c r="E88">
        <v>7.4</v>
      </c>
      <c r="F88">
        <v>1.8</v>
      </c>
      <c r="G88">
        <v>3.47</v>
      </c>
      <c r="H88">
        <v>0</v>
      </c>
      <c r="I88" t="s">
        <v>15</v>
      </c>
      <c r="J88">
        <v>9</v>
      </c>
      <c r="K88">
        <v>4</v>
      </c>
      <c r="L88">
        <v>2</v>
      </c>
      <c r="M88">
        <v>0</v>
      </c>
      <c r="N88" t="str">
        <f t="shared" si="4"/>
        <v>16-19</v>
      </c>
      <c r="O88" t="str">
        <f t="shared" si="5"/>
        <v>healthy sleep</v>
      </c>
      <c r="P88" s="1" t="str" cm="1">
        <f t="array" ref="P88">_xlfn.IFS(L88&lt;=3,"low",L88&lt;=6,"medium",L88&gt;=7,"high")</f>
        <v>low</v>
      </c>
    </row>
    <row r="89" spans="1:16" x14ac:dyDescent="0.3">
      <c r="A89">
        <v>17</v>
      </c>
      <c r="B89" t="s">
        <v>16</v>
      </c>
      <c r="C89">
        <v>5.4</v>
      </c>
      <c r="D89" t="s">
        <v>20</v>
      </c>
      <c r="E89">
        <v>5.7</v>
      </c>
      <c r="F89">
        <v>2.5</v>
      </c>
      <c r="G89">
        <v>3.13</v>
      </c>
      <c r="H89">
        <v>1.9</v>
      </c>
      <c r="I89" t="s">
        <v>19</v>
      </c>
      <c r="J89">
        <v>5</v>
      </c>
      <c r="K89">
        <v>10</v>
      </c>
      <c r="L89">
        <v>3</v>
      </c>
      <c r="M89">
        <v>0</v>
      </c>
      <c r="N89" t="str">
        <f t="shared" si="4"/>
        <v>16-19</v>
      </c>
      <c r="O89" t="str">
        <f t="shared" si="5"/>
        <v>low sleep</v>
      </c>
      <c r="P89" s="1" t="str" cm="1">
        <f t="array" ref="P89">_xlfn.IFS(L89&lt;=3,"low",L89&lt;=6,"medium",L89&gt;=7,"high")</f>
        <v>low</v>
      </c>
    </row>
    <row r="90" spans="1:16" x14ac:dyDescent="0.3">
      <c r="A90">
        <v>17</v>
      </c>
      <c r="B90" t="s">
        <v>16</v>
      </c>
      <c r="C90">
        <v>5.6</v>
      </c>
      <c r="D90" t="s">
        <v>14</v>
      </c>
      <c r="E90">
        <v>5.3</v>
      </c>
      <c r="F90">
        <v>1.7</v>
      </c>
      <c r="G90">
        <v>2.77</v>
      </c>
      <c r="H90">
        <v>0.9</v>
      </c>
      <c r="I90" t="s">
        <v>19</v>
      </c>
      <c r="J90">
        <v>8</v>
      </c>
      <c r="K90">
        <v>4</v>
      </c>
      <c r="L90">
        <v>8</v>
      </c>
      <c r="M90">
        <v>0</v>
      </c>
      <c r="N90" t="str">
        <f t="shared" si="4"/>
        <v>16-19</v>
      </c>
      <c r="O90" t="str">
        <f t="shared" si="5"/>
        <v>low sleep</v>
      </c>
      <c r="P90" s="1" t="str" cm="1">
        <f t="array" ref="P90">_xlfn.IFS(L90&lt;=3,"low",L90&lt;=6,"medium",L90&gt;=7,"high")</f>
        <v>high</v>
      </c>
    </row>
    <row r="91" spans="1:16" x14ac:dyDescent="0.3">
      <c r="A91">
        <v>18</v>
      </c>
      <c r="B91" t="s">
        <v>13</v>
      </c>
      <c r="C91">
        <v>6.2</v>
      </c>
      <c r="D91" t="s">
        <v>14</v>
      </c>
      <c r="E91">
        <v>4.0999999999999996</v>
      </c>
      <c r="F91">
        <v>2.8</v>
      </c>
      <c r="G91">
        <v>3.41</v>
      </c>
      <c r="H91">
        <v>1.1000000000000001</v>
      </c>
      <c r="I91" t="s">
        <v>19</v>
      </c>
      <c r="J91">
        <v>7</v>
      </c>
      <c r="K91">
        <v>8</v>
      </c>
      <c r="L91">
        <v>1</v>
      </c>
      <c r="M91">
        <v>1</v>
      </c>
      <c r="N91" t="str">
        <f t="shared" si="4"/>
        <v>16-19</v>
      </c>
      <c r="O91" t="str">
        <f t="shared" si="5"/>
        <v>low sleep</v>
      </c>
      <c r="P91" s="1" t="str" cm="1">
        <f t="array" ref="P91">_xlfn.IFS(L91&lt;=3,"low",L91&lt;=6,"medium",L91&gt;=7,"high")</f>
        <v>low</v>
      </c>
    </row>
    <row r="92" spans="1:16" x14ac:dyDescent="0.3">
      <c r="A92">
        <v>17</v>
      </c>
      <c r="B92" t="s">
        <v>16</v>
      </c>
      <c r="C92">
        <v>4.7</v>
      </c>
      <c r="D92" t="s">
        <v>14</v>
      </c>
      <c r="E92">
        <v>4.7</v>
      </c>
      <c r="F92">
        <v>2.4</v>
      </c>
      <c r="G92">
        <v>3.94</v>
      </c>
      <c r="H92">
        <v>0</v>
      </c>
      <c r="I92" t="s">
        <v>19</v>
      </c>
      <c r="J92">
        <v>10</v>
      </c>
      <c r="K92">
        <v>5</v>
      </c>
      <c r="L92">
        <v>8</v>
      </c>
      <c r="M92">
        <v>0</v>
      </c>
      <c r="N92" t="str">
        <f t="shared" si="4"/>
        <v>16-19</v>
      </c>
      <c r="O92" t="str">
        <f t="shared" si="5"/>
        <v>low sleep</v>
      </c>
      <c r="P92" s="1" t="str" cm="1">
        <f t="array" ref="P92">_xlfn.IFS(L92&lt;=3,"low",L92&lt;=6,"medium",L92&gt;=7,"high")</f>
        <v>high</v>
      </c>
    </row>
    <row r="93" spans="1:16" x14ac:dyDescent="0.3">
      <c r="A93">
        <v>18</v>
      </c>
      <c r="B93" t="s">
        <v>16</v>
      </c>
      <c r="C93">
        <v>4</v>
      </c>
      <c r="D93" t="s">
        <v>14</v>
      </c>
      <c r="E93">
        <v>4.5999999999999996</v>
      </c>
      <c r="F93">
        <v>2.2000000000000002</v>
      </c>
      <c r="G93">
        <v>3.7</v>
      </c>
      <c r="H93">
        <v>0.6</v>
      </c>
      <c r="I93" t="s">
        <v>19</v>
      </c>
      <c r="J93">
        <v>4</v>
      </c>
      <c r="K93">
        <v>1</v>
      </c>
      <c r="L93">
        <v>4</v>
      </c>
      <c r="M93">
        <v>0</v>
      </c>
      <c r="N93" t="str">
        <f t="shared" si="4"/>
        <v>16-19</v>
      </c>
      <c r="O93" t="str">
        <f t="shared" si="5"/>
        <v>low sleep</v>
      </c>
      <c r="P93" s="1" t="str" cm="1">
        <f t="array" ref="P93">_xlfn.IFS(L93&lt;=3,"low",L93&lt;=6,"medium",L93&gt;=7,"high")</f>
        <v>medium</v>
      </c>
    </row>
    <row r="94" spans="1:16" x14ac:dyDescent="0.3">
      <c r="A94">
        <v>18</v>
      </c>
      <c r="B94" t="s">
        <v>13</v>
      </c>
      <c r="C94">
        <v>6.2</v>
      </c>
      <c r="D94" t="s">
        <v>17</v>
      </c>
      <c r="E94">
        <v>8.6</v>
      </c>
      <c r="F94">
        <v>1.5</v>
      </c>
      <c r="G94">
        <v>3.22</v>
      </c>
      <c r="H94">
        <v>1.6</v>
      </c>
      <c r="I94" t="s">
        <v>15</v>
      </c>
      <c r="J94">
        <v>4</v>
      </c>
      <c r="K94">
        <v>5</v>
      </c>
      <c r="L94">
        <v>7</v>
      </c>
      <c r="M94">
        <v>0</v>
      </c>
      <c r="N94" t="str">
        <f t="shared" si="4"/>
        <v>16-19</v>
      </c>
      <c r="O94" t="str">
        <f t="shared" si="5"/>
        <v>healthy sleep</v>
      </c>
      <c r="P94" s="1" t="str" cm="1">
        <f t="array" ref="P94">_xlfn.IFS(L94&lt;=3,"low",L94&lt;=6,"medium",L94&gt;=7,"high")</f>
        <v>high</v>
      </c>
    </row>
    <row r="95" spans="1:16" x14ac:dyDescent="0.3">
      <c r="A95">
        <v>17</v>
      </c>
      <c r="B95" t="s">
        <v>16</v>
      </c>
      <c r="C95">
        <v>5.6</v>
      </c>
      <c r="D95" t="s">
        <v>17</v>
      </c>
      <c r="E95">
        <v>6.8</v>
      </c>
      <c r="F95">
        <v>2</v>
      </c>
      <c r="G95">
        <v>2.2200000000000002</v>
      </c>
      <c r="H95">
        <v>1</v>
      </c>
      <c r="I95" t="s">
        <v>19</v>
      </c>
      <c r="J95">
        <v>6</v>
      </c>
      <c r="K95">
        <v>9</v>
      </c>
      <c r="L95">
        <v>8</v>
      </c>
      <c r="M95">
        <v>0</v>
      </c>
      <c r="N95" t="str">
        <f t="shared" si="4"/>
        <v>16-19</v>
      </c>
      <c r="O95" t="str">
        <f t="shared" si="5"/>
        <v>healthy sleep</v>
      </c>
      <c r="P95" s="1" t="str" cm="1">
        <f t="array" ref="P95">_xlfn.IFS(L95&lt;=3,"low",L95&lt;=6,"medium",L95&gt;=7,"high")</f>
        <v>high</v>
      </c>
    </row>
    <row r="96" spans="1:16" x14ac:dyDescent="0.3">
      <c r="A96">
        <v>13</v>
      </c>
      <c r="B96" t="s">
        <v>16</v>
      </c>
      <c r="C96">
        <v>4</v>
      </c>
      <c r="D96" t="s">
        <v>14</v>
      </c>
      <c r="E96">
        <v>4.4000000000000004</v>
      </c>
      <c r="F96">
        <v>2.5</v>
      </c>
      <c r="G96">
        <v>3.6</v>
      </c>
      <c r="H96">
        <v>1.4</v>
      </c>
      <c r="I96" t="s">
        <v>19</v>
      </c>
      <c r="J96">
        <v>7</v>
      </c>
      <c r="K96">
        <v>2</v>
      </c>
      <c r="L96">
        <v>10</v>
      </c>
      <c r="M96">
        <v>0</v>
      </c>
      <c r="N96" t="str">
        <f t="shared" si="4"/>
        <v>13-15</v>
      </c>
      <c r="O96" t="str">
        <f t="shared" si="5"/>
        <v>low sleep</v>
      </c>
      <c r="P96" s="1" t="str" cm="1">
        <f t="array" ref="P96">_xlfn.IFS(L96&lt;=3,"low",L96&lt;=6,"medium",L96&gt;=7,"high")</f>
        <v>high</v>
      </c>
    </row>
    <row r="97" spans="1:16" x14ac:dyDescent="0.3">
      <c r="A97">
        <v>15</v>
      </c>
      <c r="B97" t="s">
        <v>16</v>
      </c>
      <c r="C97">
        <v>1.8</v>
      </c>
      <c r="D97" t="s">
        <v>14</v>
      </c>
      <c r="E97">
        <v>6.4</v>
      </c>
      <c r="F97">
        <v>2.4</v>
      </c>
      <c r="G97">
        <v>2.16</v>
      </c>
      <c r="H97">
        <v>1.9</v>
      </c>
      <c r="I97" t="s">
        <v>19</v>
      </c>
      <c r="J97">
        <v>3</v>
      </c>
      <c r="K97">
        <v>6</v>
      </c>
      <c r="L97">
        <v>9</v>
      </c>
      <c r="M97">
        <v>0</v>
      </c>
      <c r="N97" t="str">
        <f t="shared" si="4"/>
        <v>13-15</v>
      </c>
      <c r="O97" t="str">
        <f t="shared" si="5"/>
        <v>healthy sleep</v>
      </c>
      <c r="P97" s="1" t="str" cm="1">
        <f t="array" ref="P97">_xlfn.IFS(L97&lt;=3,"low",L97&lt;=6,"medium",L97&gt;=7,"high")</f>
        <v>high</v>
      </c>
    </row>
    <row r="98" spans="1:16" x14ac:dyDescent="0.3">
      <c r="A98">
        <v>13</v>
      </c>
      <c r="B98" t="s">
        <v>13</v>
      </c>
      <c r="C98">
        <v>3.1</v>
      </c>
      <c r="D98" t="s">
        <v>17</v>
      </c>
      <c r="E98">
        <v>5.4</v>
      </c>
      <c r="F98">
        <v>1.9</v>
      </c>
      <c r="G98">
        <v>3.66</v>
      </c>
      <c r="H98">
        <v>0.4</v>
      </c>
      <c r="I98" t="s">
        <v>15</v>
      </c>
      <c r="J98">
        <v>7</v>
      </c>
      <c r="K98">
        <v>4</v>
      </c>
      <c r="L98">
        <v>2</v>
      </c>
      <c r="M98">
        <v>0</v>
      </c>
      <c r="N98" t="str">
        <f t="shared" si="4"/>
        <v>13-15</v>
      </c>
      <c r="O98" t="str">
        <f t="shared" si="5"/>
        <v>low sleep</v>
      </c>
      <c r="P98" s="1" t="str" cm="1">
        <f t="array" ref="P98">_xlfn.IFS(L98&lt;=3,"low",L98&lt;=6,"medium",L98&gt;=7,"high")</f>
        <v>low</v>
      </c>
    </row>
    <row r="99" spans="1:16" x14ac:dyDescent="0.3">
      <c r="A99">
        <v>13</v>
      </c>
      <c r="B99" t="s">
        <v>16</v>
      </c>
      <c r="C99">
        <v>3.5</v>
      </c>
      <c r="D99" t="s">
        <v>17</v>
      </c>
      <c r="E99">
        <v>5.2</v>
      </c>
      <c r="F99">
        <v>2.5</v>
      </c>
      <c r="G99">
        <v>2.57</v>
      </c>
      <c r="H99">
        <v>1.1000000000000001</v>
      </c>
      <c r="I99" t="s">
        <v>18</v>
      </c>
      <c r="J99">
        <v>1</v>
      </c>
      <c r="K99">
        <v>6</v>
      </c>
      <c r="L99">
        <v>3</v>
      </c>
      <c r="M99">
        <v>0</v>
      </c>
      <c r="N99" t="str">
        <f t="shared" si="4"/>
        <v>13-15</v>
      </c>
      <c r="O99" t="str">
        <f t="shared" si="5"/>
        <v>low sleep</v>
      </c>
      <c r="P99" s="1" t="str" cm="1">
        <f t="array" ref="P99">_xlfn.IFS(L99&lt;=3,"low",L99&lt;=6,"medium",L99&gt;=7,"high")</f>
        <v>low</v>
      </c>
    </row>
    <row r="100" spans="1:16" x14ac:dyDescent="0.3">
      <c r="A100">
        <v>18</v>
      </c>
      <c r="B100" t="s">
        <v>13</v>
      </c>
      <c r="C100">
        <v>7.4</v>
      </c>
      <c r="D100" t="s">
        <v>17</v>
      </c>
      <c r="E100">
        <v>6.4</v>
      </c>
      <c r="F100">
        <v>2.2000000000000002</v>
      </c>
      <c r="G100">
        <v>3.51</v>
      </c>
      <c r="H100">
        <v>1</v>
      </c>
      <c r="I100" t="s">
        <v>18</v>
      </c>
      <c r="J100">
        <v>4</v>
      </c>
      <c r="K100">
        <v>5</v>
      </c>
      <c r="L100">
        <v>4</v>
      </c>
      <c r="M100">
        <v>0</v>
      </c>
      <c r="N100" t="str">
        <f t="shared" si="4"/>
        <v>16-19</v>
      </c>
      <c r="O100" t="str">
        <f t="shared" si="5"/>
        <v>healthy sleep</v>
      </c>
      <c r="P100" s="1" t="str" cm="1">
        <f t="array" ref="P100">_xlfn.IFS(L100&lt;=3,"low",L100&lt;=6,"medium",L100&gt;=7,"high")</f>
        <v>medium</v>
      </c>
    </row>
    <row r="101" spans="1:16" x14ac:dyDescent="0.3">
      <c r="A101">
        <v>16</v>
      </c>
      <c r="B101" t="s">
        <v>13</v>
      </c>
      <c r="C101">
        <v>8</v>
      </c>
      <c r="D101" t="s">
        <v>14</v>
      </c>
      <c r="E101">
        <v>5.5</v>
      </c>
      <c r="F101">
        <v>1.4</v>
      </c>
      <c r="G101">
        <v>2.95</v>
      </c>
      <c r="H101">
        <v>0.3</v>
      </c>
      <c r="I101" t="s">
        <v>19</v>
      </c>
      <c r="J101">
        <v>2</v>
      </c>
      <c r="K101">
        <v>5</v>
      </c>
      <c r="L101">
        <v>2</v>
      </c>
      <c r="M101">
        <v>0</v>
      </c>
      <c r="N101" t="str">
        <f t="shared" si="4"/>
        <v>16-19</v>
      </c>
      <c r="O101" t="str">
        <f t="shared" si="5"/>
        <v>low sleep</v>
      </c>
      <c r="P101" s="1" t="str" cm="1">
        <f t="array" ref="P101">_xlfn.IFS(L101&lt;=3,"low",L101&lt;=6,"medium",L101&gt;=7,"high")</f>
        <v>low</v>
      </c>
    </row>
    <row r="102" spans="1:16" x14ac:dyDescent="0.3">
      <c r="A102">
        <v>13</v>
      </c>
      <c r="B102" t="s">
        <v>13</v>
      </c>
      <c r="C102">
        <v>5.0999999999999996</v>
      </c>
      <c r="D102" t="s">
        <v>20</v>
      </c>
      <c r="E102">
        <v>4.0999999999999996</v>
      </c>
      <c r="F102">
        <v>1.6</v>
      </c>
      <c r="G102">
        <v>3.32</v>
      </c>
      <c r="H102">
        <v>0.8</v>
      </c>
      <c r="I102" t="s">
        <v>19</v>
      </c>
      <c r="J102">
        <v>1</v>
      </c>
      <c r="K102">
        <v>3</v>
      </c>
      <c r="L102">
        <v>8</v>
      </c>
      <c r="M102">
        <v>0</v>
      </c>
      <c r="N102" t="str">
        <f t="shared" si="4"/>
        <v>13-15</v>
      </c>
      <c r="O102" t="str">
        <f t="shared" si="5"/>
        <v>low sleep</v>
      </c>
      <c r="P102" s="1" t="str" cm="1">
        <f t="array" ref="P102">_xlfn.IFS(L102&lt;=3,"low",L102&lt;=6,"medium",L102&gt;=7,"high")</f>
        <v>high</v>
      </c>
    </row>
    <row r="103" spans="1:16" x14ac:dyDescent="0.3">
      <c r="A103">
        <v>18</v>
      </c>
      <c r="B103" t="s">
        <v>16</v>
      </c>
      <c r="C103">
        <v>2.4</v>
      </c>
      <c r="D103" t="s">
        <v>14</v>
      </c>
      <c r="E103">
        <v>6.3</v>
      </c>
      <c r="F103">
        <v>1.3</v>
      </c>
      <c r="G103">
        <v>3.05</v>
      </c>
      <c r="H103">
        <v>1.7</v>
      </c>
      <c r="I103" t="s">
        <v>15</v>
      </c>
      <c r="J103">
        <v>2</v>
      </c>
      <c r="K103">
        <v>9</v>
      </c>
      <c r="L103">
        <v>5</v>
      </c>
      <c r="M103">
        <v>0</v>
      </c>
      <c r="N103" t="str">
        <f t="shared" si="4"/>
        <v>16-19</v>
      </c>
      <c r="O103" t="str">
        <f t="shared" si="5"/>
        <v>healthy sleep</v>
      </c>
      <c r="P103" s="1" t="str" cm="1">
        <f t="array" ref="P103">_xlfn.IFS(L103&lt;=3,"low",L103&lt;=6,"medium",L103&gt;=7,"high")</f>
        <v>medium</v>
      </c>
    </row>
    <row r="104" spans="1:16" x14ac:dyDescent="0.3">
      <c r="A104">
        <v>13</v>
      </c>
      <c r="B104" t="s">
        <v>13</v>
      </c>
      <c r="C104">
        <v>1.6</v>
      </c>
      <c r="D104" t="s">
        <v>14</v>
      </c>
      <c r="E104">
        <v>4.2</v>
      </c>
      <c r="F104">
        <v>1.5</v>
      </c>
      <c r="G104">
        <v>3.72</v>
      </c>
      <c r="H104">
        <v>1.7</v>
      </c>
      <c r="I104" t="s">
        <v>19</v>
      </c>
      <c r="J104">
        <v>10</v>
      </c>
      <c r="K104">
        <v>1</v>
      </c>
      <c r="L104">
        <v>10</v>
      </c>
      <c r="M104">
        <v>0</v>
      </c>
      <c r="N104" t="str">
        <f t="shared" si="4"/>
        <v>13-15</v>
      </c>
      <c r="O104" t="str">
        <f t="shared" si="5"/>
        <v>low sleep</v>
      </c>
      <c r="P104" s="1" t="str" cm="1">
        <f t="array" ref="P104">_xlfn.IFS(L104&lt;=3,"low",L104&lt;=6,"medium",L104&gt;=7,"high")</f>
        <v>high</v>
      </c>
    </row>
    <row r="105" spans="1:16" x14ac:dyDescent="0.3">
      <c r="A105">
        <v>18</v>
      </c>
      <c r="B105" t="s">
        <v>13</v>
      </c>
      <c r="C105">
        <v>5.8</v>
      </c>
      <c r="D105" t="s">
        <v>14</v>
      </c>
      <c r="E105">
        <v>6.7</v>
      </c>
      <c r="F105">
        <v>1.9</v>
      </c>
      <c r="G105">
        <v>3</v>
      </c>
      <c r="H105">
        <v>1.9</v>
      </c>
      <c r="I105" t="s">
        <v>15</v>
      </c>
      <c r="J105">
        <v>5</v>
      </c>
      <c r="K105">
        <v>8</v>
      </c>
      <c r="L105">
        <v>2</v>
      </c>
      <c r="M105">
        <v>0</v>
      </c>
      <c r="N105" t="str">
        <f t="shared" si="4"/>
        <v>16-19</v>
      </c>
      <c r="O105" t="str">
        <f t="shared" si="5"/>
        <v>healthy sleep</v>
      </c>
      <c r="P105" s="1" t="str" cm="1">
        <f t="array" ref="P105">_xlfn.IFS(L105&lt;=3,"low",L105&lt;=6,"medium",L105&gt;=7,"high")</f>
        <v>low</v>
      </c>
    </row>
    <row r="106" spans="1:16" x14ac:dyDescent="0.3">
      <c r="A106">
        <v>15</v>
      </c>
      <c r="B106" t="s">
        <v>13</v>
      </c>
      <c r="C106">
        <v>2.7</v>
      </c>
      <c r="D106" t="s">
        <v>17</v>
      </c>
      <c r="E106">
        <v>6.6</v>
      </c>
      <c r="F106">
        <v>1.9</v>
      </c>
      <c r="G106">
        <v>2.75</v>
      </c>
      <c r="H106">
        <v>1.9</v>
      </c>
      <c r="I106" t="s">
        <v>19</v>
      </c>
      <c r="J106">
        <v>3</v>
      </c>
      <c r="K106">
        <v>6</v>
      </c>
      <c r="L106">
        <v>6</v>
      </c>
      <c r="M106">
        <v>0</v>
      </c>
      <c r="N106" t="str">
        <f t="shared" si="4"/>
        <v>13-15</v>
      </c>
      <c r="O106" t="str">
        <f t="shared" si="5"/>
        <v>healthy sleep</v>
      </c>
      <c r="P106" s="1" t="str" cm="1">
        <f t="array" ref="P106">_xlfn.IFS(L106&lt;=3,"low",L106&lt;=6,"medium",L106&gt;=7,"high")</f>
        <v>medium</v>
      </c>
    </row>
    <row r="107" spans="1:16" x14ac:dyDescent="0.3">
      <c r="A107">
        <v>13</v>
      </c>
      <c r="B107" t="s">
        <v>16</v>
      </c>
      <c r="C107">
        <v>4</v>
      </c>
      <c r="D107" t="s">
        <v>20</v>
      </c>
      <c r="E107">
        <v>4.5</v>
      </c>
      <c r="F107">
        <v>1</v>
      </c>
      <c r="G107">
        <v>3.65</v>
      </c>
      <c r="H107">
        <v>1.8</v>
      </c>
      <c r="I107" t="s">
        <v>15</v>
      </c>
      <c r="J107">
        <v>5</v>
      </c>
      <c r="K107">
        <v>6</v>
      </c>
      <c r="L107">
        <v>5</v>
      </c>
      <c r="M107">
        <v>0</v>
      </c>
      <c r="N107" t="str">
        <f t="shared" si="4"/>
        <v>13-15</v>
      </c>
      <c r="O107" t="str">
        <f t="shared" si="5"/>
        <v>low sleep</v>
      </c>
      <c r="P107" s="1" t="str" cm="1">
        <f t="array" ref="P107">_xlfn.IFS(L107&lt;=3,"low",L107&lt;=6,"medium",L107&gt;=7,"high")</f>
        <v>medium</v>
      </c>
    </row>
    <row r="108" spans="1:16" x14ac:dyDescent="0.3">
      <c r="A108">
        <v>18</v>
      </c>
      <c r="B108" t="s">
        <v>13</v>
      </c>
      <c r="C108">
        <v>3.2</v>
      </c>
      <c r="D108" t="s">
        <v>20</v>
      </c>
      <c r="E108">
        <v>8.8000000000000007</v>
      </c>
      <c r="F108">
        <v>1.2</v>
      </c>
      <c r="G108">
        <v>3.71</v>
      </c>
      <c r="H108">
        <v>1.1000000000000001</v>
      </c>
      <c r="I108" t="s">
        <v>19</v>
      </c>
      <c r="J108">
        <v>7</v>
      </c>
      <c r="K108">
        <v>6</v>
      </c>
      <c r="L108">
        <v>10</v>
      </c>
      <c r="M108">
        <v>0</v>
      </c>
      <c r="N108" t="str">
        <f t="shared" si="4"/>
        <v>16-19</v>
      </c>
      <c r="O108" t="str">
        <f t="shared" si="5"/>
        <v>healthy sleep</v>
      </c>
      <c r="P108" s="1" t="str" cm="1">
        <f t="array" ref="P108">_xlfn.IFS(L108&lt;=3,"low",L108&lt;=6,"medium",L108&gt;=7,"high")</f>
        <v>high</v>
      </c>
    </row>
    <row r="109" spans="1:16" x14ac:dyDescent="0.3">
      <c r="A109">
        <v>13</v>
      </c>
      <c r="B109" t="s">
        <v>13</v>
      </c>
      <c r="C109">
        <v>1.6</v>
      </c>
      <c r="D109" t="s">
        <v>17</v>
      </c>
      <c r="E109">
        <v>4.3</v>
      </c>
      <c r="F109">
        <v>0.6</v>
      </c>
      <c r="G109">
        <v>3.91</v>
      </c>
      <c r="H109">
        <v>2</v>
      </c>
      <c r="I109" t="s">
        <v>19</v>
      </c>
      <c r="J109">
        <v>5</v>
      </c>
      <c r="K109">
        <v>10</v>
      </c>
      <c r="L109">
        <v>7</v>
      </c>
      <c r="M109">
        <v>0</v>
      </c>
      <c r="N109" t="str">
        <f t="shared" si="4"/>
        <v>13-15</v>
      </c>
      <c r="O109" t="str">
        <f t="shared" si="5"/>
        <v>low sleep</v>
      </c>
      <c r="P109" s="1" t="str" cm="1">
        <f t="array" ref="P109">_xlfn.IFS(L109&lt;=3,"low",L109&lt;=6,"medium",L109&gt;=7,"high")</f>
        <v>high</v>
      </c>
    </row>
    <row r="110" spans="1:16" x14ac:dyDescent="0.3">
      <c r="A110">
        <v>14</v>
      </c>
      <c r="B110" t="s">
        <v>13</v>
      </c>
      <c r="C110">
        <v>2.2999999999999998</v>
      </c>
      <c r="D110" t="s">
        <v>17</v>
      </c>
      <c r="E110">
        <v>8</v>
      </c>
      <c r="F110">
        <v>2.5</v>
      </c>
      <c r="G110">
        <v>3.08</v>
      </c>
      <c r="H110">
        <v>1.7</v>
      </c>
      <c r="I110" t="s">
        <v>19</v>
      </c>
      <c r="J110">
        <v>5</v>
      </c>
      <c r="K110">
        <v>6</v>
      </c>
      <c r="L110">
        <v>7</v>
      </c>
      <c r="M110">
        <v>0</v>
      </c>
      <c r="N110" t="str">
        <f t="shared" si="4"/>
        <v>13-15</v>
      </c>
      <c r="O110" t="str">
        <f t="shared" si="5"/>
        <v>healthy sleep</v>
      </c>
      <c r="P110" s="1" t="str" cm="1">
        <f t="array" ref="P110">_xlfn.IFS(L110&lt;=3,"low",L110&lt;=6,"medium",L110&gt;=7,"high")</f>
        <v>high</v>
      </c>
    </row>
    <row r="111" spans="1:16" x14ac:dyDescent="0.3">
      <c r="A111">
        <v>17</v>
      </c>
      <c r="B111" t="s">
        <v>13</v>
      </c>
      <c r="C111">
        <v>7.7</v>
      </c>
      <c r="D111" t="s">
        <v>17</v>
      </c>
      <c r="E111">
        <v>8.5</v>
      </c>
      <c r="F111">
        <v>1.2</v>
      </c>
      <c r="G111">
        <v>3.56</v>
      </c>
      <c r="H111">
        <v>0</v>
      </c>
      <c r="I111" t="s">
        <v>19</v>
      </c>
      <c r="J111">
        <v>7</v>
      </c>
      <c r="K111">
        <v>10</v>
      </c>
      <c r="L111">
        <v>7</v>
      </c>
      <c r="M111">
        <v>0</v>
      </c>
      <c r="N111" t="str">
        <f t="shared" si="4"/>
        <v>16-19</v>
      </c>
      <c r="O111" t="str">
        <f t="shared" si="5"/>
        <v>healthy sleep</v>
      </c>
      <c r="P111" s="1" t="str" cm="1">
        <f t="array" ref="P111">_xlfn.IFS(L111&lt;=3,"low",L111&lt;=6,"medium",L111&gt;=7,"high")</f>
        <v>high</v>
      </c>
    </row>
    <row r="112" spans="1:16" x14ac:dyDescent="0.3">
      <c r="A112">
        <v>16</v>
      </c>
      <c r="B112" t="s">
        <v>13</v>
      </c>
      <c r="C112">
        <v>4.8</v>
      </c>
      <c r="D112" t="s">
        <v>20</v>
      </c>
      <c r="E112">
        <v>7.1</v>
      </c>
      <c r="F112">
        <v>0.6</v>
      </c>
      <c r="G112">
        <v>3.36</v>
      </c>
      <c r="H112">
        <v>0.7</v>
      </c>
      <c r="I112" t="s">
        <v>18</v>
      </c>
      <c r="J112">
        <v>7</v>
      </c>
      <c r="K112">
        <v>6</v>
      </c>
      <c r="L112">
        <v>9</v>
      </c>
      <c r="M112">
        <v>0</v>
      </c>
      <c r="N112" t="str">
        <f t="shared" si="4"/>
        <v>16-19</v>
      </c>
      <c r="O112" t="str">
        <f t="shared" si="5"/>
        <v>healthy sleep</v>
      </c>
      <c r="P112" s="1" t="str" cm="1">
        <f t="array" ref="P112">_xlfn.IFS(L112&lt;=3,"low",L112&lt;=6,"medium",L112&gt;=7,"high")</f>
        <v>high</v>
      </c>
    </row>
    <row r="113" spans="1:16" x14ac:dyDescent="0.3">
      <c r="A113">
        <v>17</v>
      </c>
      <c r="B113" t="s">
        <v>16</v>
      </c>
      <c r="C113">
        <v>5.2</v>
      </c>
      <c r="D113" t="s">
        <v>20</v>
      </c>
      <c r="E113">
        <v>6</v>
      </c>
      <c r="F113">
        <v>0.6</v>
      </c>
      <c r="G113">
        <v>3.07</v>
      </c>
      <c r="H113">
        <v>0.6</v>
      </c>
      <c r="I113" t="s">
        <v>19</v>
      </c>
      <c r="J113">
        <v>6</v>
      </c>
      <c r="K113">
        <v>2</v>
      </c>
      <c r="L113">
        <v>9</v>
      </c>
      <c r="M113">
        <v>0</v>
      </c>
      <c r="N113" t="str">
        <f t="shared" si="4"/>
        <v>16-19</v>
      </c>
      <c r="O113" t="str">
        <f t="shared" si="5"/>
        <v>low sleep</v>
      </c>
      <c r="P113" s="1" t="str" cm="1">
        <f t="array" ref="P113">_xlfn.IFS(L113&lt;=3,"low",L113&lt;=6,"medium",L113&gt;=7,"high")</f>
        <v>high</v>
      </c>
    </row>
    <row r="114" spans="1:16" x14ac:dyDescent="0.3">
      <c r="A114">
        <v>13</v>
      </c>
      <c r="B114" t="s">
        <v>13</v>
      </c>
      <c r="C114">
        <v>5.7</v>
      </c>
      <c r="D114" t="s">
        <v>20</v>
      </c>
      <c r="E114">
        <v>6.6</v>
      </c>
      <c r="F114">
        <v>2.4</v>
      </c>
      <c r="G114">
        <v>3.99</v>
      </c>
      <c r="H114">
        <v>1.7</v>
      </c>
      <c r="I114" t="s">
        <v>18</v>
      </c>
      <c r="J114">
        <v>1</v>
      </c>
      <c r="K114">
        <v>3</v>
      </c>
      <c r="L114">
        <v>1</v>
      </c>
      <c r="M114">
        <v>0</v>
      </c>
      <c r="N114" t="str">
        <f t="shared" si="4"/>
        <v>13-15</v>
      </c>
      <c r="O114" t="str">
        <f t="shared" si="5"/>
        <v>healthy sleep</v>
      </c>
      <c r="P114" s="1" t="str" cm="1">
        <f t="array" ref="P114">_xlfn.IFS(L114&lt;=3,"low",L114&lt;=6,"medium",L114&gt;=7,"high")</f>
        <v>low</v>
      </c>
    </row>
    <row r="115" spans="1:16" x14ac:dyDescent="0.3">
      <c r="A115">
        <v>15</v>
      </c>
      <c r="B115" t="s">
        <v>13</v>
      </c>
      <c r="C115">
        <v>4.5999999999999996</v>
      </c>
      <c r="D115" t="s">
        <v>17</v>
      </c>
      <c r="E115">
        <v>5.2</v>
      </c>
      <c r="F115">
        <v>1.4</v>
      </c>
      <c r="G115">
        <v>2.98</v>
      </c>
      <c r="H115">
        <v>1.9</v>
      </c>
      <c r="I115" t="s">
        <v>15</v>
      </c>
      <c r="J115">
        <v>1</v>
      </c>
      <c r="K115">
        <v>4</v>
      </c>
      <c r="L115">
        <v>5</v>
      </c>
      <c r="M115">
        <v>0</v>
      </c>
      <c r="N115" t="str">
        <f t="shared" si="4"/>
        <v>13-15</v>
      </c>
      <c r="O115" t="str">
        <f t="shared" si="5"/>
        <v>low sleep</v>
      </c>
      <c r="P115" s="1" t="str" cm="1">
        <f t="array" ref="P115">_xlfn.IFS(L115&lt;=3,"low",L115&lt;=6,"medium",L115&gt;=7,"high")</f>
        <v>medium</v>
      </c>
    </row>
    <row r="116" spans="1:16" x14ac:dyDescent="0.3">
      <c r="A116">
        <v>13</v>
      </c>
      <c r="B116" t="s">
        <v>13</v>
      </c>
      <c r="C116">
        <v>4.3</v>
      </c>
      <c r="D116" t="s">
        <v>17</v>
      </c>
      <c r="E116">
        <v>7.5</v>
      </c>
      <c r="F116">
        <v>2.7</v>
      </c>
      <c r="G116">
        <v>2.29</v>
      </c>
      <c r="H116">
        <v>0.8</v>
      </c>
      <c r="I116" t="s">
        <v>18</v>
      </c>
      <c r="J116">
        <v>1</v>
      </c>
      <c r="K116">
        <v>10</v>
      </c>
      <c r="L116">
        <v>1</v>
      </c>
      <c r="M116">
        <v>0</v>
      </c>
      <c r="N116" t="str">
        <f t="shared" si="4"/>
        <v>13-15</v>
      </c>
      <c r="O116" t="str">
        <f t="shared" si="5"/>
        <v>healthy sleep</v>
      </c>
      <c r="P116" s="1" t="str" cm="1">
        <f t="array" ref="P116">_xlfn.IFS(L116&lt;=3,"low",L116&lt;=6,"medium",L116&gt;=7,"high")</f>
        <v>low</v>
      </c>
    </row>
    <row r="117" spans="1:16" x14ac:dyDescent="0.3">
      <c r="A117">
        <v>17</v>
      </c>
      <c r="B117" t="s">
        <v>16</v>
      </c>
      <c r="C117">
        <v>4.0999999999999996</v>
      </c>
      <c r="D117" t="s">
        <v>14</v>
      </c>
      <c r="E117">
        <v>8.6</v>
      </c>
      <c r="F117">
        <v>3</v>
      </c>
      <c r="G117">
        <v>2.77</v>
      </c>
      <c r="H117">
        <v>0.1</v>
      </c>
      <c r="I117" t="s">
        <v>19</v>
      </c>
      <c r="J117">
        <v>3</v>
      </c>
      <c r="K117">
        <v>6</v>
      </c>
      <c r="L117">
        <v>1</v>
      </c>
      <c r="M117">
        <v>0</v>
      </c>
      <c r="N117" t="str">
        <f t="shared" si="4"/>
        <v>16-19</v>
      </c>
      <c r="O117" t="str">
        <f t="shared" si="5"/>
        <v>healthy sleep</v>
      </c>
      <c r="P117" s="1" t="str" cm="1">
        <f t="array" ref="P117">_xlfn.IFS(L117&lt;=3,"low",L117&lt;=6,"medium",L117&gt;=7,"high")</f>
        <v>low</v>
      </c>
    </row>
    <row r="118" spans="1:16" x14ac:dyDescent="0.3">
      <c r="A118">
        <v>15</v>
      </c>
      <c r="B118" t="s">
        <v>13</v>
      </c>
      <c r="C118">
        <v>6.5</v>
      </c>
      <c r="D118" t="s">
        <v>20</v>
      </c>
      <c r="E118">
        <v>8.1</v>
      </c>
      <c r="F118">
        <v>2</v>
      </c>
      <c r="G118">
        <v>3.89</v>
      </c>
      <c r="H118">
        <v>1.3</v>
      </c>
      <c r="I118" t="s">
        <v>18</v>
      </c>
      <c r="J118">
        <v>8</v>
      </c>
      <c r="K118">
        <v>2</v>
      </c>
      <c r="L118">
        <v>2</v>
      </c>
      <c r="M118">
        <v>0</v>
      </c>
      <c r="N118" t="str">
        <f t="shared" si="4"/>
        <v>13-15</v>
      </c>
      <c r="O118" t="str">
        <f t="shared" si="5"/>
        <v>healthy sleep</v>
      </c>
      <c r="P118" s="1" t="str" cm="1">
        <f t="array" ref="P118">_xlfn.IFS(L118&lt;=3,"low",L118&lt;=6,"medium",L118&gt;=7,"high")</f>
        <v>low</v>
      </c>
    </row>
    <row r="119" spans="1:16" x14ac:dyDescent="0.3">
      <c r="A119">
        <v>19</v>
      </c>
      <c r="B119" t="s">
        <v>16</v>
      </c>
      <c r="C119">
        <v>7.8</v>
      </c>
      <c r="D119" t="s">
        <v>20</v>
      </c>
      <c r="E119">
        <v>8.8000000000000007</v>
      </c>
      <c r="F119">
        <v>2.1</v>
      </c>
      <c r="G119">
        <v>3.75</v>
      </c>
      <c r="H119">
        <v>1.3</v>
      </c>
      <c r="I119" t="s">
        <v>18</v>
      </c>
      <c r="J119">
        <v>10</v>
      </c>
      <c r="K119">
        <v>9</v>
      </c>
      <c r="L119">
        <v>6</v>
      </c>
      <c r="M119">
        <v>0</v>
      </c>
      <c r="N119" t="str">
        <f t="shared" si="4"/>
        <v>16-19</v>
      </c>
      <c r="O119" t="str">
        <f t="shared" si="5"/>
        <v>healthy sleep</v>
      </c>
      <c r="P119" s="1" t="str" cm="1">
        <f t="array" ref="P119">_xlfn.IFS(L119&lt;=3,"low",L119&lt;=6,"medium",L119&gt;=7,"high")</f>
        <v>medium</v>
      </c>
    </row>
    <row r="120" spans="1:16" x14ac:dyDescent="0.3">
      <c r="A120">
        <v>17</v>
      </c>
      <c r="B120" t="s">
        <v>13</v>
      </c>
      <c r="C120">
        <v>6.5</v>
      </c>
      <c r="D120" t="s">
        <v>14</v>
      </c>
      <c r="E120">
        <v>4.0999999999999996</v>
      </c>
      <c r="F120">
        <v>2.7</v>
      </c>
      <c r="G120">
        <v>3.66</v>
      </c>
      <c r="H120">
        <v>1.1000000000000001</v>
      </c>
      <c r="I120" t="s">
        <v>19</v>
      </c>
      <c r="J120">
        <v>6</v>
      </c>
      <c r="K120">
        <v>10</v>
      </c>
      <c r="L120">
        <v>10</v>
      </c>
      <c r="M120">
        <v>0</v>
      </c>
      <c r="N120" t="str">
        <f t="shared" si="4"/>
        <v>16-19</v>
      </c>
      <c r="O120" t="str">
        <f t="shared" si="5"/>
        <v>low sleep</v>
      </c>
      <c r="P120" s="1" t="str" cm="1">
        <f t="array" ref="P120">_xlfn.IFS(L120&lt;=3,"low",L120&lt;=6,"medium",L120&gt;=7,"high")</f>
        <v>high</v>
      </c>
    </row>
    <row r="121" spans="1:16" x14ac:dyDescent="0.3">
      <c r="A121">
        <v>17</v>
      </c>
      <c r="B121" t="s">
        <v>16</v>
      </c>
      <c r="C121">
        <v>3.2</v>
      </c>
      <c r="D121" t="s">
        <v>17</v>
      </c>
      <c r="E121">
        <v>4.2</v>
      </c>
      <c r="F121">
        <v>0.6</v>
      </c>
      <c r="G121">
        <v>2.21</v>
      </c>
      <c r="H121">
        <v>1.4</v>
      </c>
      <c r="I121" t="s">
        <v>19</v>
      </c>
      <c r="J121">
        <v>6</v>
      </c>
      <c r="K121">
        <v>6</v>
      </c>
      <c r="L121">
        <v>3</v>
      </c>
      <c r="M121">
        <v>0</v>
      </c>
      <c r="N121" t="str">
        <f t="shared" si="4"/>
        <v>16-19</v>
      </c>
      <c r="O121" t="str">
        <f t="shared" si="5"/>
        <v>low sleep</v>
      </c>
      <c r="P121" s="1" t="str" cm="1">
        <f t="array" ref="P121">_xlfn.IFS(L121&lt;=3,"low",L121&lt;=6,"medium",L121&gt;=7,"high")</f>
        <v>low</v>
      </c>
    </row>
    <row r="122" spans="1:16" x14ac:dyDescent="0.3">
      <c r="A122">
        <v>13</v>
      </c>
      <c r="B122" t="s">
        <v>13</v>
      </c>
      <c r="C122">
        <v>2.4</v>
      </c>
      <c r="D122" t="s">
        <v>17</v>
      </c>
      <c r="E122">
        <v>4.0999999999999996</v>
      </c>
      <c r="F122">
        <v>0.8</v>
      </c>
      <c r="G122">
        <v>2.79</v>
      </c>
      <c r="H122">
        <v>1.1000000000000001</v>
      </c>
      <c r="I122" t="s">
        <v>19</v>
      </c>
      <c r="J122">
        <v>8</v>
      </c>
      <c r="K122">
        <v>6</v>
      </c>
      <c r="L122">
        <v>3</v>
      </c>
      <c r="M122">
        <v>0</v>
      </c>
      <c r="N122" t="str">
        <f t="shared" si="4"/>
        <v>13-15</v>
      </c>
      <c r="O122" t="str">
        <f t="shared" si="5"/>
        <v>low sleep</v>
      </c>
      <c r="P122" s="1" t="str" cm="1">
        <f t="array" ref="P122">_xlfn.IFS(L122&lt;=3,"low",L122&lt;=6,"medium",L122&gt;=7,"high")</f>
        <v>low</v>
      </c>
    </row>
    <row r="123" spans="1:16" x14ac:dyDescent="0.3">
      <c r="A123">
        <v>15</v>
      </c>
      <c r="B123" t="s">
        <v>16</v>
      </c>
      <c r="C123">
        <v>4</v>
      </c>
      <c r="D123" t="s">
        <v>14</v>
      </c>
      <c r="E123">
        <v>8.1</v>
      </c>
      <c r="F123">
        <v>2.1</v>
      </c>
      <c r="G123">
        <v>2.0099999999999998</v>
      </c>
      <c r="H123">
        <v>0.4</v>
      </c>
      <c r="I123" t="s">
        <v>19</v>
      </c>
      <c r="J123">
        <v>4</v>
      </c>
      <c r="K123">
        <v>8</v>
      </c>
      <c r="L123">
        <v>8</v>
      </c>
      <c r="M123">
        <v>0</v>
      </c>
      <c r="N123" t="str">
        <f t="shared" si="4"/>
        <v>13-15</v>
      </c>
      <c r="O123" t="str">
        <f t="shared" si="5"/>
        <v>healthy sleep</v>
      </c>
      <c r="P123" s="1" t="str" cm="1">
        <f t="array" ref="P123">_xlfn.IFS(L123&lt;=3,"low",L123&lt;=6,"medium",L123&gt;=7,"high")</f>
        <v>high</v>
      </c>
    </row>
    <row r="124" spans="1:16" x14ac:dyDescent="0.3">
      <c r="A124">
        <v>17</v>
      </c>
      <c r="B124" t="s">
        <v>16</v>
      </c>
      <c r="C124">
        <v>6</v>
      </c>
      <c r="D124" t="s">
        <v>20</v>
      </c>
      <c r="E124">
        <v>8.8000000000000007</v>
      </c>
      <c r="F124">
        <v>1.3</v>
      </c>
      <c r="G124">
        <v>4</v>
      </c>
      <c r="H124">
        <v>0.9</v>
      </c>
      <c r="I124" t="s">
        <v>19</v>
      </c>
      <c r="J124">
        <v>8</v>
      </c>
      <c r="K124">
        <v>10</v>
      </c>
      <c r="L124">
        <v>7</v>
      </c>
      <c r="M124">
        <v>0</v>
      </c>
      <c r="N124" t="str">
        <f t="shared" si="4"/>
        <v>16-19</v>
      </c>
      <c r="O124" t="str">
        <f t="shared" si="5"/>
        <v>healthy sleep</v>
      </c>
      <c r="P124" s="1" t="str" cm="1">
        <f t="array" ref="P124">_xlfn.IFS(L124&lt;=3,"low",L124&lt;=6,"medium",L124&gt;=7,"high")</f>
        <v>high</v>
      </c>
    </row>
    <row r="125" spans="1:16" x14ac:dyDescent="0.3">
      <c r="A125">
        <v>18</v>
      </c>
      <c r="B125" t="s">
        <v>13</v>
      </c>
      <c r="C125">
        <v>1.2</v>
      </c>
      <c r="D125" t="s">
        <v>17</v>
      </c>
      <c r="E125">
        <v>8</v>
      </c>
      <c r="F125">
        <v>1.7</v>
      </c>
      <c r="G125">
        <v>3.12</v>
      </c>
      <c r="H125">
        <v>0.1</v>
      </c>
      <c r="I125" t="s">
        <v>15</v>
      </c>
      <c r="J125">
        <v>6</v>
      </c>
      <c r="K125">
        <v>4</v>
      </c>
      <c r="L125">
        <v>2</v>
      </c>
      <c r="M125">
        <v>0</v>
      </c>
      <c r="N125" t="str">
        <f t="shared" si="4"/>
        <v>16-19</v>
      </c>
      <c r="O125" t="str">
        <f t="shared" si="5"/>
        <v>healthy sleep</v>
      </c>
      <c r="P125" s="1" t="str" cm="1">
        <f t="array" ref="P125">_xlfn.IFS(L125&lt;=3,"low",L125&lt;=6,"medium",L125&gt;=7,"high")</f>
        <v>low</v>
      </c>
    </row>
    <row r="126" spans="1:16" x14ac:dyDescent="0.3">
      <c r="A126">
        <v>16</v>
      </c>
      <c r="B126" t="s">
        <v>13</v>
      </c>
      <c r="C126">
        <v>5.7</v>
      </c>
      <c r="D126" t="s">
        <v>20</v>
      </c>
      <c r="E126">
        <v>5.8</v>
      </c>
      <c r="F126">
        <v>2.8</v>
      </c>
      <c r="G126">
        <v>2.17</v>
      </c>
      <c r="H126">
        <v>0.5</v>
      </c>
      <c r="I126" t="s">
        <v>19</v>
      </c>
      <c r="J126">
        <v>3</v>
      </c>
      <c r="K126">
        <v>9</v>
      </c>
      <c r="L126">
        <v>2</v>
      </c>
      <c r="M126">
        <v>0</v>
      </c>
      <c r="N126" t="str">
        <f t="shared" si="4"/>
        <v>16-19</v>
      </c>
      <c r="O126" t="str">
        <f t="shared" si="5"/>
        <v>low sleep</v>
      </c>
      <c r="P126" s="1" t="str" cm="1">
        <f t="array" ref="P126">_xlfn.IFS(L126&lt;=3,"low",L126&lt;=6,"medium",L126&gt;=7,"high")</f>
        <v>low</v>
      </c>
    </row>
    <row r="127" spans="1:16" x14ac:dyDescent="0.3">
      <c r="A127">
        <v>19</v>
      </c>
      <c r="B127" t="s">
        <v>13</v>
      </c>
      <c r="C127">
        <v>6.5</v>
      </c>
      <c r="D127" t="s">
        <v>20</v>
      </c>
      <c r="E127">
        <v>8.1</v>
      </c>
      <c r="F127">
        <v>2.2999999999999998</v>
      </c>
      <c r="G127">
        <v>2.21</v>
      </c>
      <c r="H127">
        <v>0.4</v>
      </c>
      <c r="I127" t="s">
        <v>18</v>
      </c>
      <c r="J127">
        <v>8</v>
      </c>
      <c r="K127">
        <v>8</v>
      </c>
      <c r="L127">
        <v>6</v>
      </c>
      <c r="M127">
        <v>0</v>
      </c>
      <c r="N127" t="str">
        <f t="shared" si="4"/>
        <v>16-19</v>
      </c>
      <c r="O127" t="str">
        <f t="shared" si="5"/>
        <v>healthy sleep</v>
      </c>
      <c r="P127" s="1" t="str" cm="1">
        <f t="array" ref="P127">_xlfn.IFS(L127&lt;=3,"low",L127&lt;=6,"medium",L127&gt;=7,"high")</f>
        <v>medium</v>
      </c>
    </row>
    <row r="128" spans="1:16" x14ac:dyDescent="0.3">
      <c r="A128">
        <v>16</v>
      </c>
      <c r="B128" t="s">
        <v>13</v>
      </c>
      <c r="C128">
        <v>6.6</v>
      </c>
      <c r="D128" t="s">
        <v>14</v>
      </c>
      <c r="E128">
        <v>5.6</v>
      </c>
      <c r="F128">
        <v>0.8</v>
      </c>
      <c r="G128">
        <v>3.48</v>
      </c>
      <c r="H128">
        <v>1.7</v>
      </c>
      <c r="I128" t="s">
        <v>19</v>
      </c>
      <c r="J128">
        <v>4</v>
      </c>
      <c r="K128">
        <v>3</v>
      </c>
      <c r="L128">
        <v>4</v>
      </c>
      <c r="M128">
        <v>0</v>
      </c>
      <c r="N128" t="str">
        <f t="shared" si="4"/>
        <v>16-19</v>
      </c>
      <c r="O128" t="str">
        <f t="shared" si="5"/>
        <v>low sleep</v>
      </c>
      <c r="P128" s="1" t="str" cm="1">
        <f t="array" ref="P128">_xlfn.IFS(L128&lt;=3,"low",L128&lt;=6,"medium",L128&gt;=7,"high")</f>
        <v>medium</v>
      </c>
    </row>
    <row r="129" spans="1:16" x14ac:dyDescent="0.3">
      <c r="A129">
        <v>13</v>
      </c>
      <c r="B129" t="s">
        <v>13</v>
      </c>
      <c r="C129">
        <v>6</v>
      </c>
      <c r="D129" t="s">
        <v>17</v>
      </c>
      <c r="E129">
        <v>7.2</v>
      </c>
      <c r="F129">
        <v>1.5</v>
      </c>
      <c r="G129">
        <v>2.36</v>
      </c>
      <c r="H129">
        <v>0.2</v>
      </c>
      <c r="I129" t="s">
        <v>15</v>
      </c>
      <c r="J129">
        <v>1</v>
      </c>
      <c r="K129">
        <v>3</v>
      </c>
      <c r="L129">
        <v>4</v>
      </c>
      <c r="M129">
        <v>0</v>
      </c>
      <c r="N129" t="str">
        <f t="shared" si="4"/>
        <v>13-15</v>
      </c>
      <c r="O129" t="str">
        <f t="shared" si="5"/>
        <v>healthy sleep</v>
      </c>
      <c r="P129" s="1" t="str" cm="1">
        <f t="array" ref="P129">_xlfn.IFS(L129&lt;=3,"low",L129&lt;=6,"medium",L129&gt;=7,"high")</f>
        <v>medium</v>
      </c>
    </row>
    <row r="130" spans="1:16" x14ac:dyDescent="0.3">
      <c r="A130">
        <v>18</v>
      </c>
      <c r="B130" t="s">
        <v>16</v>
      </c>
      <c r="C130">
        <v>1.1000000000000001</v>
      </c>
      <c r="D130" t="s">
        <v>20</v>
      </c>
      <c r="E130">
        <v>8</v>
      </c>
      <c r="F130">
        <v>2.7</v>
      </c>
      <c r="G130">
        <v>2.04</v>
      </c>
      <c r="H130">
        <v>0.1</v>
      </c>
      <c r="I130" t="s">
        <v>15</v>
      </c>
      <c r="J130">
        <v>7</v>
      </c>
      <c r="K130">
        <v>10</v>
      </c>
      <c r="L130">
        <v>2</v>
      </c>
      <c r="M130">
        <v>0</v>
      </c>
      <c r="N130" t="str">
        <f t="shared" si="4"/>
        <v>16-19</v>
      </c>
      <c r="O130" t="str">
        <f t="shared" si="5"/>
        <v>healthy sleep</v>
      </c>
      <c r="P130" s="1" t="str" cm="1">
        <f t="array" ref="P130">_xlfn.IFS(L130&lt;=3,"low",L130&lt;=6,"medium",L130&gt;=7,"high")</f>
        <v>low</v>
      </c>
    </row>
    <row r="131" spans="1:16" x14ac:dyDescent="0.3">
      <c r="A131">
        <v>13</v>
      </c>
      <c r="B131" t="s">
        <v>16</v>
      </c>
      <c r="C131">
        <v>3.8</v>
      </c>
      <c r="D131" t="s">
        <v>14</v>
      </c>
      <c r="E131">
        <v>7.9</v>
      </c>
      <c r="F131">
        <v>1.3</v>
      </c>
      <c r="G131">
        <v>3.97</v>
      </c>
      <c r="H131">
        <v>0.2</v>
      </c>
      <c r="I131" t="s">
        <v>19</v>
      </c>
      <c r="J131">
        <v>7</v>
      </c>
      <c r="K131">
        <v>10</v>
      </c>
      <c r="L131">
        <v>9</v>
      </c>
      <c r="M131">
        <v>0</v>
      </c>
      <c r="N131" t="str">
        <f t="shared" ref="N131:N194" si="6">IF(A131&lt;=15,"13-15","16-19")</f>
        <v>13-15</v>
      </c>
      <c r="O131" t="str">
        <f t="shared" ref="O131:O194" si="7">IF(E131&lt;=6,"low sleep","healthy sleep")</f>
        <v>healthy sleep</v>
      </c>
      <c r="P131" s="1" t="str" cm="1">
        <f t="array" ref="P131">_xlfn.IFS(L131&lt;=3,"low",L131&lt;=6,"medium",L131&gt;=7,"high")</f>
        <v>high</v>
      </c>
    </row>
    <row r="132" spans="1:16" x14ac:dyDescent="0.3">
      <c r="A132">
        <v>13</v>
      </c>
      <c r="B132" t="s">
        <v>16</v>
      </c>
      <c r="C132">
        <v>4.7</v>
      </c>
      <c r="D132" t="s">
        <v>20</v>
      </c>
      <c r="E132">
        <v>6.8</v>
      </c>
      <c r="F132">
        <v>1.7</v>
      </c>
      <c r="G132">
        <v>3.27</v>
      </c>
      <c r="H132">
        <v>1.4</v>
      </c>
      <c r="I132" t="s">
        <v>15</v>
      </c>
      <c r="J132">
        <v>4</v>
      </c>
      <c r="K132">
        <v>2</v>
      </c>
      <c r="L132">
        <v>4</v>
      </c>
      <c r="M132">
        <v>0</v>
      </c>
      <c r="N132" t="str">
        <f t="shared" si="6"/>
        <v>13-15</v>
      </c>
      <c r="O132" t="str">
        <f t="shared" si="7"/>
        <v>healthy sleep</v>
      </c>
      <c r="P132" s="1" t="str" cm="1">
        <f t="array" ref="P132">_xlfn.IFS(L132&lt;=3,"low",L132&lt;=6,"medium",L132&gt;=7,"high")</f>
        <v>medium</v>
      </c>
    </row>
    <row r="133" spans="1:16" x14ac:dyDescent="0.3">
      <c r="A133">
        <v>15</v>
      </c>
      <c r="B133" t="s">
        <v>13</v>
      </c>
      <c r="C133">
        <v>7.4</v>
      </c>
      <c r="D133" t="s">
        <v>17</v>
      </c>
      <c r="E133">
        <v>6.3</v>
      </c>
      <c r="F133">
        <v>1.3</v>
      </c>
      <c r="G133">
        <v>3.47</v>
      </c>
      <c r="H133">
        <v>1.2</v>
      </c>
      <c r="I133" t="s">
        <v>19</v>
      </c>
      <c r="J133">
        <v>1</v>
      </c>
      <c r="K133">
        <v>3</v>
      </c>
      <c r="L133">
        <v>9</v>
      </c>
      <c r="M133">
        <v>0</v>
      </c>
      <c r="N133" t="str">
        <f t="shared" si="6"/>
        <v>13-15</v>
      </c>
      <c r="O133" t="str">
        <f t="shared" si="7"/>
        <v>healthy sleep</v>
      </c>
      <c r="P133" s="1" t="str" cm="1">
        <f t="array" ref="P133">_xlfn.IFS(L133&lt;=3,"low",L133&lt;=6,"medium",L133&gt;=7,"high")</f>
        <v>high</v>
      </c>
    </row>
    <row r="134" spans="1:16" x14ac:dyDescent="0.3">
      <c r="A134">
        <v>17</v>
      </c>
      <c r="B134" t="s">
        <v>13</v>
      </c>
      <c r="C134">
        <v>3.9</v>
      </c>
      <c r="D134" t="s">
        <v>14</v>
      </c>
      <c r="E134">
        <v>7.1</v>
      </c>
      <c r="F134">
        <v>2.4</v>
      </c>
      <c r="G134">
        <v>3.82</v>
      </c>
      <c r="H134">
        <v>0.8</v>
      </c>
      <c r="I134" t="s">
        <v>18</v>
      </c>
      <c r="J134">
        <v>3</v>
      </c>
      <c r="K134">
        <v>6</v>
      </c>
      <c r="L134">
        <v>10</v>
      </c>
      <c r="M134">
        <v>0</v>
      </c>
      <c r="N134" t="str">
        <f t="shared" si="6"/>
        <v>16-19</v>
      </c>
      <c r="O134" t="str">
        <f t="shared" si="7"/>
        <v>healthy sleep</v>
      </c>
      <c r="P134" s="1" t="str" cm="1">
        <f t="array" ref="P134">_xlfn.IFS(L134&lt;=3,"low",L134&lt;=6,"medium",L134&gt;=7,"high")</f>
        <v>high</v>
      </c>
    </row>
    <row r="135" spans="1:16" x14ac:dyDescent="0.3">
      <c r="A135">
        <v>18</v>
      </c>
      <c r="B135" t="s">
        <v>13</v>
      </c>
      <c r="C135">
        <v>3.1</v>
      </c>
      <c r="D135" t="s">
        <v>14</v>
      </c>
      <c r="E135">
        <v>5.7</v>
      </c>
      <c r="F135">
        <v>2.9</v>
      </c>
      <c r="G135">
        <v>3.1</v>
      </c>
      <c r="H135">
        <v>0.6</v>
      </c>
      <c r="I135" t="s">
        <v>19</v>
      </c>
      <c r="J135">
        <v>9</v>
      </c>
      <c r="K135">
        <v>4</v>
      </c>
      <c r="L135">
        <v>2</v>
      </c>
      <c r="M135">
        <v>0</v>
      </c>
      <c r="N135" t="str">
        <f t="shared" si="6"/>
        <v>16-19</v>
      </c>
      <c r="O135" t="str">
        <f t="shared" si="7"/>
        <v>low sleep</v>
      </c>
      <c r="P135" s="1" t="str" cm="1">
        <f t="array" ref="P135">_xlfn.IFS(L135&lt;=3,"low",L135&lt;=6,"medium",L135&gt;=7,"high")</f>
        <v>low</v>
      </c>
    </row>
    <row r="136" spans="1:16" x14ac:dyDescent="0.3">
      <c r="A136">
        <v>16</v>
      </c>
      <c r="B136" t="s">
        <v>16</v>
      </c>
      <c r="C136">
        <v>2.6</v>
      </c>
      <c r="D136" t="s">
        <v>17</v>
      </c>
      <c r="E136">
        <v>8.8000000000000007</v>
      </c>
      <c r="F136">
        <v>1.7</v>
      </c>
      <c r="G136">
        <v>2.39</v>
      </c>
      <c r="H136">
        <v>1</v>
      </c>
      <c r="I136" t="s">
        <v>19</v>
      </c>
      <c r="J136">
        <v>5</v>
      </c>
      <c r="K136">
        <v>2</v>
      </c>
      <c r="L136">
        <v>6</v>
      </c>
      <c r="M136">
        <v>0</v>
      </c>
      <c r="N136" t="str">
        <f t="shared" si="6"/>
        <v>16-19</v>
      </c>
      <c r="O136" t="str">
        <f t="shared" si="7"/>
        <v>healthy sleep</v>
      </c>
      <c r="P136" s="1" t="str" cm="1">
        <f t="array" ref="P136">_xlfn.IFS(L136&lt;=3,"low",L136&lt;=6,"medium",L136&gt;=7,"high")</f>
        <v>medium</v>
      </c>
    </row>
    <row r="137" spans="1:16" x14ac:dyDescent="0.3">
      <c r="A137">
        <v>13</v>
      </c>
      <c r="B137" t="s">
        <v>13</v>
      </c>
      <c r="C137">
        <v>5</v>
      </c>
      <c r="D137" t="s">
        <v>17</v>
      </c>
      <c r="E137">
        <v>6.9</v>
      </c>
      <c r="F137">
        <v>0.6</v>
      </c>
      <c r="G137">
        <v>3.03</v>
      </c>
      <c r="H137">
        <v>0.8</v>
      </c>
      <c r="I137" t="s">
        <v>15</v>
      </c>
      <c r="J137">
        <v>9</v>
      </c>
      <c r="K137">
        <v>3</v>
      </c>
      <c r="L137">
        <v>8</v>
      </c>
      <c r="M137">
        <v>0</v>
      </c>
      <c r="N137" t="str">
        <f t="shared" si="6"/>
        <v>13-15</v>
      </c>
      <c r="O137" t="str">
        <f t="shared" si="7"/>
        <v>healthy sleep</v>
      </c>
      <c r="P137" s="1" t="str" cm="1">
        <f t="array" ref="P137">_xlfn.IFS(L137&lt;=3,"low",L137&lt;=6,"medium",L137&gt;=7,"high")</f>
        <v>high</v>
      </c>
    </row>
    <row r="138" spans="1:16" x14ac:dyDescent="0.3">
      <c r="A138">
        <v>18</v>
      </c>
      <c r="B138" t="s">
        <v>13</v>
      </c>
      <c r="C138">
        <v>4.5</v>
      </c>
      <c r="D138" t="s">
        <v>14</v>
      </c>
      <c r="E138">
        <v>8.1</v>
      </c>
      <c r="F138">
        <v>1.6</v>
      </c>
      <c r="G138">
        <v>3.72</v>
      </c>
      <c r="H138">
        <v>1.2</v>
      </c>
      <c r="I138" t="s">
        <v>15</v>
      </c>
      <c r="J138">
        <v>1</v>
      </c>
      <c r="K138">
        <v>2</v>
      </c>
      <c r="L138">
        <v>1</v>
      </c>
      <c r="M138">
        <v>0</v>
      </c>
      <c r="N138" t="str">
        <f t="shared" si="6"/>
        <v>16-19</v>
      </c>
      <c r="O138" t="str">
        <f t="shared" si="7"/>
        <v>healthy sleep</v>
      </c>
      <c r="P138" s="1" t="str" cm="1">
        <f t="array" ref="P138">_xlfn.IFS(L138&lt;=3,"low",L138&lt;=6,"medium",L138&gt;=7,"high")</f>
        <v>low</v>
      </c>
    </row>
    <row r="139" spans="1:16" x14ac:dyDescent="0.3">
      <c r="A139">
        <v>17</v>
      </c>
      <c r="B139" t="s">
        <v>13</v>
      </c>
      <c r="C139">
        <v>2.1</v>
      </c>
      <c r="D139" t="s">
        <v>17</v>
      </c>
      <c r="E139">
        <v>4.7</v>
      </c>
      <c r="F139">
        <v>2</v>
      </c>
      <c r="G139">
        <v>2.99</v>
      </c>
      <c r="H139">
        <v>1.9</v>
      </c>
      <c r="I139" t="s">
        <v>15</v>
      </c>
      <c r="J139">
        <v>5</v>
      </c>
      <c r="K139">
        <v>1</v>
      </c>
      <c r="L139">
        <v>8</v>
      </c>
      <c r="M139">
        <v>0</v>
      </c>
      <c r="N139" t="str">
        <f t="shared" si="6"/>
        <v>16-19</v>
      </c>
      <c r="O139" t="str">
        <f t="shared" si="7"/>
        <v>low sleep</v>
      </c>
      <c r="P139" s="1" t="str" cm="1">
        <f t="array" ref="P139">_xlfn.IFS(L139&lt;=3,"low",L139&lt;=6,"medium",L139&gt;=7,"high")</f>
        <v>high</v>
      </c>
    </row>
    <row r="140" spans="1:16" x14ac:dyDescent="0.3">
      <c r="A140">
        <v>14</v>
      </c>
      <c r="B140" t="s">
        <v>16</v>
      </c>
      <c r="C140">
        <v>6.4</v>
      </c>
      <c r="D140" t="s">
        <v>14</v>
      </c>
      <c r="E140">
        <v>6</v>
      </c>
      <c r="F140">
        <v>1.1000000000000001</v>
      </c>
      <c r="G140">
        <v>3.81</v>
      </c>
      <c r="H140">
        <v>0.9</v>
      </c>
      <c r="I140" t="s">
        <v>19</v>
      </c>
      <c r="J140">
        <v>8</v>
      </c>
      <c r="K140">
        <v>2</v>
      </c>
      <c r="L140">
        <v>3</v>
      </c>
      <c r="M140">
        <v>0</v>
      </c>
      <c r="N140" t="str">
        <f t="shared" si="6"/>
        <v>13-15</v>
      </c>
      <c r="O140" t="str">
        <f t="shared" si="7"/>
        <v>low sleep</v>
      </c>
      <c r="P140" s="1" t="str" cm="1">
        <f t="array" ref="P140">_xlfn.IFS(L140&lt;=3,"low",L140&lt;=6,"medium",L140&gt;=7,"high")</f>
        <v>low</v>
      </c>
    </row>
    <row r="141" spans="1:16" x14ac:dyDescent="0.3">
      <c r="A141">
        <v>15</v>
      </c>
      <c r="B141" t="s">
        <v>16</v>
      </c>
      <c r="C141">
        <v>2.2999999999999998</v>
      </c>
      <c r="D141" t="s">
        <v>17</v>
      </c>
      <c r="E141">
        <v>6.5</v>
      </c>
      <c r="F141">
        <v>2.6</v>
      </c>
      <c r="G141">
        <v>3.18</v>
      </c>
      <c r="H141">
        <v>0.1</v>
      </c>
      <c r="I141" t="s">
        <v>15</v>
      </c>
      <c r="J141">
        <v>1</v>
      </c>
      <c r="K141">
        <v>8</v>
      </c>
      <c r="L141">
        <v>4</v>
      </c>
      <c r="M141">
        <v>0</v>
      </c>
      <c r="N141" t="str">
        <f t="shared" si="6"/>
        <v>13-15</v>
      </c>
      <c r="O141" t="str">
        <f t="shared" si="7"/>
        <v>healthy sleep</v>
      </c>
      <c r="P141" s="1" t="str" cm="1">
        <f t="array" ref="P141">_xlfn.IFS(L141&lt;=3,"low",L141&lt;=6,"medium",L141&gt;=7,"high")</f>
        <v>medium</v>
      </c>
    </row>
    <row r="142" spans="1:16" x14ac:dyDescent="0.3">
      <c r="A142">
        <v>13</v>
      </c>
      <c r="B142" t="s">
        <v>16</v>
      </c>
      <c r="C142">
        <v>4.4000000000000004</v>
      </c>
      <c r="D142" t="s">
        <v>17</v>
      </c>
      <c r="E142">
        <v>8.8000000000000007</v>
      </c>
      <c r="F142">
        <v>1.3</v>
      </c>
      <c r="G142">
        <v>2.69</v>
      </c>
      <c r="H142">
        <v>0.4</v>
      </c>
      <c r="I142" t="s">
        <v>15</v>
      </c>
      <c r="J142">
        <v>3</v>
      </c>
      <c r="K142">
        <v>1</v>
      </c>
      <c r="L142">
        <v>7</v>
      </c>
      <c r="M142">
        <v>0</v>
      </c>
      <c r="N142" t="str">
        <f t="shared" si="6"/>
        <v>13-15</v>
      </c>
      <c r="O142" t="str">
        <f t="shared" si="7"/>
        <v>healthy sleep</v>
      </c>
      <c r="P142" s="1" t="str" cm="1">
        <f t="array" ref="P142">_xlfn.IFS(L142&lt;=3,"low",L142&lt;=6,"medium",L142&gt;=7,"high")</f>
        <v>high</v>
      </c>
    </row>
    <row r="143" spans="1:16" x14ac:dyDescent="0.3">
      <c r="A143">
        <v>19</v>
      </c>
      <c r="B143" t="s">
        <v>13</v>
      </c>
      <c r="C143">
        <v>2.2999999999999998</v>
      </c>
      <c r="D143" t="s">
        <v>14</v>
      </c>
      <c r="E143">
        <v>6.9</v>
      </c>
      <c r="F143">
        <v>2.2999999999999998</v>
      </c>
      <c r="G143">
        <v>2.17</v>
      </c>
      <c r="H143">
        <v>1.6</v>
      </c>
      <c r="I143" t="s">
        <v>19</v>
      </c>
      <c r="J143">
        <v>3</v>
      </c>
      <c r="K143">
        <v>6</v>
      </c>
      <c r="L143">
        <v>10</v>
      </c>
      <c r="M143">
        <v>0</v>
      </c>
      <c r="N143" t="str">
        <f t="shared" si="6"/>
        <v>16-19</v>
      </c>
      <c r="O143" t="str">
        <f t="shared" si="7"/>
        <v>healthy sleep</v>
      </c>
      <c r="P143" s="1" t="str" cm="1">
        <f t="array" ref="P143">_xlfn.IFS(L143&lt;=3,"low",L143&lt;=6,"medium",L143&gt;=7,"high")</f>
        <v>high</v>
      </c>
    </row>
    <row r="144" spans="1:16" x14ac:dyDescent="0.3">
      <c r="A144">
        <v>13</v>
      </c>
      <c r="B144" t="s">
        <v>13</v>
      </c>
      <c r="C144">
        <v>4.3</v>
      </c>
      <c r="D144" t="s">
        <v>14</v>
      </c>
      <c r="E144">
        <v>4.4000000000000004</v>
      </c>
      <c r="F144">
        <v>0.7</v>
      </c>
      <c r="G144">
        <v>3.19</v>
      </c>
      <c r="H144">
        <v>0.3</v>
      </c>
      <c r="I144" t="s">
        <v>15</v>
      </c>
      <c r="J144">
        <v>6</v>
      </c>
      <c r="K144">
        <v>2</v>
      </c>
      <c r="L144">
        <v>6</v>
      </c>
      <c r="M144">
        <v>0</v>
      </c>
      <c r="N144" t="str">
        <f t="shared" si="6"/>
        <v>13-15</v>
      </c>
      <c r="O144" t="str">
        <f t="shared" si="7"/>
        <v>low sleep</v>
      </c>
      <c r="P144" s="1" t="str" cm="1">
        <f t="array" ref="P144">_xlfn.IFS(L144&lt;=3,"low",L144&lt;=6,"medium",L144&gt;=7,"high")</f>
        <v>medium</v>
      </c>
    </row>
    <row r="145" spans="1:16" x14ac:dyDescent="0.3">
      <c r="A145">
        <v>18</v>
      </c>
      <c r="B145" t="s">
        <v>16</v>
      </c>
      <c r="C145">
        <v>3.9</v>
      </c>
      <c r="D145" t="s">
        <v>17</v>
      </c>
      <c r="E145">
        <v>5.2</v>
      </c>
      <c r="F145">
        <v>1.8</v>
      </c>
      <c r="G145">
        <v>2.41</v>
      </c>
      <c r="H145">
        <v>0.6</v>
      </c>
      <c r="I145" t="s">
        <v>18</v>
      </c>
      <c r="J145">
        <v>9</v>
      </c>
      <c r="K145">
        <v>5</v>
      </c>
      <c r="L145">
        <v>5</v>
      </c>
      <c r="M145">
        <v>0</v>
      </c>
      <c r="N145" t="str">
        <f t="shared" si="6"/>
        <v>16-19</v>
      </c>
      <c r="O145" t="str">
        <f t="shared" si="7"/>
        <v>low sleep</v>
      </c>
      <c r="P145" s="1" t="str" cm="1">
        <f t="array" ref="P145">_xlfn.IFS(L145&lt;=3,"low",L145&lt;=6,"medium",L145&gt;=7,"high")</f>
        <v>medium</v>
      </c>
    </row>
    <row r="146" spans="1:16" x14ac:dyDescent="0.3">
      <c r="A146">
        <v>18</v>
      </c>
      <c r="B146" t="s">
        <v>13</v>
      </c>
      <c r="C146">
        <v>2.9</v>
      </c>
      <c r="D146" t="s">
        <v>17</v>
      </c>
      <c r="E146">
        <v>7.5</v>
      </c>
      <c r="F146">
        <v>0.9</v>
      </c>
      <c r="G146">
        <v>2.62</v>
      </c>
      <c r="H146">
        <v>2</v>
      </c>
      <c r="I146" t="s">
        <v>18</v>
      </c>
      <c r="J146">
        <v>3</v>
      </c>
      <c r="K146">
        <v>1</v>
      </c>
      <c r="L146">
        <v>9</v>
      </c>
      <c r="M146">
        <v>0</v>
      </c>
      <c r="N146" t="str">
        <f t="shared" si="6"/>
        <v>16-19</v>
      </c>
      <c r="O146" t="str">
        <f t="shared" si="7"/>
        <v>healthy sleep</v>
      </c>
      <c r="P146" s="1" t="str" cm="1">
        <f t="array" ref="P146">_xlfn.IFS(L146&lt;=3,"low",L146&lt;=6,"medium",L146&gt;=7,"high")</f>
        <v>high</v>
      </c>
    </row>
    <row r="147" spans="1:16" x14ac:dyDescent="0.3">
      <c r="A147">
        <v>14</v>
      </c>
      <c r="B147" t="s">
        <v>13</v>
      </c>
      <c r="C147">
        <v>2.1</v>
      </c>
      <c r="D147" t="s">
        <v>14</v>
      </c>
      <c r="E147">
        <v>8.5</v>
      </c>
      <c r="F147">
        <v>1.1000000000000001</v>
      </c>
      <c r="G147">
        <v>3.03</v>
      </c>
      <c r="H147">
        <v>1.6</v>
      </c>
      <c r="I147" t="s">
        <v>19</v>
      </c>
      <c r="J147">
        <v>5</v>
      </c>
      <c r="K147">
        <v>6</v>
      </c>
      <c r="L147">
        <v>7</v>
      </c>
      <c r="M147">
        <v>0</v>
      </c>
      <c r="N147" t="str">
        <f t="shared" si="6"/>
        <v>13-15</v>
      </c>
      <c r="O147" t="str">
        <f t="shared" si="7"/>
        <v>healthy sleep</v>
      </c>
      <c r="P147" s="1" t="str" cm="1">
        <f t="array" ref="P147">_xlfn.IFS(L147&lt;=3,"low",L147&lt;=6,"medium",L147&gt;=7,"high")</f>
        <v>high</v>
      </c>
    </row>
    <row r="148" spans="1:16" x14ac:dyDescent="0.3">
      <c r="A148">
        <v>14</v>
      </c>
      <c r="B148" t="s">
        <v>13</v>
      </c>
      <c r="C148">
        <v>2.1</v>
      </c>
      <c r="D148" t="s">
        <v>17</v>
      </c>
      <c r="E148">
        <v>5</v>
      </c>
      <c r="F148">
        <v>1.4</v>
      </c>
      <c r="G148">
        <v>2.96</v>
      </c>
      <c r="H148">
        <v>1.1000000000000001</v>
      </c>
      <c r="I148" t="s">
        <v>15</v>
      </c>
      <c r="J148">
        <v>7</v>
      </c>
      <c r="K148">
        <v>1</v>
      </c>
      <c r="L148">
        <v>9</v>
      </c>
      <c r="M148">
        <v>0</v>
      </c>
      <c r="N148" t="str">
        <f t="shared" si="6"/>
        <v>13-15</v>
      </c>
      <c r="O148" t="str">
        <f t="shared" si="7"/>
        <v>low sleep</v>
      </c>
      <c r="P148" s="1" t="str" cm="1">
        <f t="array" ref="P148">_xlfn.IFS(L148&lt;=3,"low",L148&lt;=6,"medium",L148&gt;=7,"high")</f>
        <v>high</v>
      </c>
    </row>
    <row r="149" spans="1:16" x14ac:dyDescent="0.3">
      <c r="A149">
        <v>16</v>
      </c>
      <c r="B149" t="s">
        <v>13</v>
      </c>
      <c r="C149">
        <v>3.8</v>
      </c>
      <c r="D149" t="s">
        <v>17</v>
      </c>
      <c r="E149">
        <v>5.7</v>
      </c>
      <c r="F149">
        <v>1.3</v>
      </c>
      <c r="G149">
        <v>3.84</v>
      </c>
      <c r="H149">
        <v>1.6</v>
      </c>
      <c r="I149" t="s">
        <v>19</v>
      </c>
      <c r="J149">
        <v>3</v>
      </c>
      <c r="K149">
        <v>4</v>
      </c>
      <c r="L149">
        <v>10</v>
      </c>
      <c r="M149">
        <v>0</v>
      </c>
      <c r="N149" t="str">
        <f t="shared" si="6"/>
        <v>16-19</v>
      </c>
      <c r="O149" t="str">
        <f t="shared" si="7"/>
        <v>low sleep</v>
      </c>
      <c r="P149" s="1" t="str" cm="1">
        <f t="array" ref="P149">_xlfn.IFS(L149&lt;=3,"low",L149&lt;=6,"medium",L149&gt;=7,"high")</f>
        <v>high</v>
      </c>
    </row>
    <row r="150" spans="1:16" x14ac:dyDescent="0.3">
      <c r="A150">
        <v>15</v>
      </c>
      <c r="B150" t="s">
        <v>16</v>
      </c>
      <c r="C150">
        <v>1.1000000000000001</v>
      </c>
      <c r="D150" t="s">
        <v>17</v>
      </c>
      <c r="E150">
        <v>8.1999999999999993</v>
      </c>
      <c r="F150">
        <v>0.7</v>
      </c>
      <c r="G150">
        <v>2.94</v>
      </c>
      <c r="H150">
        <v>0.7</v>
      </c>
      <c r="I150" t="s">
        <v>18</v>
      </c>
      <c r="J150">
        <v>10</v>
      </c>
      <c r="K150">
        <v>7</v>
      </c>
      <c r="L150">
        <v>9</v>
      </c>
      <c r="M150">
        <v>0</v>
      </c>
      <c r="N150" t="str">
        <f t="shared" si="6"/>
        <v>13-15</v>
      </c>
      <c r="O150" t="str">
        <f t="shared" si="7"/>
        <v>healthy sleep</v>
      </c>
      <c r="P150" s="1" t="str" cm="1">
        <f t="array" ref="P150">_xlfn.IFS(L150&lt;=3,"low",L150&lt;=6,"medium",L150&gt;=7,"high")</f>
        <v>high</v>
      </c>
    </row>
    <row r="151" spans="1:16" x14ac:dyDescent="0.3">
      <c r="A151">
        <v>14</v>
      </c>
      <c r="B151" t="s">
        <v>13</v>
      </c>
      <c r="C151">
        <v>2.5</v>
      </c>
      <c r="D151" t="s">
        <v>20</v>
      </c>
      <c r="E151">
        <v>5.3</v>
      </c>
      <c r="F151">
        <v>2.4</v>
      </c>
      <c r="G151">
        <v>3.87</v>
      </c>
      <c r="H151">
        <v>1.3</v>
      </c>
      <c r="I151" t="s">
        <v>18</v>
      </c>
      <c r="J151">
        <v>10</v>
      </c>
      <c r="K151">
        <v>9</v>
      </c>
      <c r="L151">
        <v>6</v>
      </c>
      <c r="M151">
        <v>0</v>
      </c>
      <c r="N151" t="str">
        <f t="shared" si="6"/>
        <v>13-15</v>
      </c>
      <c r="O151" t="str">
        <f t="shared" si="7"/>
        <v>low sleep</v>
      </c>
      <c r="P151" s="1" t="str" cm="1">
        <f t="array" ref="P151">_xlfn.IFS(L151&lt;=3,"low",L151&lt;=6,"medium",L151&gt;=7,"high")</f>
        <v>medium</v>
      </c>
    </row>
    <row r="152" spans="1:16" x14ac:dyDescent="0.3">
      <c r="A152">
        <v>19</v>
      </c>
      <c r="B152" t="s">
        <v>16</v>
      </c>
      <c r="C152">
        <v>4.0999999999999996</v>
      </c>
      <c r="D152" t="s">
        <v>14</v>
      </c>
      <c r="E152">
        <v>6.4</v>
      </c>
      <c r="F152">
        <v>0.9</v>
      </c>
      <c r="G152">
        <v>2.4700000000000002</v>
      </c>
      <c r="H152">
        <v>1.2</v>
      </c>
      <c r="I152" t="s">
        <v>18</v>
      </c>
      <c r="J152">
        <v>7</v>
      </c>
      <c r="K152">
        <v>3</v>
      </c>
      <c r="L152">
        <v>4</v>
      </c>
      <c r="M152">
        <v>0</v>
      </c>
      <c r="N152" t="str">
        <f t="shared" si="6"/>
        <v>16-19</v>
      </c>
      <c r="O152" t="str">
        <f t="shared" si="7"/>
        <v>healthy sleep</v>
      </c>
      <c r="P152" s="1" t="str" cm="1">
        <f t="array" ref="P152">_xlfn.IFS(L152&lt;=3,"low",L152&lt;=6,"medium",L152&gt;=7,"high")</f>
        <v>medium</v>
      </c>
    </row>
    <row r="153" spans="1:16" x14ac:dyDescent="0.3">
      <c r="A153">
        <v>16</v>
      </c>
      <c r="B153" t="s">
        <v>13</v>
      </c>
      <c r="C153">
        <v>3</v>
      </c>
      <c r="D153" t="s">
        <v>14</v>
      </c>
      <c r="E153">
        <v>8.6</v>
      </c>
      <c r="F153">
        <v>1.5</v>
      </c>
      <c r="G153">
        <v>2.84</v>
      </c>
      <c r="H153">
        <v>0.3</v>
      </c>
      <c r="I153" t="s">
        <v>18</v>
      </c>
      <c r="J153">
        <v>6</v>
      </c>
      <c r="K153">
        <v>4</v>
      </c>
      <c r="L153">
        <v>3</v>
      </c>
      <c r="M153">
        <v>0</v>
      </c>
      <c r="N153" t="str">
        <f t="shared" si="6"/>
        <v>16-19</v>
      </c>
      <c r="O153" t="str">
        <f t="shared" si="7"/>
        <v>healthy sleep</v>
      </c>
      <c r="P153" s="1" t="str" cm="1">
        <f t="array" ref="P153">_xlfn.IFS(L153&lt;=3,"low",L153&lt;=6,"medium",L153&gt;=7,"high")</f>
        <v>low</v>
      </c>
    </row>
    <row r="154" spans="1:16" x14ac:dyDescent="0.3">
      <c r="A154">
        <v>13</v>
      </c>
      <c r="B154" t="s">
        <v>16</v>
      </c>
      <c r="C154">
        <v>3.9</v>
      </c>
      <c r="D154" t="s">
        <v>14</v>
      </c>
      <c r="E154">
        <v>5</v>
      </c>
      <c r="F154">
        <v>0.7</v>
      </c>
      <c r="G154">
        <v>2.98</v>
      </c>
      <c r="H154">
        <v>0.3</v>
      </c>
      <c r="I154" t="s">
        <v>19</v>
      </c>
      <c r="J154">
        <v>10</v>
      </c>
      <c r="K154">
        <v>8</v>
      </c>
      <c r="L154">
        <v>3</v>
      </c>
      <c r="M154">
        <v>0</v>
      </c>
      <c r="N154" t="str">
        <f t="shared" si="6"/>
        <v>13-15</v>
      </c>
      <c r="O154" t="str">
        <f t="shared" si="7"/>
        <v>low sleep</v>
      </c>
      <c r="P154" s="1" t="str" cm="1">
        <f t="array" ref="P154">_xlfn.IFS(L154&lt;=3,"low",L154&lt;=6,"medium",L154&gt;=7,"high")</f>
        <v>low</v>
      </c>
    </row>
    <row r="155" spans="1:16" x14ac:dyDescent="0.3">
      <c r="A155">
        <v>13</v>
      </c>
      <c r="B155" t="s">
        <v>13</v>
      </c>
      <c r="C155">
        <v>7</v>
      </c>
      <c r="D155" t="s">
        <v>17</v>
      </c>
      <c r="E155">
        <v>8.9</v>
      </c>
      <c r="F155">
        <v>0.6</v>
      </c>
      <c r="G155">
        <v>2.7</v>
      </c>
      <c r="H155">
        <v>1.8</v>
      </c>
      <c r="I155" t="s">
        <v>19</v>
      </c>
      <c r="J155">
        <v>5</v>
      </c>
      <c r="K155">
        <v>4</v>
      </c>
      <c r="L155">
        <v>1</v>
      </c>
      <c r="M155">
        <v>0</v>
      </c>
      <c r="N155" t="str">
        <f t="shared" si="6"/>
        <v>13-15</v>
      </c>
      <c r="O155" t="str">
        <f t="shared" si="7"/>
        <v>healthy sleep</v>
      </c>
      <c r="P155" s="1" t="str" cm="1">
        <f t="array" ref="P155">_xlfn.IFS(L155&lt;=3,"low",L155&lt;=6,"medium",L155&gt;=7,"high")</f>
        <v>low</v>
      </c>
    </row>
    <row r="156" spans="1:16" x14ac:dyDescent="0.3">
      <c r="A156">
        <v>16</v>
      </c>
      <c r="B156" t="s">
        <v>13</v>
      </c>
      <c r="C156">
        <v>3.6</v>
      </c>
      <c r="D156" t="s">
        <v>20</v>
      </c>
      <c r="E156">
        <v>8.9</v>
      </c>
      <c r="F156">
        <v>1.9</v>
      </c>
      <c r="G156">
        <v>2.11</v>
      </c>
      <c r="H156">
        <v>1.7</v>
      </c>
      <c r="I156" t="s">
        <v>15</v>
      </c>
      <c r="J156">
        <v>9</v>
      </c>
      <c r="K156">
        <v>5</v>
      </c>
      <c r="L156">
        <v>2</v>
      </c>
      <c r="M156">
        <v>0</v>
      </c>
      <c r="N156" t="str">
        <f t="shared" si="6"/>
        <v>16-19</v>
      </c>
      <c r="O156" t="str">
        <f t="shared" si="7"/>
        <v>healthy sleep</v>
      </c>
      <c r="P156" s="1" t="str" cm="1">
        <f t="array" ref="P156">_xlfn.IFS(L156&lt;=3,"low",L156&lt;=6,"medium",L156&gt;=7,"high")</f>
        <v>low</v>
      </c>
    </row>
    <row r="157" spans="1:16" x14ac:dyDescent="0.3">
      <c r="A157">
        <v>15</v>
      </c>
      <c r="B157" t="s">
        <v>13</v>
      </c>
      <c r="C157">
        <v>7.6</v>
      </c>
      <c r="D157" t="s">
        <v>14</v>
      </c>
      <c r="E157">
        <v>7.6</v>
      </c>
      <c r="F157">
        <v>2.7</v>
      </c>
      <c r="G157">
        <v>2.36</v>
      </c>
      <c r="H157">
        <v>1.2</v>
      </c>
      <c r="I157" t="s">
        <v>19</v>
      </c>
      <c r="J157">
        <v>5</v>
      </c>
      <c r="K157">
        <v>10</v>
      </c>
      <c r="L157">
        <v>3</v>
      </c>
      <c r="M157">
        <v>0</v>
      </c>
      <c r="N157" t="str">
        <f t="shared" si="6"/>
        <v>13-15</v>
      </c>
      <c r="O157" t="str">
        <f t="shared" si="7"/>
        <v>healthy sleep</v>
      </c>
      <c r="P157" s="1" t="str" cm="1">
        <f t="array" ref="P157">_xlfn.IFS(L157&lt;=3,"low",L157&lt;=6,"medium",L157&gt;=7,"high")</f>
        <v>low</v>
      </c>
    </row>
    <row r="158" spans="1:16" x14ac:dyDescent="0.3">
      <c r="A158">
        <v>19</v>
      </c>
      <c r="B158" t="s">
        <v>13</v>
      </c>
      <c r="C158">
        <v>1.3</v>
      </c>
      <c r="D158" t="s">
        <v>14</v>
      </c>
      <c r="E158">
        <v>4.5</v>
      </c>
      <c r="F158">
        <v>0.7</v>
      </c>
      <c r="G158">
        <v>2.5099999999999998</v>
      </c>
      <c r="H158">
        <v>0.8</v>
      </c>
      <c r="I158" t="s">
        <v>15</v>
      </c>
      <c r="J158">
        <v>10</v>
      </c>
      <c r="K158">
        <v>9</v>
      </c>
      <c r="L158">
        <v>7</v>
      </c>
      <c r="M158">
        <v>0</v>
      </c>
      <c r="N158" t="str">
        <f t="shared" si="6"/>
        <v>16-19</v>
      </c>
      <c r="O158" t="str">
        <f t="shared" si="7"/>
        <v>low sleep</v>
      </c>
      <c r="P158" s="1" t="str" cm="1">
        <f t="array" ref="P158">_xlfn.IFS(L158&lt;=3,"low",L158&lt;=6,"medium",L158&gt;=7,"high")</f>
        <v>high</v>
      </c>
    </row>
    <row r="159" spans="1:16" x14ac:dyDescent="0.3">
      <c r="A159">
        <v>17</v>
      </c>
      <c r="B159" t="s">
        <v>16</v>
      </c>
      <c r="C159">
        <v>2.1</v>
      </c>
      <c r="D159" t="s">
        <v>20</v>
      </c>
      <c r="E159">
        <v>7.8</v>
      </c>
      <c r="F159">
        <v>2.1</v>
      </c>
      <c r="G159">
        <v>3.29</v>
      </c>
      <c r="H159">
        <v>1.5</v>
      </c>
      <c r="I159" t="s">
        <v>15</v>
      </c>
      <c r="J159">
        <v>8</v>
      </c>
      <c r="K159">
        <v>1</v>
      </c>
      <c r="L159">
        <v>7</v>
      </c>
      <c r="M159">
        <v>0</v>
      </c>
      <c r="N159" t="str">
        <f t="shared" si="6"/>
        <v>16-19</v>
      </c>
      <c r="O159" t="str">
        <f t="shared" si="7"/>
        <v>healthy sleep</v>
      </c>
      <c r="P159" s="1" t="str" cm="1">
        <f t="array" ref="P159">_xlfn.IFS(L159&lt;=3,"low",L159&lt;=6,"medium",L159&gt;=7,"high")</f>
        <v>high</v>
      </c>
    </row>
    <row r="160" spans="1:16" x14ac:dyDescent="0.3">
      <c r="A160">
        <v>15</v>
      </c>
      <c r="B160" t="s">
        <v>16</v>
      </c>
      <c r="C160">
        <v>2.7</v>
      </c>
      <c r="D160" t="s">
        <v>20</v>
      </c>
      <c r="E160">
        <v>8.8000000000000007</v>
      </c>
      <c r="F160">
        <v>1.9</v>
      </c>
      <c r="G160">
        <v>2.14</v>
      </c>
      <c r="H160">
        <v>0.4</v>
      </c>
      <c r="I160" t="s">
        <v>18</v>
      </c>
      <c r="J160">
        <v>8</v>
      </c>
      <c r="K160">
        <v>10</v>
      </c>
      <c r="L160">
        <v>3</v>
      </c>
      <c r="M160">
        <v>0</v>
      </c>
      <c r="N160" t="str">
        <f t="shared" si="6"/>
        <v>13-15</v>
      </c>
      <c r="O160" t="str">
        <f t="shared" si="7"/>
        <v>healthy sleep</v>
      </c>
      <c r="P160" s="1" t="str" cm="1">
        <f t="array" ref="P160">_xlfn.IFS(L160&lt;=3,"low",L160&lt;=6,"medium",L160&gt;=7,"high")</f>
        <v>low</v>
      </c>
    </row>
    <row r="161" spans="1:16" x14ac:dyDescent="0.3">
      <c r="A161">
        <v>13</v>
      </c>
      <c r="B161" t="s">
        <v>13</v>
      </c>
      <c r="C161">
        <v>7.5</v>
      </c>
      <c r="D161" t="s">
        <v>20</v>
      </c>
      <c r="E161">
        <v>8</v>
      </c>
      <c r="F161">
        <v>2</v>
      </c>
      <c r="G161">
        <v>3.25</v>
      </c>
      <c r="H161">
        <v>0.7</v>
      </c>
      <c r="I161" t="s">
        <v>19</v>
      </c>
      <c r="J161">
        <v>9</v>
      </c>
      <c r="K161">
        <v>10</v>
      </c>
      <c r="L161">
        <v>2</v>
      </c>
      <c r="M161">
        <v>0</v>
      </c>
      <c r="N161" t="str">
        <f t="shared" si="6"/>
        <v>13-15</v>
      </c>
      <c r="O161" t="str">
        <f t="shared" si="7"/>
        <v>healthy sleep</v>
      </c>
      <c r="P161" s="1" t="str" cm="1">
        <f t="array" ref="P161">_xlfn.IFS(L161&lt;=3,"low",L161&lt;=6,"medium",L161&gt;=7,"high")</f>
        <v>low</v>
      </c>
    </row>
    <row r="162" spans="1:16" x14ac:dyDescent="0.3">
      <c r="A162">
        <v>16</v>
      </c>
      <c r="B162" t="s">
        <v>16</v>
      </c>
      <c r="C162">
        <v>6.1</v>
      </c>
      <c r="D162" t="s">
        <v>20</v>
      </c>
      <c r="E162">
        <v>8.8000000000000007</v>
      </c>
      <c r="F162">
        <v>1.7</v>
      </c>
      <c r="G162">
        <v>3.55</v>
      </c>
      <c r="H162">
        <v>1.3</v>
      </c>
      <c r="I162" t="s">
        <v>19</v>
      </c>
      <c r="J162">
        <v>6</v>
      </c>
      <c r="K162">
        <v>10</v>
      </c>
      <c r="L162">
        <v>9</v>
      </c>
      <c r="M162">
        <v>0</v>
      </c>
      <c r="N162" t="str">
        <f t="shared" si="6"/>
        <v>16-19</v>
      </c>
      <c r="O162" t="str">
        <f t="shared" si="7"/>
        <v>healthy sleep</v>
      </c>
      <c r="P162" s="1" t="str" cm="1">
        <f t="array" ref="P162">_xlfn.IFS(L162&lt;=3,"low",L162&lt;=6,"medium",L162&gt;=7,"high")</f>
        <v>high</v>
      </c>
    </row>
    <row r="163" spans="1:16" x14ac:dyDescent="0.3">
      <c r="A163">
        <v>19</v>
      </c>
      <c r="B163" t="s">
        <v>13</v>
      </c>
      <c r="C163">
        <v>2.4</v>
      </c>
      <c r="D163" t="s">
        <v>20</v>
      </c>
      <c r="E163">
        <v>7.4</v>
      </c>
      <c r="F163">
        <v>1.2</v>
      </c>
      <c r="G163">
        <v>2.5</v>
      </c>
      <c r="H163">
        <v>1.8</v>
      </c>
      <c r="I163" t="s">
        <v>18</v>
      </c>
      <c r="J163">
        <v>2</v>
      </c>
      <c r="K163">
        <v>5</v>
      </c>
      <c r="L163">
        <v>2</v>
      </c>
      <c r="M163">
        <v>0</v>
      </c>
      <c r="N163" t="str">
        <f t="shared" si="6"/>
        <v>16-19</v>
      </c>
      <c r="O163" t="str">
        <f t="shared" si="7"/>
        <v>healthy sleep</v>
      </c>
      <c r="P163" s="1" t="str" cm="1">
        <f t="array" ref="P163">_xlfn.IFS(L163&lt;=3,"low",L163&lt;=6,"medium",L163&gt;=7,"high")</f>
        <v>low</v>
      </c>
    </row>
    <row r="164" spans="1:16" x14ac:dyDescent="0.3">
      <c r="A164">
        <v>19</v>
      </c>
      <c r="B164" t="s">
        <v>13</v>
      </c>
      <c r="C164">
        <v>2</v>
      </c>
      <c r="D164" t="s">
        <v>17</v>
      </c>
      <c r="E164">
        <v>5.3</v>
      </c>
      <c r="F164">
        <v>1.7</v>
      </c>
      <c r="G164">
        <v>2.91</v>
      </c>
      <c r="H164">
        <v>0.8</v>
      </c>
      <c r="I164" t="s">
        <v>15</v>
      </c>
      <c r="J164">
        <v>9</v>
      </c>
      <c r="K164">
        <v>5</v>
      </c>
      <c r="L164">
        <v>9</v>
      </c>
      <c r="M164">
        <v>0</v>
      </c>
      <c r="N164" t="str">
        <f t="shared" si="6"/>
        <v>16-19</v>
      </c>
      <c r="O164" t="str">
        <f t="shared" si="7"/>
        <v>low sleep</v>
      </c>
      <c r="P164" s="1" t="str" cm="1">
        <f t="array" ref="P164">_xlfn.IFS(L164&lt;=3,"low",L164&lt;=6,"medium",L164&gt;=7,"high")</f>
        <v>high</v>
      </c>
    </row>
    <row r="165" spans="1:16" x14ac:dyDescent="0.3">
      <c r="A165">
        <v>15</v>
      </c>
      <c r="B165" t="s">
        <v>16</v>
      </c>
      <c r="C165">
        <v>7.8</v>
      </c>
      <c r="D165" t="s">
        <v>17</v>
      </c>
      <c r="E165">
        <v>5.3</v>
      </c>
      <c r="F165">
        <v>0.5</v>
      </c>
      <c r="G165">
        <v>2.3199999999999998</v>
      </c>
      <c r="H165">
        <v>0.8</v>
      </c>
      <c r="I165" t="s">
        <v>15</v>
      </c>
      <c r="J165">
        <v>8</v>
      </c>
      <c r="K165">
        <v>9</v>
      </c>
      <c r="L165">
        <v>3</v>
      </c>
      <c r="M165">
        <v>1</v>
      </c>
      <c r="N165" t="str">
        <f t="shared" si="6"/>
        <v>13-15</v>
      </c>
      <c r="O165" t="str">
        <f t="shared" si="7"/>
        <v>low sleep</v>
      </c>
      <c r="P165" s="1" t="str" cm="1">
        <f t="array" ref="P165">_xlfn.IFS(L165&lt;=3,"low",L165&lt;=6,"medium",L165&gt;=7,"high")</f>
        <v>low</v>
      </c>
    </row>
    <row r="166" spans="1:16" x14ac:dyDescent="0.3">
      <c r="A166">
        <v>16</v>
      </c>
      <c r="B166" t="s">
        <v>16</v>
      </c>
      <c r="C166">
        <v>6.8</v>
      </c>
      <c r="D166" t="s">
        <v>17</v>
      </c>
      <c r="E166">
        <v>7.2</v>
      </c>
      <c r="F166">
        <v>2.5</v>
      </c>
      <c r="G166">
        <v>3.61</v>
      </c>
      <c r="H166">
        <v>0.5</v>
      </c>
      <c r="I166" t="s">
        <v>19</v>
      </c>
      <c r="J166">
        <v>10</v>
      </c>
      <c r="K166">
        <v>1</v>
      </c>
      <c r="L166">
        <v>9</v>
      </c>
      <c r="M166">
        <v>0</v>
      </c>
      <c r="N166" t="str">
        <f t="shared" si="6"/>
        <v>16-19</v>
      </c>
      <c r="O166" t="str">
        <f t="shared" si="7"/>
        <v>healthy sleep</v>
      </c>
      <c r="P166" s="1" t="str" cm="1">
        <f t="array" ref="P166">_xlfn.IFS(L166&lt;=3,"low",L166&lt;=6,"medium",L166&gt;=7,"high")</f>
        <v>high</v>
      </c>
    </row>
    <row r="167" spans="1:16" x14ac:dyDescent="0.3">
      <c r="A167">
        <v>17</v>
      </c>
      <c r="B167" t="s">
        <v>13</v>
      </c>
      <c r="C167">
        <v>8</v>
      </c>
      <c r="D167" t="s">
        <v>14</v>
      </c>
      <c r="E167">
        <v>4.5999999999999996</v>
      </c>
      <c r="F167">
        <v>2.6</v>
      </c>
      <c r="G167">
        <v>3.06</v>
      </c>
      <c r="H167">
        <v>0.1</v>
      </c>
      <c r="I167" t="s">
        <v>18</v>
      </c>
      <c r="J167">
        <v>9</v>
      </c>
      <c r="K167">
        <v>2</v>
      </c>
      <c r="L167">
        <v>6</v>
      </c>
      <c r="M167">
        <v>0</v>
      </c>
      <c r="N167" t="str">
        <f t="shared" si="6"/>
        <v>16-19</v>
      </c>
      <c r="O167" t="str">
        <f t="shared" si="7"/>
        <v>low sleep</v>
      </c>
      <c r="P167" s="1" t="str" cm="1">
        <f t="array" ref="P167">_xlfn.IFS(L167&lt;=3,"low",L167&lt;=6,"medium",L167&gt;=7,"high")</f>
        <v>medium</v>
      </c>
    </row>
    <row r="168" spans="1:16" x14ac:dyDescent="0.3">
      <c r="A168">
        <v>13</v>
      </c>
      <c r="B168" t="s">
        <v>16</v>
      </c>
      <c r="C168">
        <v>7.3</v>
      </c>
      <c r="D168" t="s">
        <v>20</v>
      </c>
      <c r="E168">
        <v>8.9</v>
      </c>
      <c r="F168">
        <v>2.7</v>
      </c>
      <c r="G168">
        <v>3.68</v>
      </c>
      <c r="H168">
        <v>1.9</v>
      </c>
      <c r="I168" t="s">
        <v>15</v>
      </c>
      <c r="J168">
        <v>6</v>
      </c>
      <c r="K168">
        <v>6</v>
      </c>
      <c r="L168">
        <v>10</v>
      </c>
      <c r="M168">
        <v>0</v>
      </c>
      <c r="N168" t="str">
        <f t="shared" si="6"/>
        <v>13-15</v>
      </c>
      <c r="O168" t="str">
        <f t="shared" si="7"/>
        <v>healthy sleep</v>
      </c>
      <c r="P168" s="1" t="str" cm="1">
        <f t="array" ref="P168">_xlfn.IFS(L168&lt;=3,"low",L168&lt;=6,"medium",L168&gt;=7,"high")</f>
        <v>high</v>
      </c>
    </row>
    <row r="169" spans="1:16" x14ac:dyDescent="0.3">
      <c r="A169">
        <v>15</v>
      </c>
      <c r="B169" t="s">
        <v>16</v>
      </c>
      <c r="C169">
        <v>1.5</v>
      </c>
      <c r="D169" t="s">
        <v>20</v>
      </c>
      <c r="E169">
        <v>8.6999999999999993</v>
      </c>
      <c r="F169">
        <v>1.2</v>
      </c>
      <c r="G169">
        <v>2.52</v>
      </c>
      <c r="H169">
        <v>0.1</v>
      </c>
      <c r="I169" t="s">
        <v>15</v>
      </c>
      <c r="J169">
        <v>9</v>
      </c>
      <c r="K169">
        <v>7</v>
      </c>
      <c r="L169">
        <v>2</v>
      </c>
      <c r="M169">
        <v>0</v>
      </c>
      <c r="N169" t="str">
        <f t="shared" si="6"/>
        <v>13-15</v>
      </c>
      <c r="O169" t="str">
        <f t="shared" si="7"/>
        <v>healthy sleep</v>
      </c>
      <c r="P169" s="1" t="str" cm="1">
        <f t="array" ref="P169">_xlfn.IFS(L169&lt;=3,"low",L169&lt;=6,"medium",L169&gt;=7,"high")</f>
        <v>low</v>
      </c>
    </row>
    <row r="170" spans="1:16" x14ac:dyDescent="0.3">
      <c r="A170">
        <v>15</v>
      </c>
      <c r="B170" t="s">
        <v>16</v>
      </c>
      <c r="C170">
        <v>3.4</v>
      </c>
      <c r="D170" t="s">
        <v>14</v>
      </c>
      <c r="E170">
        <v>5</v>
      </c>
      <c r="F170">
        <v>1.8</v>
      </c>
      <c r="G170">
        <v>3.2</v>
      </c>
      <c r="H170">
        <v>1.5</v>
      </c>
      <c r="I170" t="s">
        <v>19</v>
      </c>
      <c r="J170">
        <v>4</v>
      </c>
      <c r="K170">
        <v>5</v>
      </c>
      <c r="L170">
        <v>1</v>
      </c>
      <c r="M170">
        <v>0</v>
      </c>
      <c r="N170" t="str">
        <f t="shared" si="6"/>
        <v>13-15</v>
      </c>
      <c r="O170" t="str">
        <f t="shared" si="7"/>
        <v>low sleep</v>
      </c>
      <c r="P170" s="1" t="str" cm="1">
        <f t="array" ref="P170">_xlfn.IFS(L170&lt;=3,"low",L170&lt;=6,"medium",L170&gt;=7,"high")</f>
        <v>low</v>
      </c>
    </row>
    <row r="171" spans="1:16" x14ac:dyDescent="0.3">
      <c r="A171">
        <v>15</v>
      </c>
      <c r="B171" t="s">
        <v>13</v>
      </c>
      <c r="C171">
        <v>7.3</v>
      </c>
      <c r="D171" t="s">
        <v>20</v>
      </c>
      <c r="E171">
        <v>4.8</v>
      </c>
      <c r="F171">
        <v>2.6</v>
      </c>
      <c r="G171">
        <v>3.81</v>
      </c>
      <c r="H171">
        <v>1.5</v>
      </c>
      <c r="I171" t="s">
        <v>15</v>
      </c>
      <c r="J171">
        <v>4</v>
      </c>
      <c r="K171">
        <v>7</v>
      </c>
      <c r="L171">
        <v>4</v>
      </c>
      <c r="M171">
        <v>0</v>
      </c>
      <c r="N171" t="str">
        <f t="shared" si="6"/>
        <v>13-15</v>
      </c>
      <c r="O171" t="str">
        <f t="shared" si="7"/>
        <v>low sleep</v>
      </c>
      <c r="P171" s="1" t="str" cm="1">
        <f t="array" ref="P171">_xlfn.IFS(L171&lt;=3,"low",L171&lt;=6,"medium",L171&gt;=7,"high")</f>
        <v>medium</v>
      </c>
    </row>
    <row r="172" spans="1:16" x14ac:dyDescent="0.3">
      <c r="A172">
        <v>13</v>
      </c>
      <c r="B172" t="s">
        <v>16</v>
      </c>
      <c r="C172">
        <v>1.9</v>
      </c>
      <c r="D172" t="s">
        <v>17</v>
      </c>
      <c r="E172">
        <v>8.5</v>
      </c>
      <c r="F172">
        <v>0.8</v>
      </c>
      <c r="G172">
        <v>3.33</v>
      </c>
      <c r="H172">
        <v>1.3</v>
      </c>
      <c r="I172" t="s">
        <v>19</v>
      </c>
      <c r="J172">
        <v>5</v>
      </c>
      <c r="K172">
        <v>1</v>
      </c>
      <c r="L172">
        <v>3</v>
      </c>
      <c r="M172">
        <v>0</v>
      </c>
      <c r="N172" t="str">
        <f t="shared" si="6"/>
        <v>13-15</v>
      </c>
      <c r="O172" t="str">
        <f t="shared" si="7"/>
        <v>healthy sleep</v>
      </c>
      <c r="P172" s="1" t="str" cm="1">
        <f t="array" ref="P172">_xlfn.IFS(L172&lt;=3,"low",L172&lt;=6,"medium",L172&gt;=7,"high")</f>
        <v>low</v>
      </c>
    </row>
    <row r="173" spans="1:16" x14ac:dyDescent="0.3">
      <c r="A173">
        <v>17</v>
      </c>
      <c r="B173" t="s">
        <v>16</v>
      </c>
      <c r="C173">
        <v>3.9</v>
      </c>
      <c r="D173" t="s">
        <v>14</v>
      </c>
      <c r="E173">
        <v>8.1999999999999993</v>
      </c>
      <c r="F173">
        <v>1.3</v>
      </c>
      <c r="G173">
        <v>3.21</v>
      </c>
      <c r="H173">
        <v>1.8</v>
      </c>
      <c r="I173" t="s">
        <v>19</v>
      </c>
      <c r="J173">
        <v>3</v>
      </c>
      <c r="K173">
        <v>7</v>
      </c>
      <c r="L173">
        <v>7</v>
      </c>
      <c r="M173">
        <v>0</v>
      </c>
      <c r="N173" t="str">
        <f t="shared" si="6"/>
        <v>16-19</v>
      </c>
      <c r="O173" t="str">
        <f t="shared" si="7"/>
        <v>healthy sleep</v>
      </c>
      <c r="P173" s="1" t="str" cm="1">
        <f t="array" ref="P173">_xlfn.IFS(L173&lt;=3,"low",L173&lt;=6,"medium",L173&gt;=7,"high")</f>
        <v>high</v>
      </c>
    </row>
    <row r="174" spans="1:16" x14ac:dyDescent="0.3">
      <c r="A174">
        <v>18</v>
      </c>
      <c r="B174" t="s">
        <v>13</v>
      </c>
      <c r="C174">
        <v>1.3</v>
      </c>
      <c r="D174" t="s">
        <v>14</v>
      </c>
      <c r="E174">
        <v>5.8</v>
      </c>
      <c r="F174">
        <v>1.3</v>
      </c>
      <c r="G174">
        <v>3.35</v>
      </c>
      <c r="H174">
        <v>1.9</v>
      </c>
      <c r="I174" t="s">
        <v>19</v>
      </c>
      <c r="J174">
        <v>9</v>
      </c>
      <c r="K174">
        <v>4</v>
      </c>
      <c r="L174">
        <v>9</v>
      </c>
      <c r="M174">
        <v>0</v>
      </c>
      <c r="N174" t="str">
        <f t="shared" si="6"/>
        <v>16-19</v>
      </c>
      <c r="O174" t="str">
        <f t="shared" si="7"/>
        <v>low sleep</v>
      </c>
      <c r="P174" s="1" t="str" cm="1">
        <f t="array" ref="P174">_xlfn.IFS(L174&lt;=3,"low",L174&lt;=6,"medium",L174&gt;=7,"high")</f>
        <v>high</v>
      </c>
    </row>
    <row r="175" spans="1:16" x14ac:dyDescent="0.3">
      <c r="A175">
        <v>19</v>
      </c>
      <c r="B175" t="s">
        <v>13</v>
      </c>
      <c r="C175">
        <v>4.7</v>
      </c>
      <c r="D175" t="s">
        <v>17</v>
      </c>
      <c r="E175">
        <v>8.1999999999999993</v>
      </c>
      <c r="F175">
        <v>1.8</v>
      </c>
      <c r="G175">
        <v>2.2599999999999998</v>
      </c>
      <c r="H175">
        <v>1</v>
      </c>
      <c r="I175" t="s">
        <v>15</v>
      </c>
      <c r="J175">
        <v>7</v>
      </c>
      <c r="K175">
        <v>4</v>
      </c>
      <c r="L175">
        <v>7</v>
      </c>
      <c r="M175">
        <v>0</v>
      </c>
      <c r="N175" t="str">
        <f t="shared" si="6"/>
        <v>16-19</v>
      </c>
      <c r="O175" t="str">
        <f t="shared" si="7"/>
        <v>healthy sleep</v>
      </c>
      <c r="P175" s="1" t="str" cm="1">
        <f t="array" ref="P175">_xlfn.IFS(L175&lt;=3,"low",L175&lt;=6,"medium",L175&gt;=7,"high")</f>
        <v>high</v>
      </c>
    </row>
    <row r="176" spans="1:16" x14ac:dyDescent="0.3">
      <c r="A176">
        <v>15</v>
      </c>
      <c r="B176" t="s">
        <v>13</v>
      </c>
      <c r="C176">
        <v>1.9</v>
      </c>
      <c r="D176" t="s">
        <v>17</v>
      </c>
      <c r="E176">
        <v>5.8</v>
      </c>
      <c r="F176">
        <v>2.2999999999999998</v>
      </c>
      <c r="G176">
        <v>2.4700000000000002</v>
      </c>
      <c r="H176">
        <v>0.3</v>
      </c>
      <c r="I176" t="s">
        <v>18</v>
      </c>
      <c r="J176">
        <v>10</v>
      </c>
      <c r="K176">
        <v>9</v>
      </c>
      <c r="L176">
        <v>4</v>
      </c>
      <c r="M176">
        <v>0</v>
      </c>
      <c r="N176" t="str">
        <f t="shared" si="6"/>
        <v>13-15</v>
      </c>
      <c r="O176" t="str">
        <f t="shared" si="7"/>
        <v>low sleep</v>
      </c>
      <c r="P176" s="1" t="str" cm="1">
        <f t="array" ref="P176">_xlfn.IFS(L176&lt;=3,"low",L176&lt;=6,"medium",L176&gt;=7,"high")</f>
        <v>medium</v>
      </c>
    </row>
    <row r="177" spans="1:16" x14ac:dyDescent="0.3">
      <c r="A177">
        <v>18</v>
      </c>
      <c r="B177" t="s">
        <v>16</v>
      </c>
      <c r="C177">
        <v>7</v>
      </c>
      <c r="D177" t="s">
        <v>20</v>
      </c>
      <c r="E177">
        <v>6.3</v>
      </c>
      <c r="F177">
        <v>1.6</v>
      </c>
      <c r="G177">
        <v>2.5499999999999998</v>
      </c>
      <c r="H177">
        <v>0.5</v>
      </c>
      <c r="I177" t="s">
        <v>19</v>
      </c>
      <c r="J177">
        <v>10</v>
      </c>
      <c r="K177">
        <v>1</v>
      </c>
      <c r="L177">
        <v>8</v>
      </c>
      <c r="M177">
        <v>0</v>
      </c>
      <c r="N177" t="str">
        <f t="shared" si="6"/>
        <v>16-19</v>
      </c>
      <c r="O177" t="str">
        <f t="shared" si="7"/>
        <v>healthy sleep</v>
      </c>
      <c r="P177" s="1" t="str" cm="1">
        <f t="array" ref="P177">_xlfn.IFS(L177&lt;=3,"low",L177&lt;=6,"medium",L177&gt;=7,"high")</f>
        <v>high</v>
      </c>
    </row>
    <row r="178" spans="1:16" x14ac:dyDescent="0.3">
      <c r="A178">
        <v>15</v>
      </c>
      <c r="B178" t="s">
        <v>13</v>
      </c>
      <c r="C178">
        <v>6.2</v>
      </c>
      <c r="D178" t="s">
        <v>17</v>
      </c>
      <c r="E178">
        <v>6.3</v>
      </c>
      <c r="F178">
        <v>1.7</v>
      </c>
      <c r="G178">
        <v>2.2599999999999998</v>
      </c>
      <c r="H178">
        <v>1.1000000000000001</v>
      </c>
      <c r="I178" t="s">
        <v>18</v>
      </c>
      <c r="J178">
        <v>9</v>
      </c>
      <c r="K178">
        <v>6</v>
      </c>
      <c r="L178">
        <v>2</v>
      </c>
      <c r="M178">
        <v>0</v>
      </c>
      <c r="N178" t="str">
        <f t="shared" si="6"/>
        <v>13-15</v>
      </c>
      <c r="O178" t="str">
        <f t="shared" si="7"/>
        <v>healthy sleep</v>
      </c>
      <c r="P178" s="1" t="str" cm="1">
        <f t="array" ref="P178">_xlfn.IFS(L178&lt;=3,"low",L178&lt;=6,"medium",L178&gt;=7,"high")</f>
        <v>low</v>
      </c>
    </row>
    <row r="179" spans="1:16" x14ac:dyDescent="0.3">
      <c r="A179">
        <v>14</v>
      </c>
      <c r="B179" t="s">
        <v>13</v>
      </c>
      <c r="C179">
        <v>3.2</v>
      </c>
      <c r="D179" t="s">
        <v>17</v>
      </c>
      <c r="E179">
        <v>8</v>
      </c>
      <c r="F179">
        <v>1.3</v>
      </c>
      <c r="G179">
        <v>2.5</v>
      </c>
      <c r="H179">
        <v>1.1000000000000001</v>
      </c>
      <c r="I179" t="s">
        <v>18</v>
      </c>
      <c r="J179">
        <v>2</v>
      </c>
      <c r="K179">
        <v>7</v>
      </c>
      <c r="L179">
        <v>5</v>
      </c>
      <c r="M179">
        <v>0</v>
      </c>
      <c r="N179" t="str">
        <f t="shared" si="6"/>
        <v>13-15</v>
      </c>
      <c r="O179" t="str">
        <f t="shared" si="7"/>
        <v>healthy sleep</v>
      </c>
      <c r="P179" s="1" t="str" cm="1">
        <f t="array" ref="P179">_xlfn.IFS(L179&lt;=3,"low",L179&lt;=6,"medium",L179&gt;=7,"high")</f>
        <v>medium</v>
      </c>
    </row>
    <row r="180" spans="1:16" x14ac:dyDescent="0.3">
      <c r="A180">
        <v>18</v>
      </c>
      <c r="B180" t="s">
        <v>16</v>
      </c>
      <c r="C180">
        <v>4.5</v>
      </c>
      <c r="D180" t="s">
        <v>20</v>
      </c>
      <c r="E180">
        <v>7.9</v>
      </c>
      <c r="F180">
        <v>1.4</v>
      </c>
      <c r="G180">
        <v>2.38</v>
      </c>
      <c r="H180">
        <v>0.1</v>
      </c>
      <c r="I180" t="s">
        <v>18</v>
      </c>
      <c r="J180">
        <v>7</v>
      </c>
      <c r="K180">
        <v>9</v>
      </c>
      <c r="L180">
        <v>1</v>
      </c>
      <c r="M180">
        <v>0</v>
      </c>
      <c r="N180" t="str">
        <f t="shared" si="6"/>
        <v>16-19</v>
      </c>
      <c r="O180" t="str">
        <f t="shared" si="7"/>
        <v>healthy sleep</v>
      </c>
      <c r="P180" s="1" t="str" cm="1">
        <f t="array" ref="P180">_xlfn.IFS(L180&lt;=3,"low",L180&lt;=6,"medium",L180&gt;=7,"high")</f>
        <v>low</v>
      </c>
    </row>
    <row r="181" spans="1:16" x14ac:dyDescent="0.3">
      <c r="A181">
        <v>14</v>
      </c>
      <c r="B181" t="s">
        <v>16</v>
      </c>
      <c r="C181">
        <v>1.1000000000000001</v>
      </c>
      <c r="D181" t="s">
        <v>20</v>
      </c>
      <c r="E181">
        <v>6.1</v>
      </c>
      <c r="F181">
        <v>2.5</v>
      </c>
      <c r="G181">
        <v>2.8</v>
      </c>
      <c r="H181">
        <v>1.8</v>
      </c>
      <c r="I181" t="s">
        <v>18</v>
      </c>
      <c r="J181">
        <v>4</v>
      </c>
      <c r="K181">
        <v>10</v>
      </c>
      <c r="L181">
        <v>3</v>
      </c>
      <c r="M181">
        <v>0</v>
      </c>
      <c r="N181" t="str">
        <f t="shared" si="6"/>
        <v>13-15</v>
      </c>
      <c r="O181" t="str">
        <f t="shared" si="7"/>
        <v>healthy sleep</v>
      </c>
      <c r="P181" s="1" t="str" cm="1">
        <f t="array" ref="P181">_xlfn.IFS(L181&lt;=3,"low",L181&lt;=6,"medium",L181&gt;=7,"high")</f>
        <v>low</v>
      </c>
    </row>
    <row r="182" spans="1:16" x14ac:dyDescent="0.3">
      <c r="A182">
        <v>13</v>
      </c>
      <c r="B182" t="s">
        <v>13</v>
      </c>
      <c r="C182">
        <v>5.9</v>
      </c>
      <c r="D182" t="s">
        <v>14</v>
      </c>
      <c r="E182">
        <v>8</v>
      </c>
      <c r="F182">
        <v>2.8</v>
      </c>
      <c r="G182">
        <v>3.21</v>
      </c>
      <c r="H182">
        <v>1.6</v>
      </c>
      <c r="I182" t="s">
        <v>19</v>
      </c>
      <c r="J182">
        <v>2</v>
      </c>
      <c r="K182">
        <v>8</v>
      </c>
      <c r="L182">
        <v>8</v>
      </c>
      <c r="M182">
        <v>0</v>
      </c>
      <c r="N182" t="str">
        <f t="shared" si="6"/>
        <v>13-15</v>
      </c>
      <c r="O182" t="str">
        <f t="shared" si="7"/>
        <v>healthy sleep</v>
      </c>
      <c r="P182" s="1" t="str" cm="1">
        <f t="array" ref="P182">_xlfn.IFS(L182&lt;=3,"low",L182&lt;=6,"medium",L182&gt;=7,"high")</f>
        <v>high</v>
      </c>
    </row>
    <row r="183" spans="1:16" x14ac:dyDescent="0.3">
      <c r="A183">
        <v>17</v>
      </c>
      <c r="B183" t="s">
        <v>13</v>
      </c>
      <c r="C183">
        <v>5.0999999999999996</v>
      </c>
      <c r="D183" t="s">
        <v>20</v>
      </c>
      <c r="E183">
        <v>5</v>
      </c>
      <c r="F183">
        <v>2.2000000000000002</v>
      </c>
      <c r="G183">
        <v>3.58</v>
      </c>
      <c r="H183">
        <v>1.2</v>
      </c>
      <c r="I183" t="s">
        <v>18</v>
      </c>
      <c r="J183">
        <v>6</v>
      </c>
      <c r="K183">
        <v>3</v>
      </c>
      <c r="L183">
        <v>9</v>
      </c>
      <c r="M183">
        <v>0</v>
      </c>
      <c r="N183" t="str">
        <f t="shared" si="6"/>
        <v>16-19</v>
      </c>
      <c r="O183" t="str">
        <f t="shared" si="7"/>
        <v>low sleep</v>
      </c>
      <c r="P183" s="1" t="str" cm="1">
        <f t="array" ref="P183">_xlfn.IFS(L183&lt;=3,"low",L183&lt;=6,"medium",L183&gt;=7,"high")</f>
        <v>high</v>
      </c>
    </row>
    <row r="184" spans="1:16" x14ac:dyDescent="0.3">
      <c r="A184">
        <v>15</v>
      </c>
      <c r="B184" t="s">
        <v>13</v>
      </c>
      <c r="C184">
        <v>1.6</v>
      </c>
      <c r="D184" t="s">
        <v>14</v>
      </c>
      <c r="E184">
        <v>6.9</v>
      </c>
      <c r="F184">
        <v>2.2999999999999998</v>
      </c>
      <c r="G184">
        <v>3.16</v>
      </c>
      <c r="H184">
        <v>0.9</v>
      </c>
      <c r="I184" t="s">
        <v>19</v>
      </c>
      <c r="J184">
        <v>3</v>
      </c>
      <c r="K184">
        <v>1</v>
      </c>
      <c r="L184">
        <v>5</v>
      </c>
      <c r="M184">
        <v>0</v>
      </c>
      <c r="N184" t="str">
        <f t="shared" si="6"/>
        <v>13-15</v>
      </c>
      <c r="O184" t="str">
        <f t="shared" si="7"/>
        <v>healthy sleep</v>
      </c>
      <c r="P184" s="1" t="str" cm="1">
        <f t="array" ref="P184">_xlfn.IFS(L184&lt;=3,"low",L184&lt;=6,"medium",L184&gt;=7,"high")</f>
        <v>medium</v>
      </c>
    </row>
    <row r="185" spans="1:16" x14ac:dyDescent="0.3">
      <c r="A185">
        <v>15</v>
      </c>
      <c r="B185" t="s">
        <v>16</v>
      </c>
      <c r="C185">
        <v>7.2</v>
      </c>
      <c r="D185" t="s">
        <v>17</v>
      </c>
      <c r="E185">
        <v>8</v>
      </c>
      <c r="F185">
        <v>1.4</v>
      </c>
      <c r="G185">
        <v>3.64</v>
      </c>
      <c r="H185">
        <v>0.4</v>
      </c>
      <c r="I185" t="s">
        <v>19</v>
      </c>
      <c r="J185">
        <v>10</v>
      </c>
      <c r="K185">
        <v>5</v>
      </c>
      <c r="L185">
        <v>7</v>
      </c>
      <c r="M185">
        <v>0</v>
      </c>
      <c r="N185" t="str">
        <f t="shared" si="6"/>
        <v>13-15</v>
      </c>
      <c r="O185" t="str">
        <f t="shared" si="7"/>
        <v>healthy sleep</v>
      </c>
      <c r="P185" s="1" t="str" cm="1">
        <f t="array" ref="P185">_xlfn.IFS(L185&lt;=3,"low",L185&lt;=6,"medium",L185&gt;=7,"high")</f>
        <v>high</v>
      </c>
    </row>
    <row r="186" spans="1:16" x14ac:dyDescent="0.3">
      <c r="A186">
        <v>17</v>
      </c>
      <c r="B186" t="s">
        <v>16</v>
      </c>
      <c r="C186">
        <v>1.4</v>
      </c>
      <c r="D186" t="s">
        <v>14</v>
      </c>
      <c r="E186">
        <v>6.9</v>
      </c>
      <c r="F186">
        <v>2.4</v>
      </c>
      <c r="G186">
        <v>3.06</v>
      </c>
      <c r="H186">
        <v>1.9</v>
      </c>
      <c r="I186" t="s">
        <v>19</v>
      </c>
      <c r="J186">
        <v>4</v>
      </c>
      <c r="K186">
        <v>10</v>
      </c>
      <c r="L186">
        <v>8</v>
      </c>
      <c r="M186">
        <v>0</v>
      </c>
      <c r="N186" t="str">
        <f t="shared" si="6"/>
        <v>16-19</v>
      </c>
      <c r="O186" t="str">
        <f t="shared" si="7"/>
        <v>healthy sleep</v>
      </c>
      <c r="P186" s="1" t="str" cm="1">
        <f t="array" ref="P186">_xlfn.IFS(L186&lt;=3,"low",L186&lt;=6,"medium",L186&gt;=7,"high")</f>
        <v>high</v>
      </c>
    </row>
    <row r="187" spans="1:16" x14ac:dyDescent="0.3">
      <c r="A187">
        <v>17</v>
      </c>
      <c r="B187" t="s">
        <v>16</v>
      </c>
      <c r="C187">
        <v>6.6</v>
      </c>
      <c r="D187" t="s">
        <v>14</v>
      </c>
      <c r="E187">
        <v>8</v>
      </c>
      <c r="F187">
        <v>2.2000000000000002</v>
      </c>
      <c r="G187">
        <v>2.21</v>
      </c>
      <c r="H187">
        <v>1</v>
      </c>
      <c r="I187" t="s">
        <v>18</v>
      </c>
      <c r="J187">
        <v>10</v>
      </c>
      <c r="K187">
        <v>8</v>
      </c>
      <c r="L187">
        <v>10</v>
      </c>
      <c r="M187">
        <v>0</v>
      </c>
      <c r="N187" t="str">
        <f t="shared" si="6"/>
        <v>16-19</v>
      </c>
      <c r="O187" t="str">
        <f t="shared" si="7"/>
        <v>healthy sleep</v>
      </c>
      <c r="P187" s="1" t="str" cm="1">
        <f t="array" ref="P187">_xlfn.IFS(L187&lt;=3,"low",L187&lt;=6,"medium",L187&gt;=7,"high")</f>
        <v>high</v>
      </c>
    </row>
    <row r="188" spans="1:16" x14ac:dyDescent="0.3">
      <c r="A188">
        <v>15</v>
      </c>
      <c r="B188" t="s">
        <v>16</v>
      </c>
      <c r="C188">
        <v>3.5</v>
      </c>
      <c r="D188" t="s">
        <v>14</v>
      </c>
      <c r="E188">
        <v>6.3</v>
      </c>
      <c r="F188">
        <v>0.8</v>
      </c>
      <c r="G188">
        <v>2.71</v>
      </c>
      <c r="H188">
        <v>1.8</v>
      </c>
      <c r="I188" t="s">
        <v>18</v>
      </c>
      <c r="J188">
        <v>7</v>
      </c>
      <c r="K188">
        <v>4</v>
      </c>
      <c r="L188">
        <v>2</v>
      </c>
      <c r="M188">
        <v>0</v>
      </c>
      <c r="N188" t="str">
        <f t="shared" si="6"/>
        <v>13-15</v>
      </c>
      <c r="O188" t="str">
        <f t="shared" si="7"/>
        <v>healthy sleep</v>
      </c>
      <c r="P188" s="1" t="str" cm="1">
        <f t="array" ref="P188">_xlfn.IFS(L188&lt;=3,"low",L188&lt;=6,"medium",L188&gt;=7,"high")</f>
        <v>low</v>
      </c>
    </row>
    <row r="189" spans="1:16" x14ac:dyDescent="0.3">
      <c r="A189">
        <v>17</v>
      </c>
      <c r="B189" t="s">
        <v>16</v>
      </c>
      <c r="C189">
        <v>5.4</v>
      </c>
      <c r="D189" t="s">
        <v>20</v>
      </c>
      <c r="E189">
        <v>6.3</v>
      </c>
      <c r="F189">
        <v>2.8</v>
      </c>
      <c r="G189">
        <v>3.06</v>
      </c>
      <c r="H189">
        <v>0.8</v>
      </c>
      <c r="I189" t="s">
        <v>15</v>
      </c>
      <c r="J189">
        <v>3</v>
      </c>
      <c r="K189">
        <v>7</v>
      </c>
      <c r="L189">
        <v>9</v>
      </c>
      <c r="M189">
        <v>0</v>
      </c>
      <c r="N189" t="str">
        <f t="shared" si="6"/>
        <v>16-19</v>
      </c>
      <c r="O189" t="str">
        <f t="shared" si="7"/>
        <v>healthy sleep</v>
      </c>
      <c r="P189" s="1" t="str" cm="1">
        <f t="array" ref="P189">_xlfn.IFS(L189&lt;=3,"low",L189&lt;=6,"medium",L189&gt;=7,"high")</f>
        <v>high</v>
      </c>
    </row>
    <row r="190" spans="1:16" x14ac:dyDescent="0.3">
      <c r="A190">
        <v>16</v>
      </c>
      <c r="B190" t="s">
        <v>16</v>
      </c>
      <c r="C190">
        <v>4.2</v>
      </c>
      <c r="D190" t="s">
        <v>20</v>
      </c>
      <c r="E190">
        <v>7.3</v>
      </c>
      <c r="F190">
        <v>1.1000000000000001</v>
      </c>
      <c r="G190">
        <v>3.1</v>
      </c>
      <c r="H190">
        <v>1.6</v>
      </c>
      <c r="I190" t="s">
        <v>19</v>
      </c>
      <c r="J190">
        <v>1</v>
      </c>
      <c r="K190">
        <v>6</v>
      </c>
      <c r="L190">
        <v>2</v>
      </c>
      <c r="M190">
        <v>0</v>
      </c>
      <c r="N190" t="str">
        <f t="shared" si="6"/>
        <v>16-19</v>
      </c>
      <c r="O190" t="str">
        <f t="shared" si="7"/>
        <v>healthy sleep</v>
      </c>
      <c r="P190" s="1" t="str" cm="1">
        <f t="array" ref="P190">_xlfn.IFS(L190&lt;=3,"low",L190&lt;=6,"medium",L190&gt;=7,"high")</f>
        <v>low</v>
      </c>
    </row>
    <row r="191" spans="1:16" x14ac:dyDescent="0.3">
      <c r="A191">
        <v>13</v>
      </c>
      <c r="B191" t="s">
        <v>13</v>
      </c>
      <c r="C191">
        <v>2.5</v>
      </c>
      <c r="D191" t="s">
        <v>14</v>
      </c>
      <c r="E191">
        <v>8.3000000000000007</v>
      </c>
      <c r="F191">
        <v>1.6</v>
      </c>
      <c r="G191">
        <v>2.91</v>
      </c>
      <c r="H191">
        <v>0.6</v>
      </c>
      <c r="I191" t="s">
        <v>18</v>
      </c>
      <c r="J191">
        <v>10</v>
      </c>
      <c r="K191">
        <v>2</v>
      </c>
      <c r="L191">
        <v>6</v>
      </c>
      <c r="M191">
        <v>0</v>
      </c>
      <c r="N191" t="str">
        <f t="shared" si="6"/>
        <v>13-15</v>
      </c>
      <c r="O191" t="str">
        <f t="shared" si="7"/>
        <v>healthy sleep</v>
      </c>
      <c r="P191" s="1" t="str" cm="1">
        <f t="array" ref="P191">_xlfn.IFS(L191&lt;=3,"low",L191&lt;=6,"medium",L191&gt;=7,"high")</f>
        <v>medium</v>
      </c>
    </row>
    <row r="192" spans="1:16" x14ac:dyDescent="0.3">
      <c r="A192">
        <v>16</v>
      </c>
      <c r="B192" t="s">
        <v>16</v>
      </c>
      <c r="C192">
        <v>3.8</v>
      </c>
      <c r="D192" t="s">
        <v>17</v>
      </c>
      <c r="E192">
        <v>6</v>
      </c>
      <c r="F192">
        <v>3</v>
      </c>
      <c r="G192">
        <v>2.1</v>
      </c>
      <c r="H192">
        <v>0.2</v>
      </c>
      <c r="I192" t="s">
        <v>15</v>
      </c>
      <c r="J192">
        <v>7</v>
      </c>
      <c r="K192">
        <v>9</v>
      </c>
      <c r="L192">
        <v>1</v>
      </c>
      <c r="M192">
        <v>0</v>
      </c>
      <c r="N192" t="str">
        <f t="shared" si="6"/>
        <v>16-19</v>
      </c>
      <c r="O192" t="str">
        <f t="shared" si="7"/>
        <v>low sleep</v>
      </c>
      <c r="P192" s="1" t="str" cm="1">
        <f t="array" ref="P192">_xlfn.IFS(L192&lt;=3,"low",L192&lt;=6,"medium",L192&gt;=7,"high")</f>
        <v>low</v>
      </c>
    </row>
    <row r="193" spans="1:16" x14ac:dyDescent="0.3">
      <c r="A193">
        <v>13</v>
      </c>
      <c r="B193" t="s">
        <v>13</v>
      </c>
      <c r="C193">
        <v>1.8</v>
      </c>
      <c r="D193" t="s">
        <v>14</v>
      </c>
      <c r="E193">
        <v>8.9</v>
      </c>
      <c r="F193">
        <v>1.2</v>
      </c>
      <c r="G193">
        <v>3.67</v>
      </c>
      <c r="H193">
        <v>0.1</v>
      </c>
      <c r="I193" t="s">
        <v>19</v>
      </c>
      <c r="J193">
        <v>2</v>
      </c>
      <c r="K193">
        <v>8</v>
      </c>
      <c r="L193">
        <v>9</v>
      </c>
      <c r="M193">
        <v>0</v>
      </c>
      <c r="N193" t="str">
        <f t="shared" si="6"/>
        <v>13-15</v>
      </c>
      <c r="O193" t="str">
        <f t="shared" si="7"/>
        <v>healthy sleep</v>
      </c>
      <c r="P193" s="1" t="str" cm="1">
        <f t="array" ref="P193">_xlfn.IFS(L193&lt;=3,"low",L193&lt;=6,"medium",L193&gt;=7,"high")</f>
        <v>high</v>
      </c>
    </row>
    <row r="194" spans="1:16" x14ac:dyDescent="0.3">
      <c r="A194">
        <v>14</v>
      </c>
      <c r="B194" t="s">
        <v>13</v>
      </c>
      <c r="C194">
        <v>5.4</v>
      </c>
      <c r="D194" t="s">
        <v>14</v>
      </c>
      <c r="E194">
        <v>5.6</v>
      </c>
      <c r="F194">
        <v>1.8</v>
      </c>
      <c r="G194">
        <v>3.01</v>
      </c>
      <c r="H194">
        <v>0.9</v>
      </c>
      <c r="I194" t="s">
        <v>15</v>
      </c>
      <c r="J194">
        <v>10</v>
      </c>
      <c r="K194">
        <v>6</v>
      </c>
      <c r="L194">
        <v>8</v>
      </c>
      <c r="M194">
        <v>0</v>
      </c>
      <c r="N194" t="str">
        <f t="shared" si="6"/>
        <v>13-15</v>
      </c>
      <c r="O194" t="str">
        <f t="shared" si="7"/>
        <v>low sleep</v>
      </c>
      <c r="P194" s="1" t="str" cm="1">
        <f t="array" ref="P194">_xlfn.IFS(L194&lt;=3,"low",L194&lt;=6,"medium",L194&gt;=7,"high")</f>
        <v>high</v>
      </c>
    </row>
    <row r="195" spans="1:16" x14ac:dyDescent="0.3">
      <c r="A195">
        <v>14</v>
      </c>
      <c r="B195" t="s">
        <v>16</v>
      </c>
      <c r="C195">
        <v>7.7</v>
      </c>
      <c r="D195" t="s">
        <v>14</v>
      </c>
      <c r="E195">
        <v>6.1</v>
      </c>
      <c r="F195">
        <v>0.8</v>
      </c>
      <c r="G195">
        <v>3.47</v>
      </c>
      <c r="H195">
        <v>1.5</v>
      </c>
      <c r="I195" t="s">
        <v>19</v>
      </c>
      <c r="J195">
        <v>9</v>
      </c>
      <c r="K195">
        <v>10</v>
      </c>
      <c r="L195">
        <v>9</v>
      </c>
      <c r="M195">
        <v>0</v>
      </c>
      <c r="N195" t="str">
        <f t="shared" ref="N195:N258" si="8">IF(A195&lt;=15,"13-15","16-19")</f>
        <v>13-15</v>
      </c>
      <c r="O195" t="str">
        <f t="shared" ref="O195:O258" si="9">IF(E195&lt;=6,"low sleep","healthy sleep")</f>
        <v>healthy sleep</v>
      </c>
      <c r="P195" s="1" t="str" cm="1">
        <f t="array" ref="P195">_xlfn.IFS(L195&lt;=3,"low",L195&lt;=6,"medium",L195&gt;=7,"high")</f>
        <v>high</v>
      </c>
    </row>
    <row r="196" spans="1:16" x14ac:dyDescent="0.3">
      <c r="A196">
        <v>18</v>
      </c>
      <c r="B196" t="s">
        <v>16</v>
      </c>
      <c r="C196">
        <v>4.0999999999999996</v>
      </c>
      <c r="D196" t="s">
        <v>14</v>
      </c>
      <c r="E196">
        <v>8</v>
      </c>
      <c r="F196">
        <v>1.7</v>
      </c>
      <c r="G196">
        <v>2.29</v>
      </c>
      <c r="H196">
        <v>1.4</v>
      </c>
      <c r="I196" t="s">
        <v>15</v>
      </c>
      <c r="J196">
        <v>2</v>
      </c>
      <c r="K196">
        <v>1</v>
      </c>
      <c r="L196">
        <v>10</v>
      </c>
      <c r="M196">
        <v>0</v>
      </c>
      <c r="N196" t="str">
        <f t="shared" si="8"/>
        <v>16-19</v>
      </c>
      <c r="O196" t="str">
        <f t="shared" si="9"/>
        <v>healthy sleep</v>
      </c>
      <c r="P196" s="1" t="str" cm="1">
        <f t="array" ref="P196">_xlfn.IFS(L196&lt;=3,"low",L196&lt;=6,"medium",L196&gt;=7,"high")</f>
        <v>high</v>
      </c>
    </row>
    <row r="197" spans="1:16" x14ac:dyDescent="0.3">
      <c r="A197">
        <v>15</v>
      </c>
      <c r="B197" t="s">
        <v>16</v>
      </c>
      <c r="C197">
        <v>6.6</v>
      </c>
      <c r="D197" t="s">
        <v>20</v>
      </c>
      <c r="E197">
        <v>4.9000000000000004</v>
      </c>
      <c r="F197">
        <v>3</v>
      </c>
      <c r="G197">
        <v>2.99</v>
      </c>
      <c r="H197">
        <v>0.9</v>
      </c>
      <c r="I197" t="s">
        <v>19</v>
      </c>
      <c r="J197">
        <v>4</v>
      </c>
      <c r="K197">
        <v>8</v>
      </c>
      <c r="L197">
        <v>3</v>
      </c>
      <c r="M197">
        <v>0</v>
      </c>
      <c r="N197" t="str">
        <f t="shared" si="8"/>
        <v>13-15</v>
      </c>
      <c r="O197" t="str">
        <f t="shared" si="9"/>
        <v>low sleep</v>
      </c>
      <c r="P197" s="1" t="str" cm="1">
        <f t="array" ref="P197">_xlfn.IFS(L197&lt;=3,"low",L197&lt;=6,"medium",L197&gt;=7,"high")</f>
        <v>low</v>
      </c>
    </row>
    <row r="198" spans="1:16" x14ac:dyDescent="0.3">
      <c r="A198">
        <v>16</v>
      </c>
      <c r="B198" t="s">
        <v>13</v>
      </c>
      <c r="C198">
        <v>2.2999999999999998</v>
      </c>
      <c r="D198" t="s">
        <v>20</v>
      </c>
      <c r="E198">
        <v>4.0999999999999996</v>
      </c>
      <c r="F198">
        <v>0.8</v>
      </c>
      <c r="G198">
        <v>3.18</v>
      </c>
      <c r="H198">
        <v>1.7</v>
      </c>
      <c r="I198" t="s">
        <v>19</v>
      </c>
      <c r="J198">
        <v>5</v>
      </c>
      <c r="K198">
        <v>3</v>
      </c>
      <c r="L198">
        <v>8</v>
      </c>
      <c r="M198">
        <v>0</v>
      </c>
      <c r="N198" t="str">
        <f t="shared" si="8"/>
        <v>16-19</v>
      </c>
      <c r="O198" t="str">
        <f t="shared" si="9"/>
        <v>low sleep</v>
      </c>
      <c r="P198" s="1" t="str" cm="1">
        <f t="array" ref="P198">_xlfn.IFS(L198&lt;=3,"low",L198&lt;=6,"medium",L198&gt;=7,"high")</f>
        <v>high</v>
      </c>
    </row>
    <row r="199" spans="1:16" x14ac:dyDescent="0.3">
      <c r="A199">
        <v>17</v>
      </c>
      <c r="B199" t="s">
        <v>16</v>
      </c>
      <c r="C199">
        <v>7.5</v>
      </c>
      <c r="D199" t="s">
        <v>14</v>
      </c>
      <c r="E199">
        <v>5.9</v>
      </c>
      <c r="F199">
        <v>2.9</v>
      </c>
      <c r="G199">
        <v>3.71</v>
      </c>
      <c r="H199">
        <v>1.7</v>
      </c>
      <c r="I199" t="s">
        <v>15</v>
      </c>
      <c r="J199">
        <v>3</v>
      </c>
      <c r="K199">
        <v>1</v>
      </c>
      <c r="L199">
        <v>10</v>
      </c>
      <c r="M199">
        <v>0</v>
      </c>
      <c r="N199" t="str">
        <f t="shared" si="8"/>
        <v>16-19</v>
      </c>
      <c r="O199" t="str">
        <f t="shared" si="9"/>
        <v>low sleep</v>
      </c>
      <c r="P199" s="1" t="str" cm="1">
        <f t="array" ref="P199">_xlfn.IFS(L199&lt;=3,"low",L199&lt;=6,"medium",L199&gt;=7,"high")</f>
        <v>high</v>
      </c>
    </row>
    <row r="200" spans="1:16" x14ac:dyDescent="0.3">
      <c r="A200">
        <v>18</v>
      </c>
      <c r="B200" t="s">
        <v>13</v>
      </c>
      <c r="C200">
        <v>7.1</v>
      </c>
      <c r="D200" t="s">
        <v>14</v>
      </c>
      <c r="E200">
        <v>8</v>
      </c>
      <c r="F200">
        <v>2.9</v>
      </c>
      <c r="G200">
        <v>2.59</v>
      </c>
      <c r="H200">
        <v>1.2</v>
      </c>
      <c r="I200" t="s">
        <v>18</v>
      </c>
      <c r="J200">
        <v>10</v>
      </c>
      <c r="K200">
        <v>8</v>
      </c>
      <c r="L200">
        <v>5</v>
      </c>
      <c r="M200">
        <v>0</v>
      </c>
      <c r="N200" t="str">
        <f t="shared" si="8"/>
        <v>16-19</v>
      </c>
      <c r="O200" t="str">
        <f t="shared" si="9"/>
        <v>healthy sleep</v>
      </c>
      <c r="P200" s="1" t="str" cm="1">
        <f t="array" ref="P200">_xlfn.IFS(L200&lt;=3,"low",L200&lt;=6,"medium",L200&gt;=7,"high")</f>
        <v>medium</v>
      </c>
    </row>
    <row r="201" spans="1:16" x14ac:dyDescent="0.3">
      <c r="A201">
        <v>17</v>
      </c>
      <c r="B201" t="s">
        <v>16</v>
      </c>
      <c r="C201">
        <v>1.7</v>
      </c>
      <c r="D201" t="s">
        <v>20</v>
      </c>
      <c r="E201">
        <v>6.3</v>
      </c>
      <c r="F201">
        <v>1.5</v>
      </c>
      <c r="G201">
        <v>2.66</v>
      </c>
      <c r="H201">
        <v>1.8</v>
      </c>
      <c r="I201" t="s">
        <v>15</v>
      </c>
      <c r="J201">
        <v>1</v>
      </c>
      <c r="K201">
        <v>4</v>
      </c>
      <c r="L201">
        <v>10</v>
      </c>
      <c r="M201">
        <v>0</v>
      </c>
      <c r="N201" t="str">
        <f t="shared" si="8"/>
        <v>16-19</v>
      </c>
      <c r="O201" t="str">
        <f t="shared" si="9"/>
        <v>healthy sleep</v>
      </c>
      <c r="P201" s="1" t="str" cm="1">
        <f t="array" ref="P201">_xlfn.IFS(L201&lt;=3,"low",L201&lt;=6,"medium",L201&gt;=7,"high")</f>
        <v>high</v>
      </c>
    </row>
    <row r="202" spans="1:16" x14ac:dyDescent="0.3">
      <c r="A202">
        <v>13</v>
      </c>
      <c r="B202" t="s">
        <v>13</v>
      </c>
      <c r="C202">
        <v>7.9</v>
      </c>
      <c r="D202" t="s">
        <v>14</v>
      </c>
      <c r="E202">
        <v>5.8</v>
      </c>
      <c r="F202">
        <v>0.8</v>
      </c>
      <c r="G202">
        <v>3.31</v>
      </c>
      <c r="H202">
        <v>1.6</v>
      </c>
      <c r="I202" t="s">
        <v>19</v>
      </c>
      <c r="J202">
        <v>3</v>
      </c>
      <c r="K202">
        <v>7</v>
      </c>
      <c r="L202">
        <v>2</v>
      </c>
      <c r="M202">
        <v>0</v>
      </c>
      <c r="N202" t="str">
        <f t="shared" si="8"/>
        <v>13-15</v>
      </c>
      <c r="O202" t="str">
        <f t="shared" si="9"/>
        <v>low sleep</v>
      </c>
      <c r="P202" s="1" t="str" cm="1">
        <f t="array" ref="P202">_xlfn.IFS(L202&lt;=3,"low",L202&lt;=6,"medium",L202&gt;=7,"high")</f>
        <v>low</v>
      </c>
    </row>
    <row r="203" spans="1:16" x14ac:dyDescent="0.3">
      <c r="A203">
        <v>16</v>
      </c>
      <c r="B203" t="s">
        <v>16</v>
      </c>
      <c r="C203">
        <v>4</v>
      </c>
      <c r="D203" t="s">
        <v>14</v>
      </c>
      <c r="E203">
        <v>7.9</v>
      </c>
      <c r="F203">
        <v>1.9</v>
      </c>
      <c r="G203">
        <v>2.56</v>
      </c>
      <c r="H203">
        <v>0.1</v>
      </c>
      <c r="I203" t="s">
        <v>18</v>
      </c>
      <c r="J203">
        <v>4</v>
      </c>
      <c r="K203">
        <v>9</v>
      </c>
      <c r="L203">
        <v>9</v>
      </c>
      <c r="M203">
        <v>0</v>
      </c>
      <c r="N203" t="str">
        <f t="shared" si="8"/>
        <v>16-19</v>
      </c>
      <c r="O203" t="str">
        <f t="shared" si="9"/>
        <v>healthy sleep</v>
      </c>
      <c r="P203" s="1" t="str" cm="1">
        <f t="array" ref="P203">_xlfn.IFS(L203&lt;=3,"low",L203&lt;=6,"medium",L203&gt;=7,"high")</f>
        <v>high</v>
      </c>
    </row>
    <row r="204" spans="1:16" x14ac:dyDescent="0.3">
      <c r="A204">
        <v>15</v>
      </c>
      <c r="B204" t="s">
        <v>16</v>
      </c>
      <c r="C204">
        <v>1.2</v>
      </c>
      <c r="D204" t="s">
        <v>17</v>
      </c>
      <c r="E204">
        <v>8.1</v>
      </c>
      <c r="F204">
        <v>2</v>
      </c>
      <c r="G204">
        <v>3.33</v>
      </c>
      <c r="H204">
        <v>1.5</v>
      </c>
      <c r="I204" t="s">
        <v>19</v>
      </c>
      <c r="J204">
        <v>7</v>
      </c>
      <c r="K204">
        <v>3</v>
      </c>
      <c r="L204">
        <v>8</v>
      </c>
      <c r="M204">
        <v>0</v>
      </c>
      <c r="N204" t="str">
        <f t="shared" si="8"/>
        <v>13-15</v>
      </c>
      <c r="O204" t="str">
        <f t="shared" si="9"/>
        <v>healthy sleep</v>
      </c>
      <c r="P204" s="1" t="str" cm="1">
        <f t="array" ref="P204">_xlfn.IFS(L204&lt;=3,"low",L204&lt;=6,"medium",L204&gt;=7,"high")</f>
        <v>high</v>
      </c>
    </row>
    <row r="205" spans="1:16" x14ac:dyDescent="0.3">
      <c r="A205">
        <v>19</v>
      </c>
      <c r="B205" t="s">
        <v>13</v>
      </c>
      <c r="C205">
        <v>3.5</v>
      </c>
      <c r="D205" t="s">
        <v>17</v>
      </c>
      <c r="E205">
        <v>8.4</v>
      </c>
      <c r="F205">
        <v>1.7</v>
      </c>
      <c r="G205">
        <v>2.46</v>
      </c>
      <c r="H205">
        <v>0.1</v>
      </c>
      <c r="I205" t="s">
        <v>18</v>
      </c>
      <c r="J205">
        <v>6</v>
      </c>
      <c r="K205">
        <v>9</v>
      </c>
      <c r="L205">
        <v>3</v>
      </c>
      <c r="M205">
        <v>0</v>
      </c>
      <c r="N205" t="str">
        <f t="shared" si="8"/>
        <v>16-19</v>
      </c>
      <c r="O205" t="str">
        <f t="shared" si="9"/>
        <v>healthy sleep</v>
      </c>
      <c r="P205" s="1" t="str" cm="1">
        <f t="array" ref="P205">_xlfn.IFS(L205&lt;=3,"low",L205&lt;=6,"medium",L205&gt;=7,"high")</f>
        <v>low</v>
      </c>
    </row>
    <row r="206" spans="1:16" x14ac:dyDescent="0.3">
      <c r="A206">
        <v>17</v>
      </c>
      <c r="B206" t="s">
        <v>13</v>
      </c>
      <c r="C206">
        <v>1.1000000000000001</v>
      </c>
      <c r="D206" t="s">
        <v>14</v>
      </c>
      <c r="E206">
        <v>6.8</v>
      </c>
      <c r="F206">
        <v>2</v>
      </c>
      <c r="G206">
        <v>3.45</v>
      </c>
      <c r="H206">
        <v>1.3</v>
      </c>
      <c r="I206" t="s">
        <v>19</v>
      </c>
      <c r="J206">
        <v>7</v>
      </c>
      <c r="K206">
        <v>1</v>
      </c>
      <c r="L206">
        <v>2</v>
      </c>
      <c r="M206">
        <v>0</v>
      </c>
      <c r="N206" t="str">
        <f t="shared" si="8"/>
        <v>16-19</v>
      </c>
      <c r="O206" t="str">
        <f t="shared" si="9"/>
        <v>healthy sleep</v>
      </c>
      <c r="P206" s="1" t="str" cm="1">
        <f t="array" ref="P206">_xlfn.IFS(L206&lt;=3,"low",L206&lt;=6,"medium",L206&gt;=7,"high")</f>
        <v>low</v>
      </c>
    </row>
    <row r="207" spans="1:16" x14ac:dyDescent="0.3">
      <c r="A207">
        <v>19</v>
      </c>
      <c r="B207" t="s">
        <v>16</v>
      </c>
      <c r="C207">
        <v>1.6</v>
      </c>
      <c r="D207" t="s">
        <v>17</v>
      </c>
      <c r="E207">
        <v>4.0999999999999996</v>
      </c>
      <c r="F207">
        <v>1.6</v>
      </c>
      <c r="G207">
        <v>3.15</v>
      </c>
      <c r="H207">
        <v>0.9</v>
      </c>
      <c r="I207" t="s">
        <v>19</v>
      </c>
      <c r="J207">
        <v>2</v>
      </c>
      <c r="K207">
        <v>6</v>
      </c>
      <c r="L207">
        <v>4</v>
      </c>
      <c r="M207">
        <v>0</v>
      </c>
      <c r="N207" t="str">
        <f t="shared" si="8"/>
        <v>16-19</v>
      </c>
      <c r="O207" t="str">
        <f t="shared" si="9"/>
        <v>low sleep</v>
      </c>
      <c r="P207" s="1" t="str" cm="1">
        <f t="array" ref="P207">_xlfn.IFS(L207&lt;=3,"low",L207&lt;=6,"medium",L207&gt;=7,"high")</f>
        <v>medium</v>
      </c>
    </row>
    <row r="208" spans="1:16" x14ac:dyDescent="0.3">
      <c r="A208">
        <v>16</v>
      </c>
      <c r="B208" t="s">
        <v>16</v>
      </c>
      <c r="C208">
        <v>2.5</v>
      </c>
      <c r="D208" t="s">
        <v>17</v>
      </c>
      <c r="E208">
        <v>8.9</v>
      </c>
      <c r="F208">
        <v>2.9</v>
      </c>
      <c r="G208">
        <v>2.5299999999999998</v>
      </c>
      <c r="H208">
        <v>0.1</v>
      </c>
      <c r="I208" t="s">
        <v>18</v>
      </c>
      <c r="J208">
        <v>8</v>
      </c>
      <c r="K208">
        <v>7</v>
      </c>
      <c r="L208">
        <v>3</v>
      </c>
      <c r="M208">
        <v>0</v>
      </c>
      <c r="N208" t="str">
        <f t="shared" si="8"/>
        <v>16-19</v>
      </c>
      <c r="O208" t="str">
        <f t="shared" si="9"/>
        <v>healthy sleep</v>
      </c>
      <c r="P208" s="1" t="str" cm="1">
        <f t="array" ref="P208">_xlfn.IFS(L208&lt;=3,"low",L208&lt;=6,"medium",L208&gt;=7,"high")</f>
        <v>low</v>
      </c>
    </row>
    <row r="209" spans="1:16" x14ac:dyDescent="0.3">
      <c r="A209">
        <v>15</v>
      </c>
      <c r="B209" t="s">
        <v>13</v>
      </c>
      <c r="C209">
        <v>2.8</v>
      </c>
      <c r="D209" t="s">
        <v>14</v>
      </c>
      <c r="E209">
        <v>7.2</v>
      </c>
      <c r="F209">
        <v>1.8</v>
      </c>
      <c r="G209">
        <v>2.91</v>
      </c>
      <c r="H209">
        <v>0.2</v>
      </c>
      <c r="I209" t="s">
        <v>15</v>
      </c>
      <c r="J209">
        <v>5</v>
      </c>
      <c r="K209">
        <v>5</v>
      </c>
      <c r="L209">
        <v>4</v>
      </c>
      <c r="M209">
        <v>0</v>
      </c>
      <c r="N209" t="str">
        <f t="shared" si="8"/>
        <v>13-15</v>
      </c>
      <c r="O209" t="str">
        <f t="shared" si="9"/>
        <v>healthy sleep</v>
      </c>
      <c r="P209" s="1" t="str" cm="1">
        <f t="array" ref="P209">_xlfn.IFS(L209&lt;=3,"low",L209&lt;=6,"medium",L209&gt;=7,"high")</f>
        <v>medium</v>
      </c>
    </row>
    <row r="210" spans="1:16" x14ac:dyDescent="0.3">
      <c r="A210">
        <v>15</v>
      </c>
      <c r="B210" t="s">
        <v>13</v>
      </c>
      <c r="C210">
        <v>2.2000000000000002</v>
      </c>
      <c r="D210" t="s">
        <v>14</v>
      </c>
      <c r="E210">
        <v>5.2</v>
      </c>
      <c r="F210">
        <v>1.4</v>
      </c>
      <c r="G210">
        <v>2.62</v>
      </c>
      <c r="H210">
        <v>1.5</v>
      </c>
      <c r="I210" t="s">
        <v>19</v>
      </c>
      <c r="J210">
        <v>10</v>
      </c>
      <c r="K210">
        <v>7</v>
      </c>
      <c r="L210">
        <v>5</v>
      </c>
      <c r="M210">
        <v>0</v>
      </c>
      <c r="N210" t="str">
        <f t="shared" si="8"/>
        <v>13-15</v>
      </c>
      <c r="O210" t="str">
        <f t="shared" si="9"/>
        <v>low sleep</v>
      </c>
      <c r="P210" s="1" t="str" cm="1">
        <f t="array" ref="P210">_xlfn.IFS(L210&lt;=3,"low",L210&lt;=6,"medium",L210&gt;=7,"high")</f>
        <v>medium</v>
      </c>
    </row>
    <row r="211" spans="1:16" x14ac:dyDescent="0.3">
      <c r="A211">
        <v>16</v>
      </c>
      <c r="B211" t="s">
        <v>13</v>
      </c>
      <c r="C211">
        <v>4.8</v>
      </c>
      <c r="D211" t="s">
        <v>20</v>
      </c>
      <c r="E211">
        <v>6.8</v>
      </c>
      <c r="F211">
        <v>1</v>
      </c>
      <c r="G211">
        <v>2.6</v>
      </c>
      <c r="H211">
        <v>1.1000000000000001</v>
      </c>
      <c r="I211" t="s">
        <v>19</v>
      </c>
      <c r="J211">
        <v>1</v>
      </c>
      <c r="K211">
        <v>5</v>
      </c>
      <c r="L211">
        <v>6</v>
      </c>
      <c r="M211">
        <v>0</v>
      </c>
      <c r="N211" t="str">
        <f t="shared" si="8"/>
        <v>16-19</v>
      </c>
      <c r="O211" t="str">
        <f t="shared" si="9"/>
        <v>healthy sleep</v>
      </c>
      <c r="P211" s="1" t="str" cm="1">
        <f t="array" ref="P211">_xlfn.IFS(L211&lt;=3,"low",L211&lt;=6,"medium",L211&gt;=7,"high")</f>
        <v>medium</v>
      </c>
    </row>
    <row r="212" spans="1:16" x14ac:dyDescent="0.3">
      <c r="A212">
        <v>18</v>
      </c>
      <c r="B212" t="s">
        <v>16</v>
      </c>
      <c r="C212">
        <v>3.7</v>
      </c>
      <c r="D212" t="s">
        <v>20</v>
      </c>
      <c r="E212">
        <v>7.9</v>
      </c>
      <c r="F212">
        <v>2.7</v>
      </c>
      <c r="G212">
        <v>3.11</v>
      </c>
      <c r="H212">
        <v>0.3</v>
      </c>
      <c r="I212" t="s">
        <v>19</v>
      </c>
      <c r="J212">
        <v>6</v>
      </c>
      <c r="K212">
        <v>6</v>
      </c>
      <c r="L212">
        <v>5</v>
      </c>
      <c r="M212">
        <v>0</v>
      </c>
      <c r="N212" t="str">
        <f t="shared" si="8"/>
        <v>16-19</v>
      </c>
      <c r="O212" t="str">
        <f t="shared" si="9"/>
        <v>healthy sleep</v>
      </c>
      <c r="P212" s="1" t="str" cm="1">
        <f t="array" ref="P212">_xlfn.IFS(L212&lt;=3,"low",L212&lt;=6,"medium",L212&gt;=7,"high")</f>
        <v>medium</v>
      </c>
    </row>
    <row r="213" spans="1:16" x14ac:dyDescent="0.3">
      <c r="A213">
        <v>16</v>
      </c>
      <c r="B213" t="s">
        <v>13</v>
      </c>
      <c r="C213">
        <v>5.5</v>
      </c>
      <c r="D213" t="s">
        <v>14</v>
      </c>
      <c r="E213">
        <v>8.3000000000000007</v>
      </c>
      <c r="F213">
        <v>2.2999999999999998</v>
      </c>
      <c r="G213">
        <v>3.47</v>
      </c>
      <c r="H213">
        <v>1.6</v>
      </c>
      <c r="I213" t="s">
        <v>19</v>
      </c>
      <c r="J213">
        <v>4</v>
      </c>
      <c r="K213">
        <v>8</v>
      </c>
      <c r="L213">
        <v>5</v>
      </c>
      <c r="M213">
        <v>0</v>
      </c>
      <c r="N213" t="str">
        <f t="shared" si="8"/>
        <v>16-19</v>
      </c>
      <c r="O213" t="str">
        <f t="shared" si="9"/>
        <v>healthy sleep</v>
      </c>
      <c r="P213" s="1" t="str" cm="1">
        <f t="array" ref="P213">_xlfn.IFS(L213&lt;=3,"low",L213&lt;=6,"medium",L213&gt;=7,"high")</f>
        <v>medium</v>
      </c>
    </row>
    <row r="214" spans="1:16" x14ac:dyDescent="0.3">
      <c r="A214">
        <v>16</v>
      </c>
      <c r="B214" t="s">
        <v>13</v>
      </c>
      <c r="C214">
        <v>2.5</v>
      </c>
      <c r="D214" t="s">
        <v>14</v>
      </c>
      <c r="E214">
        <v>6.8</v>
      </c>
      <c r="F214">
        <v>1</v>
      </c>
      <c r="G214">
        <v>3.77</v>
      </c>
      <c r="H214">
        <v>1</v>
      </c>
      <c r="I214" t="s">
        <v>18</v>
      </c>
      <c r="J214">
        <v>3</v>
      </c>
      <c r="K214">
        <v>9</v>
      </c>
      <c r="L214">
        <v>9</v>
      </c>
      <c r="M214">
        <v>0</v>
      </c>
      <c r="N214" t="str">
        <f t="shared" si="8"/>
        <v>16-19</v>
      </c>
      <c r="O214" t="str">
        <f t="shared" si="9"/>
        <v>healthy sleep</v>
      </c>
      <c r="P214" s="1" t="str" cm="1">
        <f t="array" ref="P214">_xlfn.IFS(L214&lt;=3,"low",L214&lt;=6,"medium",L214&gt;=7,"high")</f>
        <v>high</v>
      </c>
    </row>
    <row r="215" spans="1:16" x14ac:dyDescent="0.3">
      <c r="A215">
        <v>18</v>
      </c>
      <c r="B215" t="s">
        <v>16</v>
      </c>
      <c r="C215">
        <v>1.9</v>
      </c>
      <c r="D215" t="s">
        <v>17</v>
      </c>
      <c r="E215">
        <v>5.8</v>
      </c>
      <c r="F215">
        <v>1.7</v>
      </c>
      <c r="G215">
        <v>3.52</v>
      </c>
      <c r="H215">
        <v>0.2</v>
      </c>
      <c r="I215" t="s">
        <v>15</v>
      </c>
      <c r="J215">
        <v>6</v>
      </c>
      <c r="K215">
        <v>5</v>
      </c>
      <c r="L215">
        <v>1</v>
      </c>
      <c r="M215">
        <v>0</v>
      </c>
      <c r="N215" t="str">
        <f t="shared" si="8"/>
        <v>16-19</v>
      </c>
      <c r="O215" t="str">
        <f t="shared" si="9"/>
        <v>low sleep</v>
      </c>
      <c r="P215" s="1" t="str" cm="1">
        <f t="array" ref="P215">_xlfn.IFS(L215&lt;=3,"low",L215&lt;=6,"medium",L215&gt;=7,"high")</f>
        <v>low</v>
      </c>
    </row>
    <row r="216" spans="1:16" x14ac:dyDescent="0.3">
      <c r="A216">
        <v>13</v>
      </c>
      <c r="B216" t="s">
        <v>13</v>
      </c>
      <c r="C216">
        <v>5.9</v>
      </c>
      <c r="D216" t="s">
        <v>14</v>
      </c>
      <c r="E216">
        <v>7.5</v>
      </c>
      <c r="F216">
        <v>1.4</v>
      </c>
      <c r="G216">
        <v>2.58</v>
      </c>
      <c r="H216">
        <v>1.2</v>
      </c>
      <c r="I216" t="s">
        <v>15</v>
      </c>
      <c r="J216">
        <v>6</v>
      </c>
      <c r="K216">
        <v>2</v>
      </c>
      <c r="L216">
        <v>8</v>
      </c>
      <c r="M216">
        <v>0</v>
      </c>
      <c r="N216" t="str">
        <f t="shared" si="8"/>
        <v>13-15</v>
      </c>
      <c r="O216" t="str">
        <f t="shared" si="9"/>
        <v>healthy sleep</v>
      </c>
      <c r="P216" s="1" t="str" cm="1">
        <f t="array" ref="P216">_xlfn.IFS(L216&lt;=3,"low",L216&lt;=6,"medium",L216&gt;=7,"high")</f>
        <v>high</v>
      </c>
    </row>
    <row r="217" spans="1:16" x14ac:dyDescent="0.3">
      <c r="A217">
        <v>13</v>
      </c>
      <c r="B217" t="s">
        <v>16</v>
      </c>
      <c r="C217">
        <v>6.5</v>
      </c>
      <c r="D217" t="s">
        <v>17</v>
      </c>
      <c r="E217">
        <v>8.3000000000000007</v>
      </c>
      <c r="F217">
        <v>0.6</v>
      </c>
      <c r="G217">
        <v>3.05</v>
      </c>
      <c r="H217">
        <v>0.3</v>
      </c>
      <c r="I217" t="s">
        <v>18</v>
      </c>
      <c r="J217">
        <v>2</v>
      </c>
      <c r="K217">
        <v>7</v>
      </c>
      <c r="L217">
        <v>8</v>
      </c>
      <c r="M217">
        <v>0</v>
      </c>
      <c r="N217" t="str">
        <f t="shared" si="8"/>
        <v>13-15</v>
      </c>
      <c r="O217" t="str">
        <f t="shared" si="9"/>
        <v>healthy sleep</v>
      </c>
      <c r="P217" s="1" t="str" cm="1">
        <f t="array" ref="P217">_xlfn.IFS(L217&lt;=3,"low",L217&lt;=6,"medium",L217&gt;=7,"high")</f>
        <v>high</v>
      </c>
    </row>
    <row r="218" spans="1:16" x14ac:dyDescent="0.3">
      <c r="A218">
        <v>15</v>
      </c>
      <c r="B218" t="s">
        <v>13</v>
      </c>
      <c r="C218">
        <v>7.5</v>
      </c>
      <c r="D218" t="s">
        <v>14</v>
      </c>
      <c r="E218">
        <v>8.1</v>
      </c>
      <c r="F218">
        <v>2.5</v>
      </c>
      <c r="G218">
        <v>3.56</v>
      </c>
      <c r="H218">
        <v>1.2</v>
      </c>
      <c r="I218" t="s">
        <v>19</v>
      </c>
      <c r="J218">
        <v>6</v>
      </c>
      <c r="K218">
        <v>8</v>
      </c>
      <c r="L218">
        <v>10</v>
      </c>
      <c r="M218">
        <v>0</v>
      </c>
      <c r="N218" t="str">
        <f t="shared" si="8"/>
        <v>13-15</v>
      </c>
      <c r="O218" t="str">
        <f t="shared" si="9"/>
        <v>healthy sleep</v>
      </c>
      <c r="P218" s="1" t="str" cm="1">
        <f t="array" ref="P218">_xlfn.IFS(L218&lt;=3,"low",L218&lt;=6,"medium",L218&gt;=7,"high")</f>
        <v>high</v>
      </c>
    </row>
    <row r="219" spans="1:16" x14ac:dyDescent="0.3">
      <c r="A219">
        <v>19</v>
      </c>
      <c r="B219" t="s">
        <v>13</v>
      </c>
      <c r="C219">
        <v>4.9000000000000004</v>
      </c>
      <c r="D219" t="s">
        <v>17</v>
      </c>
      <c r="E219">
        <v>4.5</v>
      </c>
      <c r="F219">
        <v>2.9</v>
      </c>
      <c r="G219">
        <v>3.88</v>
      </c>
      <c r="H219">
        <v>0.8</v>
      </c>
      <c r="I219" t="s">
        <v>15</v>
      </c>
      <c r="J219">
        <v>5</v>
      </c>
      <c r="K219">
        <v>5</v>
      </c>
      <c r="L219">
        <v>6</v>
      </c>
      <c r="M219">
        <v>0</v>
      </c>
      <c r="N219" t="str">
        <f t="shared" si="8"/>
        <v>16-19</v>
      </c>
      <c r="O219" t="str">
        <f t="shared" si="9"/>
        <v>low sleep</v>
      </c>
      <c r="P219" s="1" t="str" cm="1">
        <f t="array" ref="P219">_xlfn.IFS(L219&lt;=3,"low",L219&lt;=6,"medium",L219&gt;=7,"high")</f>
        <v>medium</v>
      </c>
    </row>
    <row r="220" spans="1:16" x14ac:dyDescent="0.3">
      <c r="A220">
        <v>13</v>
      </c>
      <c r="B220" t="s">
        <v>13</v>
      </c>
      <c r="C220">
        <v>2.2000000000000002</v>
      </c>
      <c r="D220" t="s">
        <v>17</v>
      </c>
      <c r="E220">
        <v>5.3</v>
      </c>
      <c r="F220">
        <v>1.4</v>
      </c>
      <c r="G220">
        <v>3.97</v>
      </c>
      <c r="H220">
        <v>0</v>
      </c>
      <c r="I220" t="s">
        <v>15</v>
      </c>
      <c r="J220">
        <v>1</v>
      </c>
      <c r="K220">
        <v>10</v>
      </c>
      <c r="L220">
        <v>7</v>
      </c>
      <c r="M220">
        <v>0</v>
      </c>
      <c r="N220" t="str">
        <f t="shared" si="8"/>
        <v>13-15</v>
      </c>
      <c r="O220" t="str">
        <f t="shared" si="9"/>
        <v>low sleep</v>
      </c>
      <c r="P220" s="1" t="str" cm="1">
        <f t="array" ref="P220">_xlfn.IFS(L220&lt;=3,"low",L220&lt;=6,"medium",L220&gt;=7,"high")</f>
        <v>high</v>
      </c>
    </row>
    <row r="221" spans="1:16" x14ac:dyDescent="0.3">
      <c r="A221">
        <v>14</v>
      </c>
      <c r="B221" t="s">
        <v>13</v>
      </c>
      <c r="C221">
        <v>5.8</v>
      </c>
      <c r="D221" t="s">
        <v>20</v>
      </c>
      <c r="E221">
        <v>6.9</v>
      </c>
      <c r="F221">
        <v>0.7</v>
      </c>
      <c r="G221">
        <v>3.01</v>
      </c>
      <c r="H221">
        <v>1.9</v>
      </c>
      <c r="I221" t="s">
        <v>18</v>
      </c>
      <c r="J221">
        <v>9</v>
      </c>
      <c r="K221">
        <v>9</v>
      </c>
      <c r="L221">
        <v>4</v>
      </c>
      <c r="M221">
        <v>0</v>
      </c>
      <c r="N221" t="str">
        <f t="shared" si="8"/>
        <v>13-15</v>
      </c>
      <c r="O221" t="str">
        <f t="shared" si="9"/>
        <v>healthy sleep</v>
      </c>
      <c r="P221" s="1" t="str" cm="1">
        <f t="array" ref="P221">_xlfn.IFS(L221&lt;=3,"low",L221&lt;=6,"medium",L221&gt;=7,"high")</f>
        <v>medium</v>
      </c>
    </row>
    <row r="222" spans="1:16" x14ac:dyDescent="0.3">
      <c r="A222">
        <v>14</v>
      </c>
      <c r="B222" t="s">
        <v>13</v>
      </c>
      <c r="C222">
        <v>1.3</v>
      </c>
      <c r="D222" t="s">
        <v>14</v>
      </c>
      <c r="E222">
        <v>8.5</v>
      </c>
      <c r="F222">
        <v>0.9</v>
      </c>
      <c r="G222">
        <v>3.71</v>
      </c>
      <c r="H222">
        <v>0.7</v>
      </c>
      <c r="I222" t="s">
        <v>18</v>
      </c>
      <c r="J222">
        <v>3</v>
      </c>
      <c r="K222">
        <v>3</v>
      </c>
      <c r="L222">
        <v>6</v>
      </c>
      <c r="M222">
        <v>0</v>
      </c>
      <c r="N222" t="str">
        <f t="shared" si="8"/>
        <v>13-15</v>
      </c>
      <c r="O222" t="str">
        <f t="shared" si="9"/>
        <v>healthy sleep</v>
      </c>
      <c r="P222" s="1" t="str" cm="1">
        <f t="array" ref="P222">_xlfn.IFS(L222&lt;=3,"low",L222&lt;=6,"medium",L222&gt;=7,"high")</f>
        <v>medium</v>
      </c>
    </row>
    <row r="223" spans="1:16" x14ac:dyDescent="0.3">
      <c r="A223">
        <v>19</v>
      </c>
      <c r="B223" t="s">
        <v>16</v>
      </c>
      <c r="C223">
        <v>2.8</v>
      </c>
      <c r="D223" t="s">
        <v>17</v>
      </c>
      <c r="E223">
        <v>4.8</v>
      </c>
      <c r="F223">
        <v>1.7</v>
      </c>
      <c r="G223">
        <v>2.8</v>
      </c>
      <c r="H223">
        <v>0.6</v>
      </c>
      <c r="I223" t="s">
        <v>15</v>
      </c>
      <c r="J223">
        <v>5</v>
      </c>
      <c r="K223">
        <v>7</v>
      </c>
      <c r="L223">
        <v>4</v>
      </c>
      <c r="M223">
        <v>0</v>
      </c>
      <c r="N223" t="str">
        <f t="shared" si="8"/>
        <v>16-19</v>
      </c>
      <c r="O223" t="str">
        <f t="shared" si="9"/>
        <v>low sleep</v>
      </c>
      <c r="P223" s="1" t="str" cm="1">
        <f t="array" ref="P223">_xlfn.IFS(L223&lt;=3,"low",L223&lt;=6,"medium",L223&gt;=7,"high")</f>
        <v>medium</v>
      </c>
    </row>
    <row r="224" spans="1:16" x14ac:dyDescent="0.3">
      <c r="A224">
        <v>19</v>
      </c>
      <c r="B224" t="s">
        <v>16</v>
      </c>
      <c r="C224">
        <v>4</v>
      </c>
      <c r="D224" t="s">
        <v>17</v>
      </c>
      <c r="E224">
        <v>6.5</v>
      </c>
      <c r="F224">
        <v>2.4</v>
      </c>
      <c r="G224">
        <v>3.67</v>
      </c>
      <c r="H224">
        <v>0.6</v>
      </c>
      <c r="I224" t="s">
        <v>15</v>
      </c>
      <c r="J224">
        <v>4</v>
      </c>
      <c r="K224">
        <v>6</v>
      </c>
      <c r="L224">
        <v>4</v>
      </c>
      <c r="M224">
        <v>0</v>
      </c>
      <c r="N224" t="str">
        <f t="shared" si="8"/>
        <v>16-19</v>
      </c>
      <c r="O224" t="str">
        <f t="shared" si="9"/>
        <v>healthy sleep</v>
      </c>
      <c r="P224" s="1" t="str" cm="1">
        <f t="array" ref="P224">_xlfn.IFS(L224&lt;=3,"low",L224&lt;=6,"medium",L224&gt;=7,"high")</f>
        <v>medium</v>
      </c>
    </row>
    <row r="225" spans="1:16" x14ac:dyDescent="0.3">
      <c r="A225">
        <v>14</v>
      </c>
      <c r="B225" t="s">
        <v>16</v>
      </c>
      <c r="C225">
        <v>1.7</v>
      </c>
      <c r="D225" t="s">
        <v>17</v>
      </c>
      <c r="E225">
        <v>4.9000000000000004</v>
      </c>
      <c r="F225">
        <v>1.6</v>
      </c>
      <c r="G225">
        <v>2.36</v>
      </c>
      <c r="H225">
        <v>1.7</v>
      </c>
      <c r="I225" t="s">
        <v>18</v>
      </c>
      <c r="J225">
        <v>3</v>
      </c>
      <c r="K225">
        <v>1</v>
      </c>
      <c r="L225">
        <v>6</v>
      </c>
      <c r="M225">
        <v>0</v>
      </c>
      <c r="N225" t="str">
        <f t="shared" si="8"/>
        <v>13-15</v>
      </c>
      <c r="O225" t="str">
        <f t="shared" si="9"/>
        <v>low sleep</v>
      </c>
      <c r="P225" s="1" t="str" cm="1">
        <f t="array" ref="P225">_xlfn.IFS(L225&lt;=3,"low",L225&lt;=6,"medium",L225&gt;=7,"high")</f>
        <v>medium</v>
      </c>
    </row>
    <row r="226" spans="1:16" x14ac:dyDescent="0.3">
      <c r="A226">
        <v>18</v>
      </c>
      <c r="B226" t="s">
        <v>16</v>
      </c>
      <c r="C226">
        <v>1.4</v>
      </c>
      <c r="D226" t="s">
        <v>17</v>
      </c>
      <c r="E226">
        <v>6.1</v>
      </c>
      <c r="F226">
        <v>1.6</v>
      </c>
      <c r="G226">
        <v>2.56</v>
      </c>
      <c r="H226">
        <v>1.2</v>
      </c>
      <c r="I226" t="s">
        <v>18</v>
      </c>
      <c r="J226">
        <v>2</v>
      </c>
      <c r="K226">
        <v>7</v>
      </c>
      <c r="L226">
        <v>8</v>
      </c>
      <c r="M226">
        <v>0</v>
      </c>
      <c r="N226" t="str">
        <f t="shared" si="8"/>
        <v>16-19</v>
      </c>
      <c r="O226" t="str">
        <f t="shared" si="9"/>
        <v>healthy sleep</v>
      </c>
      <c r="P226" s="1" t="str" cm="1">
        <f t="array" ref="P226">_xlfn.IFS(L226&lt;=3,"low",L226&lt;=6,"medium",L226&gt;=7,"high")</f>
        <v>high</v>
      </c>
    </row>
    <row r="227" spans="1:16" x14ac:dyDescent="0.3">
      <c r="A227">
        <v>19</v>
      </c>
      <c r="B227" t="s">
        <v>13</v>
      </c>
      <c r="C227">
        <v>2.2999999999999998</v>
      </c>
      <c r="D227" t="s">
        <v>17</v>
      </c>
      <c r="E227">
        <v>6.5</v>
      </c>
      <c r="F227">
        <v>3</v>
      </c>
      <c r="G227">
        <v>3.5</v>
      </c>
      <c r="H227">
        <v>0.1</v>
      </c>
      <c r="I227" t="s">
        <v>18</v>
      </c>
      <c r="J227">
        <v>9</v>
      </c>
      <c r="K227">
        <v>10</v>
      </c>
      <c r="L227">
        <v>8</v>
      </c>
      <c r="M227">
        <v>0</v>
      </c>
      <c r="N227" t="str">
        <f t="shared" si="8"/>
        <v>16-19</v>
      </c>
      <c r="O227" t="str">
        <f t="shared" si="9"/>
        <v>healthy sleep</v>
      </c>
      <c r="P227" s="1" t="str" cm="1">
        <f t="array" ref="P227">_xlfn.IFS(L227&lt;=3,"low",L227&lt;=6,"medium",L227&gt;=7,"high")</f>
        <v>high</v>
      </c>
    </row>
    <row r="228" spans="1:16" x14ac:dyDescent="0.3">
      <c r="A228">
        <v>14</v>
      </c>
      <c r="B228" t="s">
        <v>13</v>
      </c>
      <c r="C228">
        <v>3.8</v>
      </c>
      <c r="D228" t="s">
        <v>14</v>
      </c>
      <c r="E228">
        <v>5.3</v>
      </c>
      <c r="F228">
        <v>1</v>
      </c>
      <c r="G228">
        <v>2.2799999999999998</v>
      </c>
      <c r="H228">
        <v>1.2</v>
      </c>
      <c r="I228" t="s">
        <v>15</v>
      </c>
      <c r="J228">
        <v>9</v>
      </c>
      <c r="K228">
        <v>3</v>
      </c>
      <c r="L228">
        <v>1</v>
      </c>
      <c r="M228">
        <v>0</v>
      </c>
      <c r="N228" t="str">
        <f t="shared" si="8"/>
        <v>13-15</v>
      </c>
      <c r="O228" t="str">
        <f t="shared" si="9"/>
        <v>low sleep</v>
      </c>
      <c r="P228" s="1" t="str" cm="1">
        <f t="array" ref="P228">_xlfn.IFS(L228&lt;=3,"low",L228&lt;=6,"medium",L228&gt;=7,"high")</f>
        <v>low</v>
      </c>
    </row>
    <row r="229" spans="1:16" x14ac:dyDescent="0.3">
      <c r="A229">
        <v>13</v>
      </c>
      <c r="B229" t="s">
        <v>13</v>
      </c>
      <c r="C229">
        <v>6.4</v>
      </c>
      <c r="D229" t="s">
        <v>17</v>
      </c>
      <c r="E229">
        <v>5.0999999999999996</v>
      </c>
      <c r="F229">
        <v>2.5</v>
      </c>
      <c r="G229">
        <v>2.62</v>
      </c>
      <c r="H229">
        <v>1.3</v>
      </c>
      <c r="I229" t="s">
        <v>15</v>
      </c>
      <c r="J229">
        <v>5</v>
      </c>
      <c r="K229">
        <v>4</v>
      </c>
      <c r="L229">
        <v>7</v>
      </c>
      <c r="M229">
        <v>0</v>
      </c>
      <c r="N229" t="str">
        <f t="shared" si="8"/>
        <v>13-15</v>
      </c>
      <c r="O229" t="str">
        <f t="shared" si="9"/>
        <v>low sleep</v>
      </c>
      <c r="P229" s="1" t="str" cm="1">
        <f t="array" ref="P229">_xlfn.IFS(L229&lt;=3,"low",L229&lt;=6,"medium",L229&gt;=7,"high")</f>
        <v>high</v>
      </c>
    </row>
    <row r="230" spans="1:16" x14ac:dyDescent="0.3">
      <c r="A230">
        <v>19</v>
      </c>
      <c r="B230" t="s">
        <v>13</v>
      </c>
      <c r="C230">
        <v>6</v>
      </c>
      <c r="D230" t="s">
        <v>20</v>
      </c>
      <c r="E230">
        <v>7.1</v>
      </c>
      <c r="F230">
        <v>0.9</v>
      </c>
      <c r="G230">
        <v>2.98</v>
      </c>
      <c r="H230">
        <v>0.1</v>
      </c>
      <c r="I230" t="s">
        <v>15</v>
      </c>
      <c r="J230">
        <v>1</v>
      </c>
      <c r="K230">
        <v>6</v>
      </c>
      <c r="L230">
        <v>5</v>
      </c>
      <c r="M230">
        <v>0</v>
      </c>
      <c r="N230" t="str">
        <f t="shared" si="8"/>
        <v>16-19</v>
      </c>
      <c r="O230" t="str">
        <f t="shared" si="9"/>
        <v>healthy sleep</v>
      </c>
      <c r="P230" s="1" t="str" cm="1">
        <f t="array" ref="P230">_xlfn.IFS(L230&lt;=3,"low",L230&lt;=6,"medium",L230&gt;=7,"high")</f>
        <v>medium</v>
      </c>
    </row>
    <row r="231" spans="1:16" x14ac:dyDescent="0.3">
      <c r="A231">
        <v>16</v>
      </c>
      <c r="B231" t="s">
        <v>13</v>
      </c>
      <c r="C231">
        <v>1.9</v>
      </c>
      <c r="D231" t="s">
        <v>14</v>
      </c>
      <c r="E231">
        <v>7.8</v>
      </c>
      <c r="F231">
        <v>2.1</v>
      </c>
      <c r="G231">
        <v>2.2599999999999998</v>
      </c>
      <c r="H231">
        <v>0.3</v>
      </c>
      <c r="I231" t="s">
        <v>18</v>
      </c>
      <c r="J231">
        <v>7</v>
      </c>
      <c r="K231">
        <v>7</v>
      </c>
      <c r="L231">
        <v>5</v>
      </c>
      <c r="M231">
        <v>0</v>
      </c>
      <c r="N231" t="str">
        <f t="shared" si="8"/>
        <v>16-19</v>
      </c>
      <c r="O231" t="str">
        <f t="shared" si="9"/>
        <v>healthy sleep</v>
      </c>
      <c r="P231" s="1" t="str" cm="1">
        <f t="array" ref="P231">_xlfn.IFS(L231&lt;=3,"low",L231&lt;=6,"medium",L231&gt;=7,"high")</f>
        <v>medium</v>
      </c>
    </row>
    <row r="232" spans="1:16" x14ac:dyDescent="0.3">
      <c r="A232">
        <v>17</v>
      </c>
      <c r="B232" t="s">
        <v>13</v>
      </c>
      <c r="C232">
        <v>2.4</v>
      </c>
      <c r="D232" t="s">
        <v>17</v>
      </c>
      <c r="E232">
        <v>8.5</v>
      </c>
      <c r="F232">
        <v>2.4</v>
      </c>
      <c r="G232">
        <v>2.79</v>
      </c>
      <c r="H232">
        <v>1.1000000000000001</v>
      </c>
      <c r="I232" t="s">
        <v>15</v>
      </c>
      <c r="J232">
        <v>1</v>
      </c>
      <c r="K232">
        <v>6</v>
      </c>
      <c r="L232">
        <v>7</v>
      </c>
      <c r="M232">
        <v>0</v>
      </c>
      <c r="N232" t="str">
        <f t="shared" si="8"/>
        <v>16-19</v>
      </c>
      <c r="O232" t="str">
        <f t="shared" si="9"/>
        <v>healthy sleep</v>
      </c>
      <c r="P232" s="1" t="str" cm="1">
        <f t="array" ref="P232">_xlfn.IFS(L232&lt;=3,"low",L232&lt;=6,"medium",L232&gt;=7,"high")</f>
        <v>high</v>
      </c>
    </row>
    <row r="233" spans="1:16" x14ac:dyDescent="0.3">
      <c r="A233">
        <v>14</v>
      </c>
      <c r="B233" t="s">
        <v>16</v>
      </c>
      <c r="C233">
        <v>2.7</v>
      </c>
      <c r="D233" t="s">
        <v>14</v>
      </c>
      <c r="E233">
        <v>5.0999999999999996</v>
      </c>
      <c r="F233">
        <v>2.4</v>
      </c>
      <c r="G233">
        <v>2.17</v>
      </c>
      <c r="H233">
        <v>1.8</v>
      </c>
      <c r="I233" t="s">
        <v>18</v>
      </c>
      <c r="J233">
        <v>3</v>
      </c>
      <c r="K233">
        <v>10</v>
      </c>
      <c r="L233">
        <v>8</v>
      </c>
      <c r="M233">
        <v>0</v>
      </c>
      <c r="N233" t="str">
        <f t="shared" si="8"/>
        <v>13-15</v>
      </c>
      <c r="O233" t="str">
        <f t="shared" si="9"/>
        <v>low sleep</v>
      </c>
      <c r="P233" s="1" t="str" cm="1">
        <f t="array" ref="P233">_xlfn.IFS(L233&lt;=3,"low",L233&lt;=6,"medium",L233&gt;=7,"high")</f>
        <v>high</v>
      </c>
    </row>
    <row r="234" spans="1:16" x14ac:dyDescent="0.3">
      <c r="A234">
        <v>14</v>
      </c>
      <c r="B234" t="s">
        <v>13</v>
      </c>
      <c r="C234">
        <v>1.5</v>
      </c>
      <c r="D234" t="s">
        <v>20</v>
      </c>
      <c r="E234">
        <v>7.2</v>
      </c>
      <c r="F234">
        <v>1.7</v>
      </c>
      <c r="G234">
        <v>2.76</v>
      </c>
      <c r="H234">
        <v>0</v>
      </c>
      <c r="I234" t="s">
        <v>15</v>
      </c>
      <c r="J234">
        <v>10</v>
      </c>
      <c r="K234">
        <v>7</v>
      </c>
      <c r="L234">
        <v>10</v>
      </c>
      <c r="M234">
        <v>0</v>
      </c>
      <c r="N234" t="str">
        <f t="shared" si="8"/>
        <v>13-15</v>
      </c>
      <c r="O234" t="str">
        <f t="shared" si="9"/>
        <v>healthy sleep</v>
      </c>
      <c r="P234" s="1" t="str" cm="1">
        <f t="array" ref="P234">_xlfn.IFS(L234&lt;=3,"low",L234&lt;=6,"medium",L234&gt;=7,"high")</f>
        <v>high</v>
      </c>
    </row>
    <row r="235" spans="1:16" x14ac:dyDescent="0.3">
      <c r="A235">
        <v>18</v>
      </c>
      <c r="B235" t="s">
        <v>13</v>
      </c>
      <c r="C235">
        <v>7.7</v>
      </c>
      <c r="D235" t="s">
        <v>14</v>
      </c>
      <c r="E235">
        <v>7.3</v>
      </c>
      <c r="F235">
        <v>1.8</v>
      </c>
      <c r="G235">
        <v>3.13</v>
      </c>
      <c r="H235">
        <v>2</v>
      </c>
      <c r="I235" t="s">
        <v>19</v>
      </c>
      <c r="J235">
        <v>7</v>
      </c>
      <c r="K235">
        <v>9</v>
      </c>
      <c r="L235">
        <v>7</v>
      </c>
      <c r="M235">
        <v>0</v>
      </c>
      <c r="N235" t="str">
        <f t="shared" si="8"/>
        <v>16-19</v>
      </c>
      <c r="O235" t="str">
        <f t="shared" si="9"/>
        <v>healthy sleep</v>
      </c>
      <c r="P235" s="1" t="str" cm="1">
        <f t="array" ref="P235">_xlfn.IFS(L235&lt;=3,"low",L235&lt;=6,"medium",L235&gt;=7,"high")</f>
        <v>high</v>
      </c>
    </row>
    <row r="236" spans="1:16" x14ac:dyDescent="0.3">
      <c r="A236">
        <v>13</v>
      </c>
      <c r="B236" t="s">
        <v>13</v>
      </c>
      <c r="C236">
        <v>2.9</v>
      </c>
      <c r="D236" t="s">
        <v>17</v>
      </c>
      <c r="E236">
        <v>5.0999999999999996</v>
      </c>
      <c r="F236">
        <v>2.2000000000000002</v>
      </c>
      <c r="G236">
        <v>3.81</v>
      </c>
      <c r="H236">
        <v>0.7</v>
      </c>
      <c r="I236" t="s">
        <v>15</v>
      </c>
      <c r="J236">
        <v>6</v>
      </c>
      <c r="K236">
        <v>6</v>
      </c>
      <c r="L236">
        <v>10</v>
      </c>
      <c r="M236">
        <v>0</v>
      </c>
      <c r="N236" t="str">
        <f t="shared" si="8"/>
        <v>13-15</v>
      </c>
      <c r="O236" t="str">
        <f t="shared" si="9"/>
        <v>low sleep</v>
      </c>
      <c r="P236" s="1" t="str" cm="1">
        <f t="array" ref="P236">_xlfn.IFS(L236&lt;=3,"low",L236&lt;=6,"medium",L236&gt;=7,"high")</f>
        <v>high</v>
      </c>
    </row>
    <row r="237" spans="1:16" x14ac:dyDescent="0.3">
      <c r="A237">
        <v>16</v>
      </c>
      <c r="B237" t="s">
        <v>13</v>
      </c>
      <c r="C237">
        <v>7.6</v>
      </c>
      <c r="D237" t="s">
        <v>17</v>
      </c>
      <c r="E237">
        <v>4.3</v>
      </c>
      <c r="F237">
        <v>2.7</v>
      </c>
      <c r="G237">
        <v>2.5099999999999998</v>
      </c>
      <c r="H237">
        <v>0.3</v>
      </c>
      <c r="I237" t="s">
        <v>19</v>
      </c>
      <c r="J237">
        <v>3</v>
      </c>
      <c r="K237">
        <v>9</v>
      </c>
      <c r="L237">
        <v>10</v>
      </c>
      <c r="M237">
        <v>0</v>
      </c>
      <c r="N237" t="str">
        <f t="shared" si="8"/>
        <v>16-19</v>
      </c>
      <c r="O237" t="str">
        <f t="shared" si="9"/>
        <v>low sleep</v>
      </c>
      <c r="P237" s="1" t="str" cm="1">
        <f t="array" ref="P237">_xlfn.IFS(L237&lt;=3,"low",L237&lt;=6,"medium",L237&gt;=7,"high")</f>
        <v>high</v>
      </c>
    </row>
    <row r="238" spans="1:16" x14ac:dyDescent="0.3">
      <c r="A238">
        <v>18</v>
      </c>
      <c r="B238" t="s">
        <v>13</v>
      </c>
      <c r="C238">
        <v>5.7</v>
      </c>
      <c r="D238" t="s">
        <v>20</v>
      </c>
      <c r="E238">
        <v>8.4</v>
      </c>
      <c r="F238">
        <v>2.4</v>
      </c>
      <c r="G238">
        <v>2.84</v>
      </c>
      <c r="H238">
        <v>0.7</v>
      </c>
      <c r="I238" t="s">
        <v>15</v>
      </c>
      <c r="J238">
        <v>5</v>
      </c>
      <c r="K238">
        <v>4</v>
      </c>
      <c r="L238">
        <v>9</v>
      </c>
      <c r="M238">
        <v>0</v>
      </c>
      <c r="N238" t="str">
        <f t="shared" si="8"/>
        <v>16-19</v>
      </c>
      <c r="O238" t="str">
        <f t="shared" si="9"/>
        <v>healthy sleep</v>
      </c>
      <c r="P238" s="1" t="str" cm="1">
        <f t="array" ref="P238">_xlfn.IFS(L238&lt;=3,"low",L238&lt;=6,"medium",L238&gt;=7,"high")</f>
        <v>high</v>
      </c>
    </row>
    <row r="239" spans="1:16" x14ac:dyDescent="0.3">
      <c r="A239">
        <v>19</v>
      </c>
      <c r="B239" t="s">
        <v>13</v>
      </c>
      <c r="C239">
        <v>1.2</v>
      </c>
      <c r="D239" t="s">
        <v>17</v>
      </c>
      <c r="E239">
        <v>5</v>
      </c>
      <c r="F239">
        <v>1.5</v>
      </c>
      <c r="G239">
        <v>2.09</v>
      </c>
      <c r="H239">
        <v>0.6</v>
      </c>
      <c r="I239" t="s">
        <v>19</v>
      </c>
      <c r="J239">
        <v>5</v>
      </c>
      <c r="K239">
        <v>2</v>
      </c>
      <c r="L239">
        <v>1</v>
      </c>
      <c r="M239">
        <v>0</v>
      </c>
      <c r="N239" t="str">
        <f t="shared" si="8"/>
        <v>16-19</v>
      </c>
      <c r="O239" t="str">
        <f t="shared" si="9"/>
        <v>low sleep</v>
      </c>
      <c r="P239" s="1" t="str" cm="1">
        <f t="array" ref="P239">_xlfn.IFS(L239&lt;=3,"low",L239&lt;=6,"medium",L239&gt;=7,"high")</f>
        <v>low</v>
      </c>
    </row>
    <row r="240" spans="1:16" x14ac:dyDescent="0.3">
      <c r="A240">
        <v>16</v>
      </c>
      <c r="B240" t="s">
        <v>16</v>
      </c>
      <c r="C240">
        <v>2.4</v>
      </c>
      <c r="D240" t="s">
        <v>20</v>
      </c>
      <c r="E240">
        <v>6.2</v>
      </c>
      <c r="F240">
        <v>1.6</v>
      </c>
      <c r="G240">
        <v>2.38</v>
      </c>
      <c r="H240">
        <v>0</v>
      </c>
      <c r="I240" t="s">
        <v>19</v>
      </c>
      <c r="J240">
        <v>8</v>
      </c>
      <c r="K240">
        <v>4</v>
      </c>
      <c r="L240">
        <v>10</v>
      </c>
      <c r="M240">
        <v>0</v>
      </c>
      <c r="N240" t="str">
        <f t="shared" si="8"/>
        <v>16-19</v>
      </c>
      <c r="O240" t="str">
        <f t="shared" si="9"/>
        <v>healthy sleep</v>
      </c>
      <c r="P240" s="1" t="str" cm="1">
        <f t="array" ref="P240">_xlfn.IFS(L240&lt;=3,"low",L240&lt;=6,"medium",L240&gt;=7,"high")</f>
        <v>high</v>
      </c>
    </row>
    <row r="241" spans="1:16" x14ac:dyDescent="0.3">
      <c r="A241">
        <v>17</v>
      </c>
      <c r="B241" t="s">
        <v>16</v>
      </c>
      <c r="C241">
        <v>6.2</v>
      </c>
      <c r="D241" t="s">
        <v>20</v>
      </c>
      <c r="E241">
        <v>5.0999999999999996</v>
      </c>
      <c r="F241">
        <v>2</v>
      </c>
      <c r="G241">
        <v>3.82</v>
      </c>
      <c r="H241">
        <v>1.7</v>
      </c>
      <c r="I241" t="s">
        <v>19</v>
      </c>
      <c r="J241">
        <v>7</v>
      </c>
      <c r="K241">
        <v>3</v>
      </c>
      <c r="L241">
        <v>5</v>
      </c>
      <c r="M241">
        <v>0</v>
      </c>
      <c r="N241" t="str">
        <f t="shared" si="8"/>
        <v>16-19</v>
      </c>
      <c r="O241" t="str">
        <f t="shared" si="9"/>
        <v>low sleep</v>
      </c>
      <c r="P241" s="1" t="str" cm="1">
        <f t="array" ref="P241">_xlfn.IFS(L241&lt;=3,"low",L241&lt;=6,"medium",L241&gt;=7,"high")</f>
        <v>medium</v>
      </c>
    </row>
    <row r="242" spans="1:16" x14ac:dyDescent="0.3">
      <c r="A242">
        <v>14</v>
      </c>
      <c r="B242" t="s">
        <v>16</v>
      </c>
      <c r="C242">
        <v>4.7</v>
      </c>
      <c r="D242" t="s">
        <v>14</v>
      </c>
      <c r="E242">
        <v>5.0999999999999996</v>
      </c>
      <c r="F242">
        <v>2.2000000000000002</v>
      </c>
      <c r="G242">
        <v>2.0299999999999998</v>
      </c>
      <c r="H242">
        <v>1.1000000000000001</v>
      </c>
      <c r="I242" t="s">
        <v>19</v>
      </c>
      <c r="J242">
        <v>2</v>
      </c>
      <c r="K242">
        <v>10</v>
      </c>
      <c r="L242">
        <v>7</v>
      </c>
      <c r="M242">
        <v>0</v>
      </c>
      <c r="N242" t="str">
        <f t="shared" si="8"/>
        <v>13-15</v>
      </c>
      <c r="O242" t="str">
        <f t="shared" si="9"/>
        <v>low sleep</v>
      </c>
      <c r="P242" s="1" t="str" cm="1">
        <f t="array" ref="P242">_xlfn.IFS(L242&lt;=3,"low",L242&lt;=6,"medium",L242&gt;=7,"high")</f>
        <v>high</v>
      </c>
    </row>
    <row r="243" spans="1:16" x14ac:dyDescent="0.3">
      <c r="A243">
        <v>19</v>
      </c>
      <c r="B243" t="s">
        <v>13</v>
      </c>
      <c r="C243">
        <v>5.3</v>
      </c>
      <c r="D243" t="s">
        <v>14</v>
      </c>
      <c r="E243">
        <v>6.7</v>
      </c>
      <c r="F243">
        <v>0.7</v>
      </c>
      <c r="G243">
        <v>3.59</v>
      </c>
      <c r="H243">
        <v>1.8</v>
      </c>
      <c r="I243" t="s">
        <v>18</v>
      </c>
      <c r="J243">
        <v>4</v>
      </c>
      <c r="K243">
        <v>8</v>
      </c>
      <c r="L243">
        <v>8</v>
      </c>
      <c r="M243">
        <v>0</v>
      </c>
      <c r="N243" t="str">
        <f t="shared" si="8"/>
        <v>16-19</v>
      </c>
      <c r="O243" t="str">
        <f t="shared" si="9"/>
        <v>healthy sleep</v>
      </c>
      <c r="P243" s="1" t="str" cm="1">
        <f t="array" ref="P243">_xlfn.IFS(L243&lt;=3,"low",L243&lt;=6,"medium",L243&gt;=7,"high")</f>
        <v>high</v>
      </c>
    </row>
    <row r="244" spans="1:16" x14ac:dyDescent="0.3">
      <c r="A244">
        <v>19</v>
      </c>
      <c r="B244" t="s">
        <v>16</v>
      </c>
      <c r="C244">
        <v>6</v>
      </c>
      <c r="D244" t="s">
        <v>17</v>
      </c>
      <c r="E244">
        <v>6</v>
      </c>
      <c r="F244">
        <v>0.7</v>
      </c>
      <c r="G244">
        <v>3.29</v>
      </c>
      <c r="H244">
        <v>1.4</v>
      </c>
      <c r="I244" t="s">
        <v>15</v>
      </c>
      <c r="J244">
        <v>4</v>
      </c>
      <c r="K244">
        <v>5</v>
      </c>
      <c r="L244">
        <v>1</v>
      </c>
      <c r="M244">
        <v>0</v>
      </c>
      <c r="N244" t="str">
        <f t="shared" si="8"/>
        <v>16-19</v>
      </c>
      <c r="O244" t="str">
        <f t="shared" si="9"/>
        <v>low sleep</v>
      </c>
      <c r="P244" s="1" t="str" cm="1">
        <f t="array" ref="P244">_xlfn.IFS(L244&lt;=3,"low",L244&lt;=6,"medium",L244&gt;=7,"high")</f>
        <v>low</v>
      </c>
    </row>
    <row r="245" spans="1:16" x14ac:dyDescent="0.3">
      <c r="A245">
        <v>16</v>
      </c>
      <c r="B245" t="s">
        <v>16</v>
      </c>
      <c r="C245">
        <v>7.8</v>
      </c>
      <c r="D245" t="s">
        <v>17</v>
      </c>
      <c r="E245">
        <v>4.7</v>
      </c>
      <c r="F245">
        <v>2.1</v>
      </c>
      <c r="G245">
        <v>2.48</v>
      </c>
      <c r="H245">
        <v>2</v>
      </c>
      <c r="I245" t="s">
        <v>15</v>
      </c>
      <c r="J245">
        <v>8</v>
      </c>
      <c r="K245">
        <v>3</v>
      </c>
      <c r="L245">
        <v>1</v>
      </c>
      <c r="M245">
        <v>0</v>
      </c>
      <c r="N245" t="str">
        <f t="shared" si="8"/>
        <v>16-19</v>
      </c>
      <c r="O245" t="str">
        <f t="shared" si="9"/>
        <v>low sleep</v>
      </c>
      <c r="P245" s="1" t="str" cm="1">
        <f t="array" ref="P245">_xlfn.IFS(L245&lt;=3,"low",L245&lt;=6,"medium",L245&gt;=7,"high")</f>
        <v>low</v>
      </c>
    </row>
    <row r="246" spans="1:16" x14ac:dyDescent="0.3">
      <c r="A246">
        <v>14</v>
      </c>
      <c r="B246" t="s">
        <v>16</v>
      </c>
      <c r="C246">
        <v>4.4000000000000004</v>
      </c>
      <c r="D246" t="s">
        <v>20</v>
      </c>
      <c r="E246">
        <v>4.2</v>
      </c>
      <c r="F246">
        <v>2.6</v>
      </c>
      <c r="G246">
        <v>2.2799999999999998</v>
      </c>
      <c r="H246">
        <v>1.3</v>
      </c>
      <c r="I246" t="s">
        <v>19</v>
      </c>
      <c r="J246">
        <v>8</v>
      </c>
      <c r="K246">
        <v>10</v>
      </c>
      <c r="L246">
        <v>4</v>
      </c>
      <c r="M246">
        <v>0</v>
      </c>
      <c r="N246" t="str">
        <f t="shared" si="8"/>
        <v>13-15</v>
      </c>
      <c r="O246" t="str">
        <f t="shared" si="9"/>
        <v>low sleep</v>
      </c>
      <c r="P246" s="1" t="str" cm="1">
        <f t="array" ref="P246">_xlfn.IFS(L246&lt;=3,"low",L246&lt;=6,"medium",L246&gt;=7,"high")</f>
        <v>medium</v>
      </c>
    </row>
    <row r="247" spans="1:16" x14ac:dyDescent="0.3">
      <c r="A247">
        <v>17</v>
      </c>
      <c r="B247" t="s">
        <v>13</v>
      </c>
      <c r="C247">
        <v>6.7</v>
      </c>
      <c r="D247" t="s">
        <v>14</v>
      </c>
      <c r="E247">
        <v>7.6</v>
      </c>
      <c r="F247">
        <v>2.4</v>
      </c>
      <c r="G247">
        <v>3.59</v>
      </c>
      <c r="H247">
        <v>0.4</v>
      </c>
      <c r="I247" t="s">
        <v>19</v>
      </c>
      <c r="J247">
        <v>9</v>
      </c>
      <c r="K247">
        <v>5</v>
      </c>
      <c r="L247">
        <v>5</v>
      </c>
      <c r="M247">
        <v>0</v>
      </c>
      <c r="N247" t="str">
        <f t="shared" si="8"/>
        <v>16-19</v>
      </c>
      <c r="O247" t="str">
        <f t="shared" si="9"/>
        <v>healthy sleep</v>
      </c>
      <c r="P247" s="1" t="str" cm="1">
        <f t="array" ref="P247">_xlfn.IFS(L247&lt;=3,"low",L247&lt;=6,"medium",L247&gt;=7,"high")</f>
        <v>medium</v>
      </c>
    </row>
    <row r="248" spans="1:16" x14ac:dyDescent="0.3">
      <c r="A248">
        <v>13</v>
      </c>
      <c r="B248" t="s">
        <v>16</v>
      </c>
      <c r="C248">
        <v>7.2</v>
      </c>
      <c r="D248" t="s">
        <v>17</v>
      </c>
      <c r="E248">
        <v>7.4</v>
      </c>
      <c r="F248">
        <v>2.2000000000000002</v>
      </c>
      <c r="G248">
        <v>3.42</v>
      </c>
      <c r="H248">
        <v>0.1</v>
      </c>
      <c r="I248" t="s">
        <v>15</v>
      </c>
      <c r="J248">
        <v>8</v>
      </c>
      <c r="K248">
        <v>9</v>
      </c>
      <c r="L248">
        <v>6</v>
      </c>
      <c r="M248">
        <v>0</v>
      </c>
      <c r="N248" t="str">
        <f t="shared" si="8"/>
        <v>13-15</v>
      </c>
      <c r="O248" t="str">
        <f t="shared" si="9"/>
        <v>healthy sleep</v>
      </c>
      <c r="P248" s="1" t="str" cm="1">
        <f t="array" ref="P248">_xlfn.IFS(L248&lt;=3,"low",L248&lt;=6,"medium",L248&gt;=7,"high")</f>
        <v>medium</v>
      </c>
    </row>
    <row r="249" spans="1:16" x14ac:dyDescent="0.3">
      <c r="A249">
        <v>18</v>
      </c>
      <c r="B249" t="s">
        <v>13</v>
      </c>
      <c r="C249">
        <v>6.1</v>
      </c>
      <c r="D249" t="s">
        <v>20</v>
      </c>
      <c r="E249">
        <v>4.4000000000000004</v>
      </c>
      <c r="F249">
        <v>2.1</v>
      </c>
      <c r="G249">
        <v>2.23</v>
      </c>
      <c r="H249">
        <v>1</v>
      </c>
      <c r="I249" t="s">
        <v>15</v>
      </c>
      <c r="J249">
        <v>8</v>
      </c>
      <c r="K249">
        <v>2</v>
      </c>
      <c r="L249">
        <v>5</v>
      </c>
      <c r="M249">
        <v>0</v>
      </c>
      <c r="N249" t="str">
        <f t="shared" si="8"/>
        <v>16-19</v>
      </c>
      <c r="O249" t="str">
        <f t="shared" si="9"/>
        <v>low sleep</v>
      </c>
      <c r="P249" s="1" t="str" cm="1">
        <f t="array" ref="P249">_xlfn.IFS(L249&lt;=3,"low",L249&lt;=6,"medium",L249&gt;=7,"high")</f>
        <v>medium</v>
      </c>
    </row>
    <row r="250" spans="1:16" x14ac:dyDescent="0.3">
      <c r="A250">
        <v>16</v>
      </c>
      <c r="B250" t="s">
        <v>13</v>
      </c>
      <c r="C250">
        <v>5.4</v>
      </c>
      <c r="D250" t="s">
        <v>17</v>
      </c>
      <c r="E250">
        <v>8.6999999999999993</v>
      </c>
      <c r="F250">
        <v>1.9</v>
      </c>
      <c r="G250">
        <v>2.67</v>
      </c>
      <c r="H250">
        <v>1.3</v>
      </c>
      <c r="I250" t="s">
        <v>15</v>
      </c>
      <c r="J250">
        <v>1</v>
      </c>
      <c r="K250">
        <v>5</v>
      </c>
      <c r="L250">
        <v>7</v>
      </c>
      <c r="M250">
        <v>0</v>
      </c>
      <c r="N250" t="str">
        <f t="shared" si="8"/>
        <v>16-19</v>
      </c>
      <c r="O250" t="str">
        <f t="shared" si="9"/>
        <v>healthy sleep</v>
      </c>
      <c r="P250" s="1" t="str" cm="1">
        <f t="array" ref="P250">_xlfn.IFS(L250&lt;=3,"low",L250&lt;=6,"medium",L250&gt;=7,"high")</f>
        <v>high</v>
      </c>
    </row>
    <row r="251" spans="1:16" x14ac:dyDescent="0.3">
      <c r="A251">
        <v>19</v>
      </c>
      <c r="B251" t="s">
        <v>13</v>
      </c>
      <c r="C251">
        <v>2.7</v>
      </c>
      <c r="D251" t="s">
        <v>20</v>
      </c>
      <c r="E251">
        <v>7.7</v>
      </c>
      <c r="F251">
        <v>0.7</v>
      </c>
      <c r="G251">
        <v>2.2200000000000002</v>
      </c>
      <c r="H251">
        <v>0.4</v>
      </c>
      <c r="I251" t="s">
        <v>19</v>
      </c>
      <c r="J251">
        <v>10</v>
      </c>
      <c r="K251">
        <v>8</v>
      </c>
      <c r="L251">
        <v>7</v>
      </c>
      <c r="M251">
        <v>0</v>
      </c>
      <c r="N251" t="str">
        <f t="shared" si="8"/>
        <v>16-19</v>
      </c>
      <c r="O251" t="str">
        <f t="shared" si="9"/>
        <v>healthy sleep</v>
      </c>
      <c r="P251" s="1" t="str" cm="1">
        <f t="array" ref="P251">_xlfn.IFS(L251&lt;=3,"low",L251&lt;=6,"medium",L251&gt;=7,"high")</f>
        <v>high</v>
      </c>
    </row>
    <row r="252" spans="1:16" x14ac:dyDescent="0.3">
      <c r="A252">
        <v>13</v>
      </c>
      <c r="B252" t="s">
        <v>16</v>
      </c>
      <c r="C252">
        <v>7.9</v>
      </c>
      <c r="D252" t="s">
        <v>14</v>
      </c>
      <c r="E252">
        <v>7.2</v>
      </c>
      <c r="F252">
        <v>1.5</v>
      </c>
      <c r="G252">
        <v>2.36</v>
      </c>
      <c r="H252">
        <v>0.2</v>
      </c>
      <c r="I252" t="s">
        <v>19</v>
      </c>
      <c r="J252">
        <v>2</v>
      </c>
      <c r="K252">
        <v>6</v>
      </c>
      <c r="L252">
        <v>8</v>
      </c>
      <c r="M252">
        <v>0</v>
      </c>
      <c r="N252" t="str">
        <f t="shared" si="8"/>
        <v>13-15</v>
      </c>
      <c r="O252" t="str">
        <f t="shared" si="9"/>
        <v>healthy sleep</v>
      </c>
      <c r="P252" s="1" t="str" cm="1">
        <f t="array" ref="P252">_xlfn.IFS(L252&lt;=3,"low",L252&lt;=6,"medium",L252&gt;=7,"high")</f>
        <v>high</v>
      </c>
    </row>
    <row r="253" spans="1:16" x14ac:dyDescent="0.3">
      <c r="A253">
        <v>13</v>
      </c>
      <c r="B253" t="s">
        <v>13</v>
      </c>
      <c r="C253">
        <v>4.5999999999999996</v>
      </c>
      <c r="D253" t="s">
        <v>17</v>
      </c>
      <c r="E253">
        <v>7.3</v>
      </c>
      <c r="F253">
        <v>1.6</v>
      </c>
      <c r="G253">
        <v>2.91</v>
      </c>
      <c r="H253">
        <v>0.4</v>
      </c>
      <c r="I253" t="s">
        <v>15</v>
      </c>
      <c r="J253">
        <v>10</v>
      </c>
      <c r="K253">
        <v>5</v>
      </c>
      <c r="L253">
        <v>7</v>
      </c>
      <c r="M253">
        <v>0</v>
      </c>
      <c r="N253" t="str">
        <f t="shared" si="8"/>
        <v>13-15</v>
      </c>
      <c r="O253" t="str">
        <f t="shared" si="9"/>
        <v>healthy sleep</v>
      </c>
      <c r="P253" s="1" t="str" cm="1">
        <f t="array" ref="P253">_xlfn.IFS(L253&lt;=3,"low",L253&lt;=6,"medium",L253&gt;=7,"high")</f>
        <v>high</v>
      </c>
    </row>
    <row r="254" spans="1:16" x14ac:dyDescent="0.3">
      <c r="A254">
        <v>13</v>
      </c>
      <c r="B254" t="s">
        <v>13</v>
      </c>
      <c r="C254">
        <v>5.6</v>
      </c>
      <c r="D254" t="s">
        <v>14</v>
      </c>
      <c r="E254">
        <v>4.5999999999999996</v>
      </c>
      <c r="F254">
        <v>1.9</v>
      </c>
      <c r="G254">
        <v>2.54</v>
      </c>
      <c r="H254">
        <v>0.1</v>
      </c>
      <c r="I254" t="s">
        <v>15</v>
      </c>
      <c r="J254">
        <v>5</v>
      </c>
      <c r="K254">
        <v>5</v>
      </c>
      <c r="L254">
        <v>6</v>
      </c>
      <c r="M254">
        <v>0</v>
      </c>
      <c r="N254" t="str">
        <f t="shared" si="8"/>
        <v>13-15</v>
      </c>
      <c r="O254" t="str">
        <f t="shared" si="9"/>
        <v>low sleep</v>
      </c>
      <c r="P254" s="1" t="str" cm="1">
        <f t="array" ref="P254">_xlfn.IFS(L254&lt;=3,"low",L254&lt;=6,"medium",L254&gt;=7,"high")</f>
        <v>medium</v>
      </c>
    </row>
    <row r="255" spans="1:16" x14ac:dyDescent="0.3">
      <c r="A255">
        <v>17</v>
      </c>
      <c r="B255" t="s">
        <v>16</v>
      </c>
      <c r="C255">
        <v>6.5</v>
      </c>
      <c r="D255" t="s">
        <v>17</v>
      </c>
      <c r="E255">
        <v>6.4</v>
      </c>
      <c r="F255">
        <v>0.7</v>
      </c>
      <c r="G255">
        <v>3.57</v>
      </c>
      <c r="H255">
        <v>1.1000000000000001</v>
      </c>
      <c r="I255" t="s">
        <v>15</v>
      </c>
      <c r="J255">
        <v>2</v>
      </c>
      <c r="K255">
        <v>9</v>
      </c>
      <c r="L255">
        <v>6</v>
      </c>
      <c r="M255">
        <v>0</v>
      </c>
      <c r="N255" t="str">
        <f t="shared" si="8"/>
        <v>16-19</v>
      </c>
      <c r="O255" t="str">
        <f t="shared" si="9"/>
        <v>healthy sleep</v>
      </c>
      <c r="P255" s="1" t="str" cm="1">
        <f t="array" ref="P255">_xlfn.IFS(L255&lt;=3,"low",L255&lt;=6,"medium",L255&gt;=7,"high")</f>
        <v>medium</v>
      </c>
    </row>
    <row r="256" spans="1:16" x14ac:dyDescent="0.3">
      <c r="A256">
        <v>19</v>
      </c>
      <c r="B256" t="s">
        <v>13</v>
      </c>
      <c r="C256">
        <v>5.9</v>
      </c>
      <c r="D256" t="s">
        <v>20</v>
      </c>
      <c r="E256">
        <v>7.2</v>
      </c>
      <c r="F256">
        <v>0.9</v>
      </c>
      <c r="G256">
        <v>3.99</v>
      </c>
      <c r="H256">
        <v>1.7</v>
      </c>
      <c r="I256" t="s">
        <v>15</v>
      </c>
      <c r="J256">
        <v>7</v>
      </c>
      <c r="K256">
        <v>9</v>
      </c>
      <c r="L256">
        <v>3</v>
      </c>
      <c r="M256">
        <v>0</v>
      </c>
      <c r="N256" t="str">
        <f t="shared" si="8"/>
        <v>16-19</v>
      </c>
      <c r="O256" t="str">
        <f t="shared" si="9"/>
        <v>healthy sleep</v>
      </c>
      <c r="P256" s="1" t="str" cm="1">
        <f t="array" ref="P256">_xlfn.IFS(L256&lt;=3,"low",L256&lt;=6,"medium",L256&gt;=7,"high")</f>
        <v>low</v>
      </c>
    </row>
    <row r="257" spans="1:16" x14ac:dyDescent="0.3">
      <c r="A257">
        <v>19</v>
      </c>
      <c r="B257" t="s">
        <v>16</v>
      </c>
      <c r="C257">
        <v>1.1000000000000001</v>
      </c>
      <c r="D257" t="s">
        <v>17</v>
      </c>
      <c r="E257">
        <v>5.0999999999999996</v>
      </c>
      <c r="F257">
        <v>2.2000000000000002</v>
      </c>
      <c r="G257">
        <v>2.13</v>
      </c>
      <c r="H257">
        <v>0.9</v>
      </c>
      <c r="I257" t="s">
        <v>15</v>
      </c>
      <c r="J257">
        <v>7</v>
      </c>
      <c r="K257">
        <v>7</v>
      </c>
      <c r="L257">
        <v>2</v>
      </c>
      <c r="M257">
        <v>0</v>
      </c>
      <c r="N257" t="str">
        <f t="shared" si="8"/>
        <v>16-19</v>
      </c>
      <c r="O257" t="str">
        <f t="shared" si="9"/>
        <v>low sleep</v>
      </c>
      <c r="P257" s="1" t="str" cm="1">
        <f t="array" ref="P257">_xlfn.IFS(L257&lt;=3,"low",L257&lt;=6,"medium",L257&gt;=7,"high")</f>
        <v>low</v>
      </c>
    </row>
    <row r="258" spans="1:16" x14ac:dyDescent="0.3">
      <c r="A258">
        <v>18</v>
      </c>
      <c r="B258" t="s">
        <v>13</v>
      </c>
      <c r="C258">
        <v>3.2</v>
      </c>
      <c r="D258" t="s">
        <v>17</v>
      </c>
      <c r="E258">
        <v>5.0999999999999996</v>
      </c>
      <c r="F258">
        <v>1.2</v>
      </c>
      <c r="G258">
        <v>3.54</v>
      </c>
      <c r="H258">
        <v>1.3</v>
      </c>
      <c r="I258" t="s">
        <v>15</v>
      </c>
      <c r="J258">
        <v>6</v>
      </c>
      <c r="K258">
        <v>2</v>
      </c>
      <c r="L258">
        <v>8</v>
      </c>
      <c r="M258">
        <v>0</v>
      </c>
      <c r="N258" t="str">
        <f t="shared" si="8"/>
        <v>16-19</v>
      </c>
      <c r="O258" t="str">
        <f t="shared" si="9"/>
        <v>low sleep</v>
      </c>
      <c r="P258" s="1" t="str" cm="1">
        <f t="array" ref="P258">_xlfn.IFS(L258&lt;=3,"low",L258&lt;=6,"medium",L258&gt;=7,"high")</f>
        <v>high</v>
      </c>
    </row>
    <row r="259" spans="1:16" x14ac:dyDescent="0.3">
      <c r="A259">
        <v>14</v>
      </c>
      <c r="B259" t="s">
        <v>13</v>
      </c>
      <c r="C259">
        <v>6.5</v>
      </c>
      <c r="D259" t="s">
        <v>14</v>
      </c>
      <c r="E259">
        <v>5.3</v>
      </c>
      <c r="F259">
        <v>2.7</v>
      </c>
      <c r="G259">
        <v>3.79</v>
      </c>
      <c r="H259">
        <v>0.8</v>
      </c>
      <c r="I259" t="s">
        <v>15</v>
      </c>
      <c r="J259">
        <v>8</v>
      </c>
      <c r="K259">
        <v>6</v>
      </c>
      <c r="L259">
        <v>4</v>
      </c>
      <c r="M259">
        <v>0</v>
      </c>
      <c r="N259" t="str">
        <f t="shared" ref="N259:N322" si="10">IF(A259&lt;=15,"13-15","16-19")</f>
        <v>13-15</v>
      </c>
      <c r="O259" t="str">
        <f t="shared" ref="O259:O322" si="11">IF(E259&lt;=6,"low sleep","healthy sleep")</f>
        <v>low sleep</v>
      </c>
      <c r="P259" s="1" t="str" cm="1">
        <f t="array" ref="P259">_xlfn.IFS(L259&lt;=3,"low",L259&lt;=6,"medium",L259&gt;=7,"high")</f>
        <v>medium</v>
      </c>
    </row>
    <row r="260" spans="1:16" x14ac:dyDescent="0.3">
      <c r="A260">
        <v>17</v>
      </c>
      <c r="B260" t="s">
        <v>16</v>
      </c>
      <c r="C260">
        <v>7.3</v>
      </c>
      <c r="D260" t="s">
        <v>14</v>
      </c>
      <c r="E260">
        <v>6.2</v>
      </c>
      <c r="F260">
        <v>1</v>
      </c>
      <c r="G260">
        <v>2.02</v>
      </c>
      <c r="H260">
        <v>0.2</v>
      </c>
      <c r="I260" t="s">
        <v>15</v>
      </c>
      <c r="J260">
        <v>1</v>
      </c>
      <c r="K260">
        <v>6</v>
      </c>
      <c r="L260">
        <v>3</v>
      </c>
      <c r="M260">
        <v>0</v>
      </c>
      <c r="N260" t="str">
        <f t="shared" si="10"/>
        <v>16-19</v>
      </c>
      <c r="O260" t="str">
        <f t="shared" si="11"/>
        <v>healthy sleep</v>
      </c>
      <c r="P260" s="1" t="str" cm="1">
        <f t="array" ref="P260">_xlfn.IFS(L260&lt;=3,"low",L260&lt;=6,"medium",L260&gt;=7,"high")</f>
        <v>low</v>
      </c>
    </row>
    <row r="261" spans="1:16" x14ac:dyDescent="0.3">
      <c r="A261">
        <v>17</v>
      </c>
      <c r="B261" t="s">
        <v>13</v>
      </c>
      <c r="C261">
        <v>1.5</v>
      </c>
      <c r="D261" t="s">
        <v>17</v>
      </c>
      <c r="E261">
        <v>5.5</v>
      </c>
      <c r="F261">
        <v>1.7</v>
      </c>
      <c r="G261">
        <v>2.93</v>
      </c>
      <c r="H261">
        <v>0.7</v>
      </c>
      <c r="I261" t="s">
        <v>15</v>
      </c>
      <c r="J261">
        <v>4</v>
      </c>
      <c r="K261">
        <v>9</v>
      </c>
      <c r="L261">
        <v>9</v>
      </c>
      <c r="M261">
        <v>0</v>
      </c>
      <c r="N261" t="str">
        <f t="shared" si="10"/>
        <v>16-19</v>
      </c>
      <c r="O261" t="str">
        <f t="shared" si="11"/>
        <v>low sleep</v>
      </c>
      <c r="P261" s="1" t="str" cm="1">
        <f t="array" ref="P261">_xlfn.IFS(L261&lt;=3,"low",L261&lt;=6,"medium",L261&gt;=7,"high")</f>
        <v>high</v>
      </c>
    </row>
    <row r="262" spans="1:16" x14ac:dyDescent="0.3">
      <c r="A262">
        <v>16</v>
      </c>
      <c r="B262" t="s">
        <v>13</v>
      </c>
      <c r="C262">
        <v>3.8</v>
      </c>
      <c r="D262" t="s">
        <v>14</v>
      </c>
      <c r="E262">
        <v>6.8</v>
      </c>
      <c r="F262">
        <v>2.4</v>
      </c>
      <c r="G262">
        <v>3.1</v>
      </c>
      <c r="H262">
        <v>1.6</v>
      </c>
      <c r="I262" t="s">
        <v>15</v>
      </c>
      <c r="J262">
        <v>6</v>
      </c>
      <c r="K262">
        <v>10</v>
      </c>
      <c r="L262">
        <v>4</v>
      </c>
      <c r="M262">
        <v>0</v>
      </c>
      <c r="N262" t="str">
        <f t="shared" si="10"/>
        <v>16-19</v>
      </c>
      <c r="O262" t="str">
        <f t="shared" si="11"/>
        <v>healthy sleep</v>
      </c>
      <c r="P262" s="1" t="str" cm="1">
        <f t="array" ref="P262">_xlfn.IFS(L262&lt;=3,"low",L262&lt;=6,"medium",L262&gt;=7,"high")</f>
        <v>medium</v>
      </c>
    </row>
    <row r="263" spans="1:16" x14ac:dyDescent="0.3">
      <c r="A263">
        <v>13</v>
      </c>
      <c r="B263" t="s">
        <v>16</v>
      </c>
      <c r="C263">
        <v>3.6</v>
      </c>
      <c r="D263" t="s">
        <v>17</v>
      </c>
      <c r="E263">
        <v>8.6</v>
      </c>
      <c r="F263">
        <v>2.8</v>
      </c>
      <c r="G263">
        <v>3.28</v>
      </c>
      <c r="H263">
        <v>0.7</v>
      </c>
      <c r="I263" t="s">
        <v>18</v>
      </c>
      <c r="J263">
        <v>10</v>
      </c>
      <c r="K263">
        <v>3</v>
      </c>
      <c r="L263">
        <v>5</v>
      </c>
      <c r="M263">
        <v>0</v>
      </c>
      <c r="N263" t="str">
        <f t="shared" si="10"/>
        <v>13-15</v>
      </c>
      <c r="O263" t="str">
        <f t="shared" si="11"/>
        <v>healthy sleep</v>
      </c>
      <c r="P263" s="1" t="str" cm="1">
        <f t="array" ref="P263">_xlfn.IFS(L263&lt;=3,"low",L263&lt;=6,"medium",L263&gt;=7,"high")</f>
        <v>medium</v>
      </c>
    </row>
    <row r="264" spans="1:16" x14ac:dyDescent="0.3">
      <c r="A264">
        <v>15</v>
      </c>
      <c r="B264" t="s">
        <v>13</v>
      </c>
      <c r="C264">
        <v>3.6</v>
      </c>
      <c r="D264" t="s">
        <v>17</v>
      </c>
      <c r="E264">
        <v>4.3</v>
      </c>
      <c r="F264">
        <v>2.9</v>
      </c>
      <c r="G264">
        <v>2.2000000000000002</v>
      </c>
      <c r="H264">
        <v>1</v>
      </c>
      <c r="I264" t="s">
        <v>18</v>
      </c>
      <c r="J264">
        <v>10</v>
      </c>
      <c r="K264">
        <v>9</v>
      </c>
      <c r="L264">
        <v>7</v>
      </c>
      <c r="M264">
        <v>0</v>
      </c>
      <c r="N264" t="str">
        <f t="shared" si="10"/>
        <v>13-15</v>
      </c>
      <c r="O264" t="str">
        <f t="shared" si="11"/>
        <v>low sleep</v>
      </c>
      <c r="P264" s="1" t="str" cm="1">
        <f t="array" ref="P264">_xlfn.IFS(L264&lt;=3,"low",L264&lt;=6,"medium",L264&gt;=7,"high")</f>
        <v>high</v>
      </c>
    </row>
    <row r="265" spans="1:16" x14ac:dyDescent="0.3">
      <c r="A265">
        <v>17</v>
      </c>
      <c r="B265" t="s">
        <v>16</v>
      </c>
      <c r="C265">
        <v>5.3</v>
      </c>
      <c r="D265" t="s">
        <v>14</v>
      </c>
      <c r="E265">
        <v>7.4</v>
      </c>
      <c r="F265">
        <v>1.2</v>
      </c>
      <c r="G265">
        <v>3.41</v>
      </c>
      <c r="H265">
        <v>1.1000000000000001</v>
      </c>
      <c r="I265" t="s">
        <v>18</v>
      </c>
      <c r="J265">
        <v>6</v>
      </c>
      <c r="K265">
        <v>3</v>
      </c>
      <c r="L265">
        <v>7</v>
      </c>
      <c r="M265">
        <v>0</v>
      </c>
      <c r="N265" t="str">
        <f t="shared" si="10"/>
        <v>16-19</v>
      </c>
      <c r="O265" t="str">
        <f t="shared" si="11"/>
        <v>healthy sleep</v>
      </c>
      <c r="P265" s="1" t="str" cm="1">
        <f t="array" ref="P265">_xlfn.IFS(L265&lt;=3,"low",L265&lt;=6,"medium",L265&gt;=7,"high")</f>
        <v>high</v>
      </c>
    </row>
    <row r="266" spans="1:16" x14ac:dyDescent="0.3">
      <c r="A266">
        <v>19</v>
      </c>
      <c r="B266" t="s">
        <v>13</v>
      </c>
      <c r="C266">
        <v>4.4000000000000004</v>
      </c>
      <c r="D266" t="s">
        <v>17</v>
      </c>
      <c r="E266">
        <v>4.3</v>
      </c>
      <c r="F266">
        <v>0.8</v>
      </c>
      <c r="G266">
        <v>2.44</v>
      </c>
      <c r="H266">
        <v>1</v>
      </c>
      <c r="I266" t="s">
        <v>18</v>
      </c>
      <c r="J266">
        <v>9</v>
      </c>
      <c r="K266">
        <v>9</v>
      </c>
      <c r="L266">
        <v>7</v>
      </c>
      <c r="M266">
        <v>0</v>
      </c>
      <c r="N266" t="str">
        <f t="shared" si="10"/>
        <v>16-19</v>
      </c>
      <c r="O266" t="str">
        <f t="shared" si="11"/>
        <v>low sleep</v>
      </c>
      <c r="P266" s="1" t="str" cm="1">
        <f t="array" ref="P266">_xlfn.IFS(L266&lt;=3,"low",L266&lt;=6,"medium",L266&gt;=7,"high")</f>
        <v>high</v>
      </c>
    </row>
    <row r="267" spans="1:16" x14ac:dyDescent="0.3">
      <c r="A267">
        <v>18</v>
      </c>
      <c r="B267" t="s">
        <v>13</v>
      </c>
      <c r="C267">
        <v>7.7</v>
      </c>
      <c r="D267" t="s">
        <v>17</v>
      </c>
      <c r="E267">
        <v>4.7</v>
      </c>
      <c r="F267">
        <v>1.4</v>
      </c>
      <c r="G267">
        <v>3.04</v>
      </c>
      <c r="H267">
        <v>0.6</v>
      </c>
      <c r="I267" t="s">
        <v>19</v>
      </c>
      <c r="J267">
        <v>9</v>
      </c>
      <c r="K267">
        <v>6</v>
      </c>
      <c r="L267">
        <v>6</v>
      </c>
      <c r="M267">
        <v>0</v>
      </c>
      <c r="N267" t="str">
        <f t="shared" si="10"/>
        <v>16-19</v>
      </c>
      <c r="O267" t="str">
        <f t="shared" si="11"/>
        <v>low sleep</v>
      </c>
      <c r="P267" s="1" t="str" cm="1">
        <f t="array" ref="P267">_xlfn.IFS(L267&lt;=3,"low",L267&lt;=6,"medium",L267&gt;=7,"high")</f>
        <v>medium</v>
      </c>
    </row>
    <row r="268" spans="1:16" x14ac:dyDescent="0.3">
      <c r="A268">
        <v>14</v>
      </c>
      <c r="B268" t="s">
        <v>16</v>
      </c>
      <c r="C268">
        <v>7.1</v>
      </c>
      <c r="D268" t="s">
        <v>17</v>
      </c>
      <c r="E268">
        <v>4.5</v>
      </c>
      <c r="F268">
        <v>2.4</v>
      </c>
      <c r="G268">
        <v>3.53</v>
      </c>
      <c r="H268">
        <v>0.4</v>
      </c>
      <c r="I268" t="s">
        <v>18</v>
      </c>
      <c r="J268">
        <v>3</v>
      </c>
      <c r="K268">
        <v>4</v>
      </c>
      <c r="L268">
        <v>4</v>
      </c>
      <c r="M268">
        <v>0</v>
      </c>
      <c r="N268" t="str">
        <f t="shared" si="10"/>
        <v>13-15</v>
      </c>
      <c r="O268" t="str">
        <f t="shared" si="11"/>
        <v>low sleep</v>
      </c>
      <c r="P268" s="1" t="str" cm="1">
        <f t="array" ref="P268">_xlfn.IFS(L268&lt;=3,"low",L268&lt;=6,"medium",L268&gt;=7,"high")</f>
        <v>medium</v>
      </c>
    </row>
    <row r="269" spans="1:16" x14ac:dyDescent="0.3">
      <c r="A269">
        <v>16</v>
      </c>
      <c r="B269" t="s">
        <v>13</v>
      </c>
      <c r="C269">
        <v>4.9000000000000004</v>
      </c>
      <c r="D269" t="s">
        <v>14</v>
      </c>
      <c r="E269">
        <v>6.8</v>
      </c>
      <c r="F269">
        <v>1</v>
      </c>
      <c r="G269">
        <v>3.18</v>
      </c>
      <c r="H269">
        <v>1.9</v>
      </c>
      <c r="I269" t="s">
        <v>18</v>
      </c>
      <c r="J269">
        <v>7</v>
      </c>
      <c r="K269">
        <v>4</v>
      </c>
      <c r="L269">
        <v>8</v>
      </c>
      <c r="M269">
        <v>0</v>
      </c>
      <c r="N269" t="str">
        <f t="shared" si="10"/>
        <v>16-19</v>
      </c>
      <c r="O269" t="str">
        <f t="shared" si="11"/>
        <v>healthy sleep</v>
      </c>
      <c r="P269" s="1" t="str" cm="1">
        <f t="array" ref="P269">_xlfn.IFS(L269&lt;=3,"low",L269&lt;=6,"medium",L269&gt;=7,"high")</f>
        <v>high</v>
      </c>
    </row>
    <row r="270" spans="1:16" x14ac:dyDescent="0.3">
      <c r="A270">
        <v>19</v>
      </c>
      <c r="B270" t="s">
        <v>13</v>
      </c>
      <c r="C270">
        <v>4.5999999999999996</v>
      </c>
      <c r="D270" t="s">
        <v>20</v>
      </c>
      <c r="E270">
        <v>8.9</v>
      </c>
      <c r="F270">
        <v>1.9</v>
      </c>
      <c r="G270">
        <v>2.5</v>
      </c>
      <c r="H270">
        <v>0.4</v>
      </c>
      <c r="I270" t="s">
        <v>19</v>
      </c>
      <c r="J270">
        <v>8</v>
      </c>
      <c r="K270">
        <v>1</v>
      </c>
      <c r="L270">
        <v>3</v>
      </c>
      <c r="M270">
        <v>0</v>
      </c>
      <c r="N270" t="str">
        <f t="shared" si="10"/>
        <v>16-19</v>
      </c>
      <c r="O270" t="str">
        <f t="shared" si="11"/>
        <v>healthy sleep</v>
      </c>
      <c r="P270" s="1" t="str" cm="1">
        <f t="array" ref="P270">_xlfn.IFS(L270&lt;=3,"low",L270&lt;=6,"medium",L270&gt;=7,"high")</f>
        <v>low</v>
      </c>
    </row>
    <row r="271" spans="1:16" x14ac:dyDescent="0.3">
      <c r="A271">
        <v>19</v>
      </c>
      <c r="B271" t="s">
        <v>13</v>
      </c>
      <c r="C271">
        <v>1.8</v>
      </c>
      <c r="D271" t="s">
        <v>14</v>
      </c>
      <c r="E271">
        <v>6.5</v>
      </c>
      <c r="F271">
        <v>2.6</v>
      </c>
      <c r="G271">
        <v>2.75</v>
      </c>
      <c r="H271">
        <v>1.7</v>
      </c>
      <c r="I271" t="s">
        <v>18</v>
      </c>
      <c r="J271">
        <v>7</v>
      </c>
      <c r="K271">
        <v>6</v>
      </c>
      <c r="L271">
        <v>1</v>
      </c>
      <c r="M271">
        <v>0</v>
      </c>
      <c r="N271" t="str">
        <f t="shared" si="10"/>
        <v>16-19</v>
      </c>
      <c r="O271" t="str">
        <f t="shared" si="11"/>
        <v>healthy sleep</v>
      </c>
      <c r="P271" s="1" t="str" cm="1">
        <f t="array" ref="P271">_xlfn.IFS(L271&lt;=3,"low",L271&lt;=6,"medium",L271&gt;=7,"high")</f>
        <v>low</v>
      </c>
    </row>
    <row r="272" spans="1:16" x14ac:dyDescent="0.3">
      <c r="A272">
        <v>16</v>
      </c>
      <c r="B272" t="s">
        <v>13</v>
      </c>
      <c r="C272">
        <v>4.2</v>
      </c>
      <c r="D272" t="s">
        <v>20</v>
      </c>
      <c r="E272">
        <v>5.7</v>
      </c>
      <c r="F272">
        <v>1</v>
      </c>
      <c r="G272">
        <v>2.77</v>
      </c>
      <c r="H272">
        <v>0.1</v>
      </c>
      <c r="I272" t="s">
        <v>18</v>
      </c>
      <c r="J272">
        <v>10</v>
      </c>
      <c r="K272">
        <v>5</v>
      </c>
      <c r="L272">
        <v>9</v>
      </c>
      <c r="M272">
        <v>0</v>
      </c>
      <c r="N272" t="str">
        <f t="shared" si="10"/>
        <v>16-19</v>
      </c>
      <c r="O272" t="str">
        <f t="shared" si="11"/>
        <v>low sleep</v>
      </c>
      <c r="P272" s="1" t="str" cm="1">
        <f t="array" ref="P272">_xlfn.IFS(L272&lt;=3,"low",L272&lt;=6,"medium",L272&gt;=7,"high")</f>
        <v>high</v>
      </c>
    </row>
    <row r="273" spans="1:16" x14ac:dyDescent="0.3">
      <c r="A273">
        <v>16</v>
      </c>
      <c r="B273" t="s">
        <v>13</v>
      </c>
      <c r="C273">
        <v>1.5</v>
      </c>
      <c r="D273" t="s">
        <v>17</v>
      </c>
      <c r="E273">
        <v>6.7</v>
      </c>
      <c r="F273">
        <v>0.5</v>
      </c>
      <c r="G273">
        <v>2.78</v>
      </c>
      <c r="H273">
        <v>1.2</v>
      </c>
      <c r="I273" t="s">
        <v>15</v>
      </c>
      <c r="J273">
        <v>1</v>
      </c>
      <c r="K273">
        <v>9</v>
      </c>
      <c r="L273">
        <v>6</v>
      </c>
      <c r="M273">
        <v>0</v>
      </c>
      <c r="N273" t="str">
        <f t="shared" si="10"/>
        <v>16-19</v>
      </c>
      <c r="O273" t="str">
        <f t="shared" si="11"/>
        <v>healthy sleep</v>
      </c>
      <c r="P273" s="1" t="str" cm="1">
        <f t="array" ref="P273">_xlfn.IFS(L273&lt;=3,"low",L273&lt;=6,"medium",L273&gt;=7,"high")</f>
        <v>medium</v>
      </c>
    </row>
    <row r="274" spans="1:16" x14ac:dyDescent="0.3">
      <c r="A274">
        <v>19</v>
      </c>
      <c r="B274" t="s">
        <v>13</v>
      </c>
      <c r="C274">
        <v>7</v>
      </c>
      <c r="D274" t="s">
        <v>14</v>
      </c>
      <c r="E274">
        <v>8.9</v>
      </c>
      <c r="F274">
        <v>2.8</v>
      </c>
      <c r="G274">
        <v>2.84</v>
      </c>
      <c r="H274">
        <v>0.4</v>
      </c>
      <c r="I274" t="s">
        <v>18</v>
      </c>
      <c r="J274">
        <v>6</v>
      </c>
      <c r="K274">
        <v>8</v>
      </c>
      <c r="L274">
        <v>6</v>
      </c>
      <c r="M274">
        <v>0</v>
      </c>
      <c r="N274" t="str">
        <f t="shared" si="10"/>
        <v>16-19</v>
      </c>
      <c r="O274" t="str">
        <f t="shared" si="11"/>
        <v>healthy sleep</v>
      </c>
      <c r="P274" s="1" t="str" cm="1">
        <f t="array" ref="P274">_xlfn.IFS(L274&lt;=3,"low",L274&lt;=6,"medium",L274&gt;=7,"high")</f>
        <v>medium</v>
      </c>
    </row>
    <row r="275" spans="1:16" x14ac:dyDescent="0.3">
      <c r="A275">
        <v>14</v>
      </c>
      <c r="B275" t="s">
        <v>16</v>
      </c>
      <c r="C275">
        <v>6.5</v>
      </c>
      <c r="D275" t="s">
        <v>20</v>
      </c>
      <c r="E275">
        <v>7.8</v>
      </c>
      <c r="F275">
        <v>1.5</v>
      </c>
      <c r="G275">
        <v>3.26</v>
      </c>
      <c r="H275">
        <v>0.8</v>
      </c>
      <c r="I275" t="s">
        <v>19</v>
      </c>
      <c r="J275">
        <v>9</v>
      </c>
      <c r="K275">
        <v>2</v>
      </c>
      <c r="L275">
        <v>3</v>
      </c>
      <c r="M275">
        <v>0</v>
      </c>
      <c r="N275" t="str">
        <f t="shared" si="10"/>
        <v>13-15</v>
      </c>
      <c r="O275" t="str">
        <f t="shared" si="11"/>
        <v>healthy sleep</v>
      </c>
      <c r="P275" s="1" t="str" cm="1">
        <f t="array" ref="P275">_xlfn.IFS(L275&lt;=3,"low",L275&lt;=6,"medium",L275&gt;=7,"high")</f>
        <v>low</v>
      </c>
    </row>
    <row r="276" spans="1:16" x14ac:dyDescent="0.3">
      <c r="A276">
        <v>19</v>
      </c>
      <c r="B276" t="s">
        <v>16</v>
      </c>
      <c r="C276">
        <v>4.3</v>
      </c>
      <c r="D276" t="s">
        <v>14</v>
      </c>
      <c r="E276">
        <v>5.9</v>
      </c>
      <c r="F276">
        <v>2.1</v>
      </c>
      <c r="G276">
        <v>2.85</v>
      </c>
      <c r="H276">
        <v>1.7</v>
      </c>
      <c r="I276" t="s">
        <v>18</v>
      </c>
      <c r="J276">
        <v>9</v>
      </c>
      <c r="K276">
        <v>9</v>
      </c>
      <c r="L276">
        <v>8</v>
      </c>
      <c r="M276">
        <v>0</v>
      </c>
      <c r="N276" t="str">
        <f t="shared" si="10"/>
        <v>16-19</v>
      </c>
      <c r="O276" t="str">
        <f t="shared" si="11"/>
        <v>low sleep</v>
      </c>
      <c r="P276" s="1" t="str" cm="1">
        <f t="array" ref="P276">_xlfn.IFS(L276&lt;=3,"low",L276&lt;=6,"medium",L276&gt;=7,"high")</f>
        <v>high</v>
      </c>
    </row>
    <row r="277" spans="1:16" x14ac:dyDescent="0.3">
      <c r="A277">
        <v>16</v>
      </c>
      <c r="B277" t="s">
        <v>13</v>
      </c>
      <c r="C277">
        <v>7.2</v>
      </c>
      <c r="D277" t="s">
        <v>20</v>
      </c>
      <c r="E277">
        <v>7.7</v>
      </c>
      <c r="F277">
        <v>2.5</v>
      </c>
      <c r="G277">
        <v>2.56</v>
      </c>
      <c r="H277">
        <v>1.7</v>
      </c>
      <c r="I277" t="s">
        <v>18</v>
      </c>
      <c r="J277">
        <v>8</v>
      </c>
      <c r="K277">
        <v>7</v>
      </c>
      <c r="L277">
        <v>6</v>
      </c>
      <c r="M277">
        <v>0</v>
      </c>
      <c r="N277" t="str">
        <f t="shared" si="10"/>
        <v>16-19</v>
      </c>
      <c r="O277" t="str">
        <f t="shared" si="11"/>
        <v>healthy sleep</v>
      </c>
      <c r="P277" s="1" t="str" cm="1">
        <f t="array" ref="P277">_xlfn.IFS(L277&lt;=3,"low",L277&lt;=6,"medium",L277&gt;=7,"high")</f>
        <v>medium</v>
      </c>
    </row>
    <row r="278" spans="1:16" x14ac:dyDescent="0.3">
      <c r="A278">
        <v>13</v>
      </c>
      <c r="B278" t="s">
        <v>13</v>
      </c>
      <c r="C278">
        <v>7</v>
      </c>
      <c r="D278" t="s">
        <v>20</v>
      </c>
      <c r="E278">
        <v>4.0999999999999996</v>
      </c>
      <c r="F278">
        <v>1.9</v>
      </c>
      <c r="G278">
        <v>2.2999999999999998</v>
      </c>
      <c r="H278">
        <v>0.3</v>
      </c>
      <c r="I278" t="s">
        <v>19</v>
      </c>
      <c r="J278">
        <v>3</v>
      </c>
      <c r="K278">
        <v>10</v>
      </c>
      <c r="L278">
        <v>6</v>
      </c>
      <c r="M278">
        <v>0</v>
      </c>
      <c r="N278" t="str">
        <f t="shared" si="10"/>
        <v>13-15</v>
      </c>
      <c r="O278" t="str">
        <f t="shared" si="11"/>
        <v>low sleep</v>
      </c>
      <c r="P278" s="1" t="str" cm="1">
        <f t="array" ref="P278">_xlfn.IFS(L278&lt;=3,"low",L278&lt;=6,"medium",L278&gt;=7,"high")</f>
        <v>medium</v>
      </c>
    </row>
    <row r="279" spans="1:16" x14ac:dyDescent="0.3">
      <c r="A279">
        <v>18</v>
      </c>
      <c r="B279" t="s">
        <v>16</v>
      </c>
      <c r="C279">
        <v>3.8</v>
      </c>
      <c r="D279" t="s">
        <v>20</v>
      </c>
      <c r="E279">
        <v>5.4</v>
      </c>
      <c r="F279">
        <v>1.7</v>
      </c>
      <c r="G279">
        <v>3.06</v>
      </c>
      <c r="H279">
        <v>1.9</v>
      </c>
      <c r="I279" t="s">
        <v>19</v>
      </c>
      <c r="J279">
        <v>5</v>
      </c>
      <c r="K279">
        <v>10</v>
      </c>
      <c r="L279">
        <v>3</v>
      </c>
      <c r="M279">
        <v>0</v>
      </c>
      <c r="N279" t="str">
        <f t="shared" si="10"/>
        <v>16-19</v>
      </c>
      <c r="O279" t="str">
        <f t="shared" si="11"/>
        <v>low sleep</v>
      </c>
      <c r="P279" s="1" t="str" cm="1">
        <f t="array" ref="P279">_xlfn.IFS(L279&lt;=3,"low",L279&lt;=6,"medium",L279&gt;=7,"high")</f>
        <v>low</v>
      </c>
    </row>
    <row r="280" spans="1:16" x14ac:dyDescent="0.3">
      <c r="A280">
        <v>17</v>
      </c>
      <c r="B280" t="s">
        <v>16</v>
      </c>
      <c r="C280">
        <v>3</v>
      </c>
      <c r="D280" t="s">
        <v>14</v>
      </c>
      <c r="E280">
        <v>6.9</v>
      </c>
      <c r="F280">
        <v>2.2999999999999998</v>
      </c>
      <c r="G280">
        <v>3.34</v>
      </c>
      <c r="H280">
        <v>0.6</v>
      </c>
      <c r="I280" t="s">
        <v>15</v>
      </c>
      <c r="J280">
        <v>5</v>
      </c>
      <c r="K280">
        <v>2</v>
      </c>
      <c r="L280">
        <v>9</v>
      </c>
      <c r="M280">
        <v>0</v>
      </c>
      <c r="N280" t="str">
        <f t="shared" si="10"/>
        <v>16-19</v>
      </c>
      <c r="O280" t="str">
        <f t="shared" si="11"/>
        <v>healthy sleep</v>
      </c>
      <c r="P280" s="1" t="str" cm="1">
        <f t="array" ref="P280">_xlfn.IFS(L280&lt;=3,"low",L280&lt;=6,"medium",L280&gt;=7,"high")</f>
        <v>high</v>
      </c>
    </row>
    <row r="281" spans="1:16" x14ac:dyDescent="0.3">
      <c r="A281">
        <v>14</v>
      </c>
      <c r="B281" t="s">
        <v>16</v>
      </c>
      <c r="C281">
        <v>7</v>
      </c>
      <c r="D281" t="s">
        <v>17</v>
      </c>
      <c r="E281">
        <v>7.8</v>
      </c>
      <c r="F281">
        <v>1.1000000000000001</v>
      </c>
      <c r="G281">
        <v>3.81</v>
      </c>
      <c r="H281">
        <v>1.4</v>
      </c>
      <c r="I281" t="s">
        <v>19</v>
      </c>
      <c r="J281">
        <v>10</v>
      </c>
      <c r="K281">
        <v>4</v>
      </c>
      <c r="L281">
        <v>2</v>
      </c>
      <c r="M281">
        <v>0</v>
      </c>
      <c r="N281" t="str">
        <f t="shared" si="10"/>
        <v>13-15</v>
      </c>
      <c r="O281" t="str">
        <f t="shared" si="11"/>
        <v>healthy sleep</v>
      </c>
      <c r="P281" s="1" t="str" cm="1">
        <f t="array" ref="P281">_xlfn.IFS(L281&lt;=3,"low",L281&lt;=6,"medium",L281&gt;=7,"high")</f>
        <v>low</v>
      </c>
    </row>
    <row r="282" spans="1:16" x14ac:dyDescent="0.3">
      <c r="A282">
        <v>13</v>
      </c>
      <c r="B282" t="s">
        <v>13</v>
      </c>
      <c r="C282">
        <v>4.5999999999999996</v>
      </c>
      <c r="D282" t="s">
        <v>17</v>
      </c>
      <c r="E282">
        <v>5.3</v>
      </c>
      <c r="F282">
        <v>2.2999999999999998</v>
      </c>
      <c r="G282">
        <v>2.42</v>
      </c>
      <c r="H282">
        <v>0.2</v>
      </c>
      <c r="I282" t="s">
        <v>15</v>
      </c>
      <c r="J282">
        <v>5</v>
      </c>
      <c r="K282">
        <v>9</v>
      </c>
      <c r="L282">
        <v>5</v>
      </c>
      <c r="M282">
        <v>0</v>
      </c>
      <c r="N282" t="str">
        <f t="shared" si="10"/>
        <v>13-15</v>
      </c>
      <c r="O282" t="str">
        <f t="shared" si="11"/>
        <v>low sleep</v>
      </c>
      <c r="P282" s="1" t="str" cm="1">
        <f t="array" ref="P282">_xlfn.IFS(L282&lt;=3,"low",L282&lt;=6,"medium",L282&gt;=7,"high")</f>
        <v>medium</v>
      </c>
    </row>
    <row r="283" spans="1:16" x14ac:dyDescent="0.3">
      <c r="A283">
        <v>16</v>
      </c>
      <c r="B283" t="s">
        <v>13</v>
      </c>
      <c r="C283">
        <v>3.4</v>
      </c>
      <c r="D283" t="s">
        <v>20</v>
      </c>
      <c r="E283">
        <v>8.9</v>
      </c>
      <c r="F283">
        <v>2.6</v>
      </c>
      <c r="G283">
        <v>2.54</v>
      </c>
      <c r="H283">
        <v>1.8</v>
      </c>
      <c r="I283" t="s">
        <v>18</v>
      </c>
      <c r="J283">
        <v>6</v>
      </c>
      <c r="K283">
        <v>2</v>
      </c>
      <c r="L283">
        <v>5</v>
      </c>
      <c r="M283">
        <v>0</v>
      </c>
      <c r="N283" t="str">
        <f t="shared" si="10"/>
        <v>16-19</v>
      </c>
      <c r="O283" t="str">
        <f t="shared" si="11"/>
        <v>healthy sleep</v>
      </c>
      <c r="P283" s="1" t="str" cm="1">
        <f t="array" ref="P283">_xlfn.IFS(L283&lt;=3,"low",L283&lt;=6,"medium",L283&gt;=7,"high")</f>
        <v>medium</v>
      </c>
    </row>
    <row r="284" spans="1:16" x14ac:dyDescent="0.3">
      <c r="A284">
        <v>19</v>
      </c>
      <c r="B284" t="s">
        <v>16</v>
      </c>
      <c r="C284">
        <v>3.5</v>
      </c>
      <c r="D284" t="s">
        <v>17</v>
      </c>
      <c r="E284">
        <v>6.7</v>
      </c>
      <c r="F284">
        <v>2.7</v>
      </c>
      <c r="G284">
        <v>3.4</v>
      </c>
      <c r="H284">
        <v>1.2</v>
      </c>
      <c r="I284" t="s">
        <v>15</v>
      </c>
      <c r="J284">
        <v>4</v>
      </c>
      <c r="K284">
        <v>6</v>
      </c>
      <c r="L284">
        <v>7</v>
      </c>
      <c r="M284">
        <v>0</v>
      </c>
      <c r="N284" t="str">
        <f t="shared" si="10"/>
        <v>16-19</v>
      </c>
      <c r="O284" t="str">
        <f t="shared" si="11"/>
        <v>healthy sleep</v>
      </c>
      <c r="P284" s="1" t="str" cm="1">
        <f t="array" ref="P284">_xlfn.IFS(L284&lt;=3,"low",L284&lt;=6,"medium",L284&gt;=7,"high")</f>
        <v>high</v>
      </c>
    </row>
    <row r="285" spans="1:16" x14ac:dyDescent="0.3">
      <c r="A285">
        <v>14</v>
      </c>
      <c r="B285" t="s">
        <v>16</v>
      </c>
      <c r="C285">
        <v>4.4000000000000004</v>
      </c>
      <c r="D285" t="s">
        <v>20</v>
      </c>
      <c r="E285">
        <v>7.3</v>
      </c>
      <c r="F285">
        <v>2.7</v>
      </c>
      <c r="G285">
        <v>3.3</v>
      </c>
      <c r="H285">
        <v>1.1000000000000001</v>
      </c>
      <c r="I285" t="s">
        <v>15</v>
      </c>
      <c r="J285">
        <v>2</v>
      </c>
      <c r="K285">
        <v>1</v>
      </c>
      <c r="L285">
        <v>9</v>
      </c>
      <c r="M285">
        <v>0</v>
      </c>
      <c r="N285" t="str">
        <f t="shared" si="10"/>
        <v>13-15</v>
      </c>
      <c r="O285" t="str">
        <f t="shared" si="11"/>
        <v>healthy sleep</v>
      </c>
      <c r="P285" s="1" t="str" cm="1">
        <f t="array" ref="P285">_xlfn.IFS(L285&lt;=3,"low",L285&lt;=6,"medium",L285&gt;=7,"high")</f>
        <v>high</v>
      </c>
    </row>
    <row r="286" spans="1:16" x14ac:dyDescent="0.3">
      <c r="A286">
        <v>14</v>
      </c>
      <c r="B286" t="s">
        <v>16</v>
      </c>
      <c r="C286">
        <v>1.8</v>
      </c>
      <c r="D286" t="s">
        <v>20</v>
      </c>
      <c r="E286">
        <v>8.1999999999999993</v>
      </c>
      <c r="F286">
        <v>2.2000000000000002</v>
      </c>
      <c r="G286">
        <v>3.36</v>
      </c>
      <c r="H286">
        <v>1.7</v>
      </c>
      <c r="I286" t="s">
        <v>18</v>
      </c>
      <c r="J286">
        <v>9</v>
      </c>
      <c r="K286">
        <v>5</v>
      </c>
      <c r="L286">
        <v>10</v>
      </c>
      <c r="M286">
        <v>0</v>
      </c>
      <c r="N286" t="str">
        <f t="shared" si="10"/>
        <v>13-15</v>
      </c>
      <c r="O286" t="str">
        <f t="shared" si="11"/>
        <v>healthy sleep</v>
      </c>
      <c r="P286" s="1" t="str" cm="1">
        <f t="array" ref="P286">_xlfn.IFS(L286&lt;=3,"low",L286&lt;=6,"medium",L286&gt;=7,"high")</f>
        <v>high</v>
      </c>
    </row>
    <row r="287" spans="1:16" x14ac:dyDescent="0.3">
      <c r="A287">
        <v>17</v>
      </c>
      <c r="B287" t="s">
        <v>13</v>
      </c>
      <c r="C287">
        <v>3.9</v>
      </c>
      <c r="D287" t="s">
        <v>20</v>
      </c>
      <c r="E287">
        <v>7.7</v>
      </c>
      <c r="F287">
        <v>1</v>
      </c>
      <c r="G287">
        <v>2.1</v>
      </c>
      <c r="H287">
        <v>1.8</v>
      </c>
      <c r="I287" t="s">
        <v>18</v>
      </c>
      <c r="J287">
        <v>7</v>
      </c>
      <c r="K287">
        <v>4</v>
      </c>
      <c r="L287">
        <v>5</v>
      </c>
      <c r="M287">
        <v>0</v>
      </c>
      <c r="N287" t="str">
        <f t="shared" si="10"/>
        <v>16-19</v>
      </c>
      <c r="O287" t="str">
        <f t="shared" si="11"/>
        <v>healthy sleep</v>
      </c>
      <c r="P287" s="1" t="str" cm="1">
        <f t="array" ref="P287">_xlfn.IFS(L287&lt;=3,"low",L287&lt;=6,"medium",L287&gt;=7,"high")</f>
        <v>medium</v>
      </c>
    </row>
    <row r="288" spans="1:16" x14ac:dyDescent="0.3">
      <c r="A288">
        <v>14</v>
      </c>
      <c r="B288" t="s">
        <v>16</v>
      </c>
      <c r="C288">
        <v>4.4000000000000004</v>
      </c>
      <c r="D288" t="s">
        <v>17</v>
      </c>
      <c r="E288">
        <v>5.7</v>
      </c>
      <c r="F288">
        <v>1</v>
      </c>
      <c r="G288">
        <v>3.2</v>
      </c>
      <c r="H288">
        <v>1.9</v>
      </c>
      <c r="I288" t="s">
        <v>18</v>
      </c>
      <c r="J288">
        <v>4</v>
      </c>
      <c r="K288">
        <v>2</v>
      </c>
      <c r="L288">
        <v>2</v>
      </c>
      <c r="M288">
        <v>0</v>
      </c>
      <c r="N288" t="str">
        <f t="shared" si="10"/>
        <v>13-15</v>
      </c>
      <c r="O288" t="str">
        <f t="shared" si="11"/>
        <v>low sleep</v>
      </c>
      <c r="P288" s="1" t="str" cm="1">
        <f t="array" ref="P288">_xlfn.IFS(L288&lt;=3,"low",L288&lt;=6,"medium",L288&gt;=7,"high")</f>
        <v>low</v>
      </c>
    </row>
    <row r="289" spans="1:16" x14ac:dyDescent="0.3">
      <c r="A289">
        <v>13</v>
      </c>
      <c r="B289" t="s">
        <v>16</v>
      </c>
      <c r="C289">
        <v>2</v>
      </c>
      <c r="D289" t="s">
        <v>14</v>
      </c>
      <c r="E289">
        <v>8.6999999999999993</v>
      </c>
      <c r="F289">
        <v>1.9</v>
      </c>
      <c r="G289">
        <v>2.2799999999999998</v>
      </c>
      <c r="H289">
        <v>1.2</v>
      </c>
      <c r="I289" t="s">
        <v>19</v>
      </c>
      <c r="J289">
        <v>7</v>
      </c>
      <c r="K289">
        <v>7</v>
      </c>
      <c r="L289">
        <v>9</v>
      </c>
      <c r="M289">
        <v>0</v>
      </c>
      <c r="N289" t="str">
        <f t="shared" si="10"/>
        <v>13-15</v>
      </c>
      <c r="O289" t="str">
        <f t="shared" si="11"/>
        <v>healthy sleep</v>
      </c>
      <c r="P289" s="1" t="str" cm="1">
        <f t="array" ref="P289">_xlfn.IFS(L289&lt;=3,"low",L289&lt;=6,"medium",L289&gt;=7,"high")</f>
        <v>high</v>
      </c>
    </row>
    <row r="290" spans="1:16" x14ac:dyDescent="0.3">
      <c r="A290">
        <v>17</v>
      </c>
      <c r="B290" t="s">
        <v>13</v>
      </c>
      <c r="C290">
        <v>7.2</v>
      </c>
      <c r="D290" t="s">
        <v>17</v>
      </c>
      <c r="E290">
        <v>8.8000000000000007</v>
      </c>
      <c r="F290">
        <v>2.5</v>
      </c>
      <c r="G290">
        <v>3.97</v>
      </c>
      <c r="H290">
        <v>1.9</v>
      </c>
      <c r="I290" t="s">
        <v>15</v>
      </c>
      <c r="J290">
        <v>1</v>
      </c>
      <c r="K290">
        <v>3</v>
      </c>
      <c r="L290">
        <v>9</v>
      </c>
      <c r="M290">
        <v>0</v>
      </c>
      <c r="N290" t="str">
        <f t="shared" si="10"/>
        <v>16-19</v>
      </c>
      <c r="O290" t="str">
        <f t="shared" si="11"/>
        <v>healthy sleep</v>
      </c>
      <c r="P290" s="1" t="str" cm="1">
        <f t="array" ref="P290">_xlfn.IFS(L290&lt;=3,"low",L290&lt;=6,"medium",L290&gt;=7,"high")</f>
        <v>high</v>
      </c>
    </row>
    <row r="291" spans="1:16" x14ac:dyDescent="0.3">
      <c r="A291">
        <v>19</v>
      </c>
      <c r="B291" t="s">
        <v>13</v>
      </c>
      <c r="C291">
        <v>4.4000000000000004</v>
      </c>
      <c r="D291" t="s">
        <v>20</v>
      </c>
      <c r="E291">
        <v>6.4</v>
      </c>
      <c r="F291">
        <v>0.9</v>
      </c>
      <c r="G291">
        <v>2.72</v>
      </c>
      <c r="H291">
        <v>0.2</v>
      </c>
      <c r="I291" t="s">
        <v>19</v>
      </c>
      <c r="J291">
        <v>6</v>
      </c>
      <c r="K291">
        <v>9</v>
      </c>
      <c r="L291">
        <v>8</v>
      </c>
      <c r="M291">
        <v>0</v>
      </c>
      <c r="N291" t="str">
        <f t="shared" si="10"/>
        <v>16-19</v>
      </c>
      <c r="O291" t="str">
        <f t="shared" si="11"/>
        <v>healthy sleep</v>
      </c>
      <c r="P291" s="1" t="str" cm="1">
        <f t="array" ref="P291">_xlfn.IFS(L291&lt;=3,"low",L291&lt;=6,"medium",L291&gt;=7,"high")</f>
        <v>high</v>
      </c>
    </row>
    <row r="292" spans="1:16" x14ac:dyDescent="0.3">
      <c r="A292">
        <v>14</v>
      </c>
      <c r="B292" t="s">
        <v>13</v>
      </c>
      <c r="C292">
        <v>7.2</v>
      </c>
      <c r="D292" t="s">
        <v>17</v>
      </c>
      <c r="E292">
        <v>4.8</v>
      </c>
      <c r="F292">
        <v>1.4</v>
      </c>
      <c r="G292">
        <v>2.36</v>
      </c>
      <c r="H292">
        <v>0.1</v>
      </c>
      <c r="I292" t="s">
        <v>15</v>
      </c>
      <c r="J292">
        <v>5</v>
      </c>
      <c r="K292">
        <v>7</v>
      </c>
      <c r="L292">
        <v>1</v>
      </c>
      <c r="M292">
        <v>0</v>
      </c>
      <c r="N292" t="str">
        <f t="shared" si="10"/>
        <v>13-15</v>
      </c>
      <c r="O292" t="str">
        <f t="shared" si="11"/>
        <v>low sleep</v>
      </c>
      <c r="P292" s="1" t="str" cm="1">
        <f t="array" ref="P292">_xlfn.IFS(L292&lt;=3,"low",L292&lt;=6,"medium",L292&gt;=7,"high")</f>
        <v>low</v>
      </c>
    </row>
    <row r="293" spans="1:16" x14ac:dyDescent="0.3">
      <c r="A293">
        <v>13</v>
      </c>
      <c r="B293" t="s">
        <v>13</v>
      </c>
      <c r="C293">
        <v>5.4</v>
      </c>
      <c r="D293" t="s">
        <v>14</v>
      </c>
      <c r="E293">
        <v>6.5</v>
      </c>
      <c r="F293">
        <v>0.8</v>
      </c>
      <c r="G293">
        <v>3.17</v>
      </c>
      <c r="H293">
        <v>0.3</v>
      </c>
      <c r="I293" t="s">
        <v>19</v>
      </c>
      <c r="J293">
        <v>10</v>
      </c>
      <c r="K293">
        <v>3</v>
      </c>
      <c r="L293">
        <v>3</v>
      </c>
      <c r="M293">
        <v>0</v>
      </c>
      <c r="N293" t="str">
        <f t="shared" si="10"/>
        <v>13-15</v>
      </c>
      <c r="O293" t="str">
        <f t="shared" si="11"/>
        <v>healthy sleep</v>
      </c>
      <c r="P293" s="1" t="str" cm="1">
        <f t="array" ref="P293">_xlfn.IFS(L293&lt;=3,"low",L293&lt;=6,"medium",L293&gt;=7,"high")</f>
        <v>low</v>
      </c>
    </row>
    <row r="294" spans="1:16" x14ac:dyDescent="0.3">
      <c r="A294">
        <v>16</v>
      </c>
      <c r="B294" t="s">
        <v>13</v>
      </c>
      <c r="C294">
        <v>1.5</v>
      </c>
      <c r="D294" t="s">
        <v>17</v>
      </c>
      <c r="E294">
        <v>4.0999999999999996</v>
      </c>
      <c r="F294">
        <v>1.3</v>
      </c>
      <c r="G294">
        <v>3.67</v>
      </c>
      <c r="H294">
        <v>1.2</v>
      </c>
      <c r="I294" t="s">
        <v>18</v>
      </c>
      <c r="J294">
        <v>10</v>
      </c>
      <c r="K294">
        <v>6</v>
      </c>
      <c r="L294">
        <v>6</v>
      </c>
      <c r="M294">
        <v>0</v>
      </c>
      <c r="N294" t="str">
        <f t="shared" si="10"/>
        <v>16-19</v>
      </c>
      <c r="O294" t="str">
        <f t="shared" si="11"/>
        <v>low sleep</v>
      </c>
      <c r="P294" s="1" t="str" cm="1">
        <f t="array" ref="P294">_xlfn.IFS(L294&lt;=3,"low",L294&lt;=6,"medium",L294&gt;=7,"high")</f>
        <v>medium</v>
      </c>
    </row>
    <row r="295" spans="1:16" x14ac:dyDescent="0.3">
      <c r="A295">
        <v>15</v>
      </c>
      <c r="B295" t="s">
        <v>16</v>
      </c>
      <c r="C295">
        <v>1.8</v>
      </c>
      <c r="D295" t="s">
        <v>14</v>
      </c>
      <c r="E295">
        <v>8</v>
      </c>
      <c r="F295">
        <v>2.8</v>
      </c>
      <c r="G295">
        <v>3.49</v>
      </c>
      <c r="H295">
        <v>0.6</v>
      </c>
      <c r="I295" t="s">
        <v>15</v>
      </c>
      <c r="J295">
        <v>9</v>
      </c>
      <c r="K295">
        <v>8</v>
      </c>
      <c r="L295">
        <v>8</v>
      </c>
      <c r="M295">
        <v>0</v>
      </c>
      <c r="N295" t="str">
        <f t="shared" si="10"/>
        <v>13-15</v>
      </c>
      <c r="O295" t="str">
        <f t="shared" si="11"/>
        <v>healthy sleep</v>
      </c>
      <c r="P295" s="1" t="str" cm="1">
        <f t="array" ref="P295">_xlfn.IFS(L295&lt;=3,"low",L295&lt;=6,"medium",L295&gt;=7,"high")</f>
        <v>high</v>
      </c>
    </row>
    <row r="296" spans="1:16" x14ac:dyDescent="0.3">
      <c r="A296">
        <v>17</v>
      </c>
      <c r="B296" t="s">
        <v>16</v>
      </c>
      <c r="C296">
        <v>3.7</v>
      </c>
      <c r="D296" t="s">
        <v>17</v>
      </c>
      <c r="E296">
        <v>5.3</v>
      </c>
      <c r="F296">
        <v>0.7</v>
      </c>
      <c r="G296">
        <v>2.09</v>
      </c>
      <c r="H296">
        <v>0.8</v>
      </c>
      <c r="I296" t="s">
        <v>18</v>
      </c>
      <c r="J296">
        <v>8</v>
      </c>
      <c r="K296">
        <v>8</v>
      </c>
      <c r="L296">
        <v>10</v>
      </c>
      <c r="M296">
        <v>0</v>
      </c>
      <c r="N296" t="str">
        <f t="shared" si="10"/>
        <v>16-19</v>
      </c>
      <c r="O296" t="str">
        <f t="shared" si="11"/>
        <v>low sleep</v>
      </c>
      <c r="P296" s="1" t="str" cm="1">
        <f t="array" ref="P296">_xlfn.IFS(L296&lt;=3,"low",L296&lt;=6,"medium",L296&gt;=7,"high")</f>
        <v>high</v>
      </c>
    </row>
    <row r="297" spans="1:16" x14ac:dyDescent="0.3">
      <c r="A297">
        <v>13</v>
      </c>
      <c r="B297" t="s">
        <v>13</v>
      </c>
      <c r="C297">
        <v>6.4</v>
      </c>
      <c r="D297" t="s">
        <v>20</v>
      </c>
      <c r="E297">
        <v>8.3000000000000007</v>
      </c>
      <c r="F297">
        <v>1.3</v>
      </c>
      <c r="G297">
        <v>2.21</v>
      </c>
      <c r="H297">
        <v>1.2</v>
      </c>
      <c r="I297" t="s">
        <v>18</v>
      </c>
      <c r="J297">
        <v>4</v>
      </c>
      <c r="K297">
        <v>5</v>
      </c>
      <c r="L297">
        <v>9</v>
      </c>
      <c r="M297">
        <v>0</v>
      </c>
      <c r="N297" t="str">
        <f t="shared" si="10"/>
        <v>13-15</v>
      </c>
      <c r="O297" t="str">
        <f t="shared" si="11"/>
        <v>healthy sleep</v>
      </c>
      <c r="P297" s="1" t="str" cm="1">
        <f t="array" ref="P297">_xlfn.IFS(L297&lt;=3,"low",L297&lt;=6,"medium",L297&gt;=7,"high")</f>
        <v>high</v>
      </c>
    </row>
    <row r="298" spans="1:16" x14ac:dyDescent="0.3">
      <c r="A298">
        <v>19</v>
      </c>
      <c r="B298" t="s">
        <v>13</v>
      </c>
      <c r="C298">
        <v>6.4</v>
      </c>
      <c r="D298" t="s">
        <v>20</v>
      </c>
      <c r="E298">
        <v>6.7</v>
      </c>
      <c r="F298">
        <v>2.4</v>
      </c>
      <c r="G298">
        <v>2.2000000000000002</v>
      </c>
      <c r="H298">
        <v>1.3</v>
      </c>
      <c r="I298" t="s">
        <v>15</v>
      </c>
      <c r="J298">
        <v>5</v>
      </c>
      <c r="K298">
        <v>2</v>
      </c>
      <c r="L298">
        <v>2</v>
      </c>
      <c r="M298">
        <v>0</v>
      </c>
      <c r="N298" t="str">
        <f t="shared" si="10"/>
        <v>16-19</v>
      </c>
      <c r="O298" t="str">
        <f t="shared" si="11"/>
        <v>healthy sleep</v>
      </c>
      <c r="P298" s="1" t="str" cm="1">
        <f t="array" ref="P298">_xlfn.IFS(L298&lt;=3,"low",L298&lt;=6,"medium",L298&gt;=7,"high")</f>
        <v>low</v>
      </c>
    </row>
    <row r="299" spans="1:16" x14ac:dyDescent="0.3">
      <c r="A299">
        <v>17</v>
      </c>
      <c r="B299" t="s">
        <v>16</v>
      </c>
      <c r="C299">
        <v>1.1000000000000001</v>
      </c>
      <c r="D299" t="s">
        <v>14</v>
      </c>
      <c r="E299">
        <v>9</v>
      </c>
      <c r="F299">
        <v>2.9</v>
      </c>
      <c r="G299">
        <v>2.74</v>
      </c>
      <c r="H299">
        <v>1</v>
      </c>
      <c r="I299" t="s">
        <v>19</v>
      </c>
      <c r="J299">
        <v>2</v>
      </c>
      <c r="K299">
        <v>8</v>
      </c>
      <c r="L299">
        <v>2</v>
      </c>
      <c r="M299">
        <v>0</v>
      </c>
      <c r="N299" t="str">
        <f t="shared" si="10"/>
        <v>16-19</v>
      </c>
      <c r="O299" t="str">
        <f t="shared" si="11"/>
        <v>healthy sleep</v>
      </c>
      <c r="P299" s="1" t="str" cm="1">
        <f t="array" ref="P299">_xlfn.IFS(L299&lt;=3,"low",L299&lt;=6,"medium",L299&gt;=7,"high")</f>
        <v>low</v>
      </c>
    </row>
    <row r="300" spans="1:16" x14ac:dyDescent="0.3">
      <c r="A300">
        <v>13</v>
      </c>
      <c r="B300" t="s">
        <v>13</v>
      </c>
      <c r="C300">
        <v>1.3</v>
      </c>
      <c r="D300" t="s">
        <v>17</v>
      </c>
      <c r="E300">
        <v>7.8</v>
      </c>
      <c r="F300">
        <v>2.6</v>
      </c>
      <c r="G300">
        <v>3.01</v>
      </c>
      <c r="H300">
        <v>0.3</v>
      </c>
      <c r="I300" t="s">
        <v>15</v>
      </c>
      <c r="J300">
        <v>2</v>
      </c>
      <c r="K300">
        <v>9</v>
      </c>
      <c r="L300">
        <v>10</v>
      </c>
      <c r="M300">
        <v>0</v>
      </c>
      <c r="N300" t="str">
        <f t="shared" si="10"/>
        <v>13-15</v>
      </c>
      <c r="O300" t="str">
        <f t="shared" si="11"/>
        <v>healthy sleep</v>
      </c>
      <c r="P300" s="1" t="str" cm="1">
        <f t="array" ref="P300">_xlfn.IFS(L300&lt;=3,"low",L300&lt;=6,"medium",L300&gt;=7,"high")</f>
        <v>high</v>
      </c>
    </row>
    <row r="301" spans="1:16" x14ac:dyDescent="0.3">
      <c r="A301">
        <v>17</v>
      </c>
      <c r="B301" t="s">
        <v>16</v>
      </c>
      <c r="C301">
        <v>4.4000000000000004</v>
      </c>
      <c r="D301" t="s">
        <v>14</v>
      </c>
      <c r="E301">
        <v>6</v>
      </c>
      <c r="F301">
        <v>1.2</v>
      </c>
      <c r="G301">
        <v>2.48</v>
      </c>
      <c r="H301">
        <v>0.9</v>
      </c>
      <c r="I301" t="s">
        <v>19</v>
      </c>
      <c r="J301">
        <v>6</v>
      </c>
      <c r="K301">
        <v>2</v>
      </c>
      <c r="L301">
        <v>6</v>
      </c>
      <c r="M301">
        <v>0</v>
      </c>
      <c r="N301" t="str">
        <f t="shared" si="10"/>
        <v>16-19</v>
      </c>
      <c r="O301" t="str">
        <f t="shared" si="11"/>
        <v>low sleep</v>
      </c>
      <c r="P301" s="1" t="str" cm="1">
        <f t="array" ref="P301">_xlfn.IFS(L301&lt;=3,"low",L301&lt;=6,"medium",L301&gt;=7,"high")</f>
        <v>medium</v>
      </c>
    </row>
    <row r="302" spans="1:16" x14ac:dyDescent="0.3">
      <c r="A302">
        <v>13</v>
      </c>
      <c r="B302" t="s">
        <v>13</v>
      </c>
      <c r="C302">
        <v>7.8</v>
      </c>
      <c r="D302" t="s">
        <v>14</v>
      </c>
      <c r="E302">
        <v>5</v>
      </c>
      <c r="F302">
        <v>1.8</v>
      </c>
      <c r="G302">
        <v>3.57</v>
      </c>
      <c r="H302">
        <v>1.5</v>
      </c>
      <c r="I302" t="s">
        <v>19</v>
      </c>
      <c r="J302">
        <v>8</v>
      </c>
      <c r="K302">
        <v>10</v>
      </c>
      <c r="L302">
        <v>3</v>
      </c>
      <c r="M302">
        <v>1</v>
      </c>
      <c r="N302" t="str">
        <f t="shared" si="10"/>
        <v>13-15</v>
      </c>
      <c r="O302" t="str">
        <f t="shared" si="11"/>
        <v>low sleep</v>
      </c>
      <c r="P302" s="1" t="str" cm="1">
        <f t="array" ref="P302">_xlfn.IFS(L302&lt;=3,"low",L302&lt;=6,"medium",L302&gt;=7,"high")</f>
        <v>low</v>
      </c>
    </row>
    <row r="303" spans="1:16" x14ac:dyDescent="0.3">
      <c r="A303">
        <v>14</v>
      </c>
      <c r="B303" t="s">
        <v>16</v>
      </c>
      <c r="C303">
        <v>6.9</v>
      </c>
      <c r="D303" t="s">
        <v>17</v>
      </c>
      <c r="E303">
        <v>6.4</v>
      </c>
      <c r="F303">
        <v>0.9</v>
      </c>
      <c r="G303">
        <v>2.04</v>
      </c>
      <c r="H303">
        <v>1.3</v>
      </c>
      <c r="I303" t="s">
        <v>19</v>
      </c>
      <c r="J303">
        <v>5</v>
      </c>
      <c r="K303">
        <v>5</v>
      </c>
      <c r="L303">
        <v>9</v>
      </c>
      <c r="M303">
        <v>0</v>
      </c>
      <c r="N303" t="str">
        <f t="shared" si="10"/>
        <v>13-15</v>
      </c>
      <c r="O303" t="str">
        <f t="shared" si="11"/>
        <v>healthy sleep</v>
      </c>
      <c r="P303" s="1" t="str" cm="1">
        <f t="array" ref="P303">_xlfn.IFS(L303&lt;=3,"low",L303&lt;=6,"medium",L303&gt;=7,"high")</f>
        <v>high</v>
      </c>
    </row>
    <row r="304" spans="1:16" x14ac:dyDescent="0.3">
      <c r="A304">
        <v>14</v>
      </c>
      <c r="B304" t="s">
        <v>16</v>
      </c>
      <c r="C304">
        <v>4.8</v>
      </c>
      <c r="D304" t="s">
        <v>14</v>
      </c>
      <c r="E304">
        <v>6.8</v>
      </c>
      <c r="F304">
        <v>0.8</v>
      </c>
      <c r="G304">
        <v>3</v>
      </c>
      <c r="H304">
        <v>0.9</v>
      </c>
      <c r="I304" t="s">
        <v>15</v>
      </c>
      <c r="J304">
        <v>4</v>
      </c>
      <c r="K304">
        <v>3</v>
      </c>
      <c r="L304">
        <v>4</v>
      </c>
      <c r="M304">
        <v>0</v>
      </c>
      <c r="N304" t="str">
        <f t="shared" si="10"/>
        <v>13-15</v>
      </c>
      <c r="O304" t="str">
        <f t="shared" si="11"/>
        <v>healthy sleep</v>
      </c>
      <c r="P304" s="1" t="str" cm="1">
        <f t="array" ref="P304">_xlfn.IFS(L304&lt;=3,"low",L304&lt;=6,"medium",L304&gt;=7,"high")</f>
        <v>medium</v>
      </c>
    </row>
    <row r="305" spans="1:16" x14ac:dyDescent="0.3">
      <c r="A305">
        <v>13</v>
      </c>
      <c r="B305" t="s">
        <v>13</v>
      </c>
      <c r="C305">
        <v>7.5</v>
      </c>
      <c r="D305" t="s">
        <v>14</v>
      </c>
      <c r="E305">
        <v>8.6</v>
      </c>
      <c r="F305">
        <v>1.9</v>
      </c>
      <c r="G305">
        <v>3.33</v>
      </c>
      <c r="H305">
        <v>0.9</v>
      </c>
      <c r="I305" t="s">
        <v>19</v>
      </c>
      <c r="J305">
        <v>7</v>
      </c>
      <c r="K305">
        <v>3</v>
      </c>
      <c r="L305">
        <v>10</v>
      </c>
      <c r="M305">
        <v>0</v>
      </c>
      <c r="N305" t="str">
        <f t="shared" si="10"/>
        <v>13-15</v>
      </c>
      <c r="O305" t="str">
        <f t="shared" si="11"/>
        <v>healthy sleep</v>
      </c>
      <c r="P305" s="1" t="str" cm="1">
        <f t="array" ref="P305">_xlfn.IFS(L305&lt;=3,"low",L305&lt;=6,"medium",L305&gt;=7,"high")</f>
        <v>high</v>
      </c>
    </row>
    <row r="306" spans="1:16" x14ac:dyDescent="0.3">
      <c r="A306">
        <v>15</v>
      </c>
      <c r="B306" t="s">
        <v>16</v>
      </c>
      <c r="C306">
        <v>6.7</v>
      </c>
      <c r="D306" t="s">
        <v>14</v>
      </c>
      <c r="E306">
        <v>7</v>
      </c>
      <c r="F306">
        <v>2.2000000000000002</v>
      </c>
      <c r="G306">
        <v>2.61</v>
      </c>
      <c r="H306">
        <v>0.7</v>
      </c>
      <c r="I306" t="s">
        <v>18</v>
      </c>
      <c r="J306">
        <v>2</v>
      </c>
      <c r="K306">
        <v>7</v>
      </c>
      <c r="L306">
        <v>8</v>
      </c>
      <c r="M306">
        <v>0</v>
      </c>
      <c r="N306" t="str">
        <f t="shared" si="10"/>
        <v>13-15</v>
      </c>
      <c r="O306" t="str">
        <f t="shared" si="11"/>
        <v>healthy sleep</v>
      </c>
      <c r="P306" s="1" t="str" cm="1">
        <f t="array" ref="P306">_xlfn.IFS(L306&lt;=3,"low",L306&lt;=6,"medium",L306&gt;=7,"high")</f>
        <v>high</v>
      </c>
    </row>
    <row r="307" spans="1:16" x14ac:dyDescent="0.3">
      <c r="A307">
        <v>14</v>
      </c>
      <c r="B307" t="s">
        <v>13</v>
      </c>
      <c r="C307">
        <v>3.8</v>
      </c>
      <c r="D307" t="s">
        <v>14</v>
      </c>
      <c r="E307">
        <v>4.8</v>
      </c>
      <c r="F307">
        <v>1.9</v>
      </c>
      <c r="G307">
        <v>3.97</v>
      </c>
      <c r="H307">
        <v>0.2</v>
      </c>
      <c r="I307" t="s">
        <v>18</v>
      </c>
      <c r="J307">
        <v>4</v>
      </c>
      <c r="K307">
        <v>6</v>
      </c>
      <c r="L307">
        <v>6</v>
      </c>
      <c r="M307">
        <v>0</v>
      </c>
      <c r="N307" t="str">
        <f t="shared" si="10"/>
        <v>13-15</v>
      </c>
      <c r="O307" t="str">
        <f t="shared" si="11"/>
        <v>low sleep</v>
      </c>
      <c r="P307" s="1" t="str" cm="1">
        <f t="array" ref="P307">_xlfn.IFS(L307&lt;=3,"low",L307&lt;=6,"medium",L307&gt;=7,"high")</f>
        <v>medium</v>
      </c>
    </row>
    <row r="308" spans="1:16" x14ac:dyDescent="0.3">
      <c r="A308">
        <v>15</v>
      </c>
      <c r="B308" t="s">
        <v>13</v>
      </c>
      <c r="C308">
        <v>3</v>
      </c>
      <c r="D308" t="s">
        <v>14</v>
      </c>
      <c r="E308">
        <v>8.6</v>
      </c>
      <c r="F308">
        <v>1.5</v>
      </c>
      <c r="G308">
        <v>3.27</v>
      </c>
      <c r="H308">
        <v>0.8</v>
      </c>
      <c r="I308" t="s">
        <v>19</v>
      </c>
      <c r="J308">
        <v>10</v>
      </c>
      <c r="K308">
        <v>10</v>
      </c>
      <c r="L308">
        <v>4</v>
      </c>
      <c r="M308">
        <v>0</v>
      </c>
      <c r="N308" t="str">
        <f t="shared" si="10"/>
        <v>13-15</v>
      </c>
      <c r="O308" t="str">
        <f t="shared" si="11"/>
        <v>healthy sleep</v>
      </c>
      <c r="P308" s="1" t="str" cm="1">
        <f t="array" ref="P308">_xlfn.IFS(L308&lt;=3,"low",L308&lt;=6,"medium",L308&gt;=7,"high")</f>
        <v>medium</v>
      </c>
    </row>
    <row r="309" spans="1:16" x14ac:dyDescent="0.3">
      <c r="A309">
        <v>17</v>
      </c>
      <c r="B309" t="s">
        <v>13</v>
      </c>
      <c r="C309">
        <v>7.8</v>
      </c>
      <c r="D309" t="s">
        <v>17</v>
      </c>
      <c r="E309">
        <v>7.1</v>
      </c>
      <c r="F309">
        <v>0.8</v>
      </c>
      <c r="G309">
        <v>2.79</v>
      </c>
      <c r="H309">
        <v>1.4</v>
      </c>
      <c r="I309" t="s">
        <v>19</v>
      </c>
      <c r="J309">
        <v>9</v>
      </c>
      <c r="K309">
        <v>4</v>
      </c>
      <c r="L309">
        <v>2</v>
      </c>
      <c r="M309">
        <v>0</v>
      </c>
      <c r="N309" t="str">
        <f t="shared" si="10"/>
        <v>16-19</v>
      </c>
      <c r="O309" t="str">
        <f t="shared" si="11"/>
        <v>healthy sleep</v>
      </c>
      <c r="P309" s="1" t="str" cm="1">
        <f t="array" ref="P309">_xlfn.IFS(L309&lt;=3,"low",L309&lt;=6,"medium",L309&gt;=7,"high")</f>
        <v>low</v>
      </c>
    </row>
    <row r="310" spans="1:16" x14ac:dyDescent="0.3">
      <c r="A310">
        <v>14</v>
      </c>
      <c r="B310" t="s">
        <v>16</v>
      </c>
      <c r="C310">
        <v>7.8</v>
      </c>
      <c r="D310" t="s">
        <v>14</v>
      </c>
      <c r="E310">
        <v>4.3</v>
      </c>
      <c r="F310">
        <v>2.6</v>
      </c>
      <c r="G310">
        <v>3.33</v>
      </c>
      <c r="H310">
        <v>2</v>
      </c>
      <c r="I310" t="s">
        <v>18</v>
      </c>
      <c r="J310">
        <v>3</v>
      </c>
      <c r="K310">
        <v>7</v>
      </c>
      <c r="L310">
        <v>3</v>
      </c>
      <c r="M310">
        <v>0</v>
      </c>
      <c r="N310" t="str">
        <f t="shared" si="10"/>
        <v>13-15</v>
      </c>
      <c r="O310" t="str">
        <f t="shared" si="11"/>
        <v>low sleep</v>
      </c>
      <c r="P310" s="1" t="str" cm="1">
        <f t="array" ref="P310">_xlfn.IFS(L310&lt;=3,"low",L310&lt;=6,"medium",L310&gt;=7,"high")</f>
        <v>low</v>
      </c>
    </row>
    <row r="311" spans="1:16" x14ac:dyDescent="0.3">
      <c r="A311">
        <v>15</v>
      </c>
      <c r="B311" t="s">
        <v>16</v>
      </c>
      <c r="C311">
        <v>6.6</v>
      </c>
      <c r="D311" t="s">
        <v>17</v>
      </c>
      <c r="E311">
        <v>9</v>
      </c>
      <c r="F311">
        <v>1.5</v>
      </c>
      <c r="G311">
        <v>3.04</v>
      </c>
      <c r="H311">
        <v>1.5</v>
      </c>
      <c r="I311" t="s">
        <v>15</v>
      </c>
      <c r="J311">
        <v>4</v>
      </c>
      <c r="K311">
        <v>2</v>
      </c>
      <c r="L311">
        <v>7</v>
      </c>
      <c r="M311">
        <v>0</v>
      </c>
      <c r="N311" t="str">
        <f t="shared" si="10"/>
        <v>13-15</v>
      </c>
      <c r="O311" t="str">
        <f t="shared" si="11"/>
        <v>healthy sleep</v>
      </c>
      <c r="P311" s="1" t="str" cm="1">
        <f t="array" ref="P311">_xlfn.IFS(L311&lt;=3,"low",L311&lt;=6,"medium",L311&gt;=7,"high")</f>
        <v>high</v>
      </c>
    </row>
    <row r="312" spans="1:16" x14ac:dyDescent="0.3">
      <c r="A312">
        <v>13</v>
      </c>
      <c r="B312" t="s">
        <v>16</v>
      </c>
      <c r="C312">
        <v>7.3</v>
      </c>
      <c r="D312" t="s">
        <v>14</v>
      </c>
      <c r="E312">
        <v>6.4</v>
      </c>
      <c r="F312">
        <v>2.2999999999999998</v>
      </c>
      <c r="G312">
        <v>2.5299999999999998</v>
      </c>
      <c r="H312">
        <v>0.7</v>
      </c>
      <c r="I312" t="s">
        <v>15</v>
      </c>
      <c r="J312">
        <v>9</v>
      </c>
      <c r="K312">
        <v>9</v>
      </c>
      <c r="L312">
        <v>4</v>
      </c>
      <c r="M312">
        <v>0</v>
      </c>
      <c r="N312" t="str">
        <f t="shared" si="10"/>
        <v>13-15</v>
      </c>
      <c r="O312" t="str">
        <f t="shared" si="11"/>
        <v>healthy sleep</v>
      </c>
      <c r="P312" s="1" t="str" cm="1">
        <f t="array" ref="P312">_xlfn.IFS(L312&lt;=3,"low",L312&lt;=6,"medium",L312&gt;=7,"high")</f>
        <v>medium</v>
      </c>
    </row>
    <row r="313" spans="1:16" x14ac:dyDescent="0.3">
      <c r="A313">
        <v>19</v>
      </c>
      <c r="B313" t="s">
        <v>13</v>
      </c>
      <c r="C313">
        <v>6.6</v>
      </c>
      <c r="D313" t="s">
        <v>14</v>
      </c>
      <c r="E313">
        <v>4.4000000000000004</v>
      </c>
      <c r="F313">
        <v>1.1000000000000001</v>
      </c>
      <c r="G313">
        <v>2.29</v>
      </c>
      <c r="H313">
        <v>1</v>
      </c>
      <c r="I313" t="s">
        <v>15</v>
      </c>
      <c r="J313">
        <v>6</v>
      </c>
      <c r="K313">
        <v>8</v>
      </c>
      <c r="L313">
        <v>5</v>
      </c>
      <c r="M313">
        <v>0</v>
      </c>
      <c r="N313" t="str">
        <f t="shared" si="10"/>
        <v>16-19</v>
      </c>
      <c r="O313" t="str">
        <f t="shared" si="11"/>
        <v>low sleep</v>
      </c>
      <c r="P313" s="1" t="str" cm="1">
        <f t="array" ref="P313">_xlfn.IFS(L313&lt;=3,"low",L313&lt;=6,"medium",L313&gt;=7,"high")</f>
        <v>medium</v>
      </c>
    </row>
    <row r="314" spans="1:16" x14ac:dyDescent="0.3">
      <c r="A314">
        <v>19</v>
      </c>
      <c r="B314" t="s">
        <v>16</v>
      </c>
      <c r="C314">
        <v>5.6</v>
      </c>
      <c r="D314" t="s">
        <v>17</v>
      </c>
      <c r="E314">
        <v>8.1</v>
      </c>
      <c r="F314">
        <v>3</v>
      </c>
      <c r="G314">
        <v>2.75</v>
      </c>
      <c r="H314">
        <v>0.7</v>
      </c>
      <c r="I314" t="s">
        <v>19</v>
      </c>
      <c r="J314">
        <v>6</v>
      </c>
      <c r="K314">
        <v>3</v>
      </c>
      <c r="L314">
        <v>4</v>
      </c>
      <c r="M314">
        <v>0</v>
      </c>
      <c r="N314" t="str">
        <f t="shared" si="10"/>
        <v>16-19</v>
      </c>
      <c r="O314" t="str">
        <f t="shared" si="11"/>
        <v>healthy sleep</v>
      </c>
      <c r="P314" s="1" t="str" cm="1">
        <f t="array" ref="P314">_xlfn.IFS(L314&lt;=3,"low",L314&lt;=6,"medium",L314&gt;=7,"high")</f>
        <v>medium</v>
      </c>
    </row>
    <row r="315" spans="1:16" x14ac:dyDescent="0.3">
      <c r="A315">
        <v>13</v>
      </c>
      <c r="B315" t="s">
        <v>16</v>
      </c>
      <c r="C315">
        <v>8</v>
      </c>
      <c r="D315" t="s">
        <v>14</v>
      </c>
      <c r="E315">
        <v>5.4</v>
      </c>
      <c r="F315">
        <v>2.8</v>
      </c>
      <c r="G315">
        <v>3.1</v>
      </c>
      <c r="H315">
        <v>1.9</v>
      </c>
      <c r="I315" t="s">
        <v>18</v>
      </c>
      <c r="J315">
        <v>6</v>
      </c>
      <c r="K315">
        <v>10</v>
      </c>
      <c r="L315">
        <v>10</v>
      </c>
      <c r="M315">
        <v>0</v>
      </c>
      <c r="N315" t="str">
        <f t="shared" si="10"/>
        <v>13-15</v>
      </c>
      <c r="O315" t="str">
        <f t="shared" si="11"/>
        <v>low sleep</v>
      </c>
      <c r="P315" s="1" t="str" cm="1">
        <f t="array" ref="P315">_xlfn.IFS(L315&lt;=3,"low",L315&lt;=6,"medium",L315&gt;=7,"high")</f>
        <v>high</v>
      </c>
    </row>
    <row r="316" spans="1:16" x14ac:dyDescent="0.3">
      <c r="A316">
        <v>13</v>
      </c>
      <c r="B316" t="s">
        <v>16</v>
      </c>
      <c r="C316">
        <v>1.3</v>
      </c>
      <c r="D316" t="s">
        <v>14</v>
      </c>
      <c r="E316">
        <v>8.9</v>
      </c>
      <c r="F316">
        <v>2.6</v>
      </c>
      <c r="G316">
        <v>3.54</v>
      </c>
      <c r="H316">
        <v>1.2</v>
      </c>
      <c r="I316" t="s">
        <v>18</v>
      </c>
      <c r="J316">
        <v>8</v>
      </c>
      <c r="K316">
        <v>5</v>
      </c>
      <c r="L316">
        <v>2</v>
      </c>
      <c r="M316">
        <v>0</v>
      </c>
      <c r="N316" t="str">
        <f t="shared" si="10"/>
        <v>13-15</v>
      </c>
      <c r="O316" t="str">
        <f t="shared" si="11"/>
        <v>healthy sleep</v>
      </c>
      <c r="P316" s="1" t="str" cm="1">
        <f t="array" ref="P316">_xlfn.IFS(L316&lt;=3,"low",L316&lt;=6,"medium",L316&gt;=7,"high")</f>
        <v>low</v>
      </c>
    </row>
    <row r="317" spans="1:16" x14ac:dyDescent="0.3">
      <c r="A317">
        <v>15</v>
      </c>
      <c r="B317" t="s">
        <v>16</v>
      </c>
      <c r="C317">
        <v>5.9</v>
      </c>
      <c r="D317" t="s">
        <v>20</v>
      </c>
      <c r="E317">
        <v>6.9</v>
      </c>
      <c r="F317">
        <v>1.4</v>
      </c>
      <c r="G317">
        <v>3.62</v>
      </c>
      <c r="H317">
        <v>1.5</v>
      </c>
      <c r="I317" t="s">
        <v>19</v>
      </c>
      <c r="J317">
        <v>3</v>
      </c>
      <c r="K317">
        <v>9</v>
      </c>
      <c r="L317">
        <v>1</v>
      </c>
      <c r="M317">
        <v>0</v>
      </c>
      <c r="N317" t="str">
        <f t="shared" si="10"/>
        <v>13-15</v>
      </c>
      <c r="O317" t="str">
        <f t="shared" si="11"/>
        <v>healthy sleep</v>
      </c>
      <c r="P317" s="1" t="str" cm="1">
        <f t="array" ref="P317">_xlfn.IFS(L317&lt;=3,"low",L317&lt;=6,"medium",L317&gt;=7,"high")</f>
        <v>low</v>
      </c>
    </row>
    <row r="318" spans="1:16" x14ac:dyDescent="0.3">
      <c r="A318">
        <v>14</v>
      </c>
      <c r="B318" t="s">
        <v>16</v>
      </c>
      <c r="C318">
        <v>2</v>
      </c>
      <c r="D318" t="s">
        <v>14</v>
      </c>
      <c r="E318">
        <v>8.8000000000000007</v>
      </c>
      <c r="F318">
        <v>0.9</v>
      </c>
      <c r="G318">
        <v>3.61</v>
      </c>
      <c r="H318">
        <v>0.7</v>
      </c>
      <c r="I318" t="s">
        <v>18</v>
      </c>
      <c r="J318">
        <v>10</v>
      </c>
      <c r="K318">
        <v>2</v>
      </c>
      <c r="L318">
        <v>3</v>
      </c>
      <c r="M318">
        <v>0</v>
      </c>
      <c r="N318" t="str">
        <f t="shared" si="10"/>
        <v>13-15</v>
      </c>
      <c r="O318" t="str">
        <f t="shared" si="11"/>
        <v>healthy sleep</v>
      </c>
      <c r="P318" s="1" t="str" cm="1">
        <f t="array" ref="P318">_xlfn.IFS(L318&lt;=3,"low",L318&lt;=6,"medium",L318&gt;=7,"high")</f>
        <v>low</v>
      </c>
    </row>
    <row r="319" spans="1:16" x14ac:dyDescent="0.3">
      <c r="A319">
        <v>19</v>
      </c>
      <c r="B319" t="s">
        <v>16</v>
      </c>
      <c r="C319">
        <v>1.4</v>
      </c>
      <c r="D319" t="s">
        <v>14</v>
      </c>
      <c r="E319">
        <v>6.6</v>
      </c>
      <c r="F319">
        <v>1.8</v>
      </c>
      <c r="G319">
        <v>3.07</v>
      </c>
      <c r="H319">
        <v>0</v>
      </c>
      <c r="I319" t="s">
        <v>15</v>
      </c>
      <c r="J319">
        <v>5</v>
      </c>
      <c r="K319">
        <v>2</v>
      </c>
      <c r="L319">
        <v>6</v>
      </c>
      <c r="M319">
        <v>0</v>
      </c>
      <c r="N319" t="str">
        <f t="shared" si="10"/>
        <v>16-19</v>
      </c>
      <c r="O319" t="str">
        <f t="shared" si="11"/>
        <v>healthy sleep</v>
      </c>
      <c r="P319" s="1" t="str" cm="1">
        <f t="array" ref="P319">_xlfn.IFS(L319&lt;=3,"low",L319&lt;=6,"medium",L319&gt;=7,"high")</f>
        <v>medium</v>
      </c>
    </row>
    <row r="320" spans="1:16" x14ac:dyDescent="0.3">
      <c r="A320">
        <v>13</v>
      </c>
      <c r="B320" t="s">
        <v>16</v>
      </c>
      <c r="C320">
        <v>6.4</v>
      </c>
      <c r="D320" t="s">
        <v>20</v>
      </c>
      <c r="E320">
        <v>6.7</v>
      </c>
      <c r="F320">
        <v>0.8</v>
      </c>
      <c r="G320">
        <v>3.9</v>
      </c>
      <c r="H320">
        <v>1.9</v>
      </c>
      <c r="I320" t="s">
        <v>18</v>
      </c>
      <c r="J320">
        <v>3</v>
      </c>
      <c r="K320">
        <v>3</v>
      </c>
      <c r="L320">
        <v>10</v>
      </c>
      <c r="M320">
        <v>0</v>
      </c>
      <c r="N320" t="str">
        <f t="shared" si="10"/>
        <v>13-15</v>
      </c>
      <c r="O320" t="str">
        <f t="shared" si="11"/>
        <v>healthy sleep</v>
      </c>
      <c r="P320" s="1" t="str" cm="1">
        <f t="array" ref="P320">_xlfn.IFS(L320&lt;=3,"low",L320&lt;=6,"medium",L320&gt;=7,"high")</f>
        <v>high</v>
      </c>
    </row>
    <row r="321" spans="1:16" x14ac:dyDescent="0.3">
      <c r="A321">
        <v>15</v>
      </c>
      <c r="B321" t="s">
        <v>13</v>
      </c>
      <c r="C321">
        <v>7.6</v>
      </c>
      <c r="D321" t="s">
        <v>17</v>
      </c>
      <c r="E321">
        <v>7.9</v>
      </c>
      <c r="F321">
        <v>0.8</v>
      </c>
      <c r="G321">
        <v>3.55</v>
      </c>
      <c r="H321">
        <v>1.9</v>
      </c>
      <c r="I321" t="s">
        <v>18</v>
      </c>
      <c r="J321">
        <v>10</v>
      </c>
      <c r="K321">
        <v>8</v>
      </c>
      <c r="L321">
        <v>6</v>
      </c>
      <c r="M321">
        <v>0</v>
      </c>
      <c r="N321" t="str">
        <f t="shared" si="10"/>
        <v>13-15</v>
      </c>
      <c r="O321" t="str">
        <f t="shared" si="11"/>
        <v>healthy sleep</v>
      </c>
      <c r="P321" s="1" t="str" cm="1">
        <f t="array" ref="P321">_xlfn.IFS(L321&lt;=3,"low",L321&lt;=6,"medium",L321&gt;=7,"high")</f>
        <v>medium</v>
      </c>
    </row>
    <row r="322" spans="1:16" x14ac:dyDescent="0.3">
      <c r="A322">
        <v>16</v>
      </c>
      <c r="B322" t="s">
        <v>13</v>
      </c>
      <c r="C322">
        <v>7.9</v>
      </c>
      <c r="D322" t="s">
        <v>20</v>
      </c>
      <c r="E322">
        <v>5.5</v>
      </c>
      <c r="F322">
        <v>0.6</v>
      </c>
      <c r="G322">
        <v>3.65</v>
      </c>
      <c r="H322">
        <v>1.4</v>
      </c>
      <c r="I322" t="s">
        <v>15</v>
      </c>
      <c r="J322">
        <v>1</v>
      </c>
      <c r="K322">
        <v>4</v>
      </c>
      <c r="L322">
        <v>1</v>
      </c>
      <c r="M322">
        <v>0</v>
      </c>
      <c r="N322" t="str">
        <f t="shared" si="10"/>
        <v>16-19</v>
      </c>
      <c r="O322" t="str">
        <f t="shared" si="11"/>
        <v>low sleep</v>
      </c>
      <c r="P322" s="1" t="str" cm="1">
        <f t="array" ref="P322">_xlfn.IFS(L322&lt;=3,"low",L322&lt;=6,"medium",L322&gt;=7,"high")</f>
        <v>low</v>
      </c>
    </row>
    <row r="323" spans="1:16" x14ac:dyDescent="0.3">
      <c r="A323">
        <v>15</v>
      </c>
      <c r="B323" t="s">
        <v>13</v>
      </c>
      <c r="C323">
        <v>5.0999999999999996</v>
      </c>
      <c r="D323" t="s">
        <v>14</v>
      </c>
      <c r="E323">
        <v>4.0999999999999996</v>
      </c>
      <c r="F323">
        <v>2.8</v>
      </c>
      <c r="G323">
        <v>3.79</v>
      </c>
      <c r="H323">
        <v>0.8</v>
      </c>
      <c r="I323" t="s">
        <v>19</v>
      </c>
      <c r="J323">
        <v>9</v>
      </c>
      <c r="K323">
        <v>7</v>
      </c>
      <c r="L323">
        <v>3</v>
      </c>
      <c r="M323">
        <v>1</v>
      </c>
      <c r="N323" t="str">
        <f t="shared" ref="N323:N386" si="12">IF(A323&lt;=15,"13-15","16-19")</f>
        <v>13-15</v>
      </c>
      <c r="O323" t="str">
        <f t="shared" ref="O323:O386" si="13">IF(E323&lt;=6,"low sleep","healthy sleep")</f>
        <v>low sleep</v>
      </c>
      <c r="P323" s="1" t="str" cm="1">
        <f t="array" ref="P323">_xlfn.IFS(L323&lt;=3,"low",L323&lt;=6,"medium",L323&gt;=7,"high")</f>
        <v>low</v>
      </c>
    </row>
    <row r="324" spans="1:16" x14ac:dyDescent="0.3">
      <c r="A324">
        <v>18</v>
      </c>
      <c r="B324" t="s">
        <v>13</v>
      </c>
      <c r="C324">
        <v>6.4</v>
      </c>
      <c r="D324" t="s">
        <v>17</v>
      </c>
      <c r="E324">
        <v>7.4</v>
      </c>
      <c r="F324">
        <v>1.5</v>
      </c>
      <c r="G324">
        <v>2.92</v>
      </c>
      <c r="H324">
        <v>0.6</v>
      </c>
      <c r="I324" t="s">
        <v>15</v>
      </c>
      <c r="J324">
        <v>9</v>
      </c>
      <c r="K324">
        <v>2</v>
      </c>
      <c r="L324">
        <v>5</v>
      </c>
      <c r="M324">
        <v>0</v>
      </c>
      <c r="N324" t="str">
        <f t="shared" si="12"/>
        <v>16-19</v>
      </c>
      <c r="O324" t="str">
        <f t="shared" si="13"/>
        <v>healthy sleep</v>
      </c>
      <c r="P324" s="1" t="str" cm="1">
        <f t="array" ref="P324">_xlfn.IFS(L324&lt;=3,"low",L324&lt;=6,"medium",L324&gt;=7,"high")</f>
        <v>medium</v>
      </c>
    </row>
    <row r="325" spans="1:16" x14ac:dyDescent="0.3">
      <c r="A325">
        <v>13</v>
      </c>
      <c r="B325" t="s">
        <v>16</v>
      </c>
      <c r="C325">
        <v>7.2</v>
      </c>
      <c r="D325" t="s">
        <v>20</v>
      </c>
      <c r="E325">
        <v>6.7</v>
      </c>
      <c r="F325">
        <v>0.9</v>
      </c>
      <c r="G325">
        <v>2.36</v>
      </c>
      <c r="H325">
        <v>0.6</v>
      </c>
      <c r="I325" t="s">
        <v>15</v>
      </c>
      <c r="J325">
        <v>8</v>
      </c>
      <c r="K325">
        <v>8</v>
      </c>
      <c r="L325">
        <v>1</v>
      </c>
      <c r="M325">
        <v>0</v>
      </c>
      <c r="N325" t="str">
        <f t="shared" si="12"/>
        <v>13-15</v>
      </c>
      <c r="O325" t="str">
        <f t="shared" si="13"/>
        <v>healthy sleep</v>
      </c>
      <c r="P325" s="1" t="str" cm="1">
        <f t="array" ref="P325">_xlfn.IFS(L325&lt;=3,"low",L325&lt;=6,"medium",L325&gt;=7,"high")</f>
        <v>low</v>
      </c>
    </row>
    <row r="326" spans="1:16" x14ac:dyDescent="0.3">
      <c r="A326">
        <v>18</v>
      </c>
      <c r="B326" t="s">
        <v>16</v>
      </c>
      <c r="C326">
        <v>2.9</v>
      </c>
      <c r="D326" t="s">
        <v>20</v>
      </c>
      <c r="E326">
        <v>4.5999999999999996</v>
      </c>
      <c r="F326">
        <v>2.2999999999999998</v>
      </c>
      <c r="G326">
        <v>3.03</v>
      </c>
      <c r="H326">
        <v>0.3</v>
      </c>
      <c r="I326" t="s">
        <v>15</v>
      </c>
      <c r="J326">
        <v>6</v>
      </c>
      <c r="K326">
        <v>1</v>
      </c>
      <c r="L326">
        <v>9</v>
      </c>
      <c r="M326">
        <v>0</v>
      </c>
      <c r="N326" t="str">
        <f t="shared" si="12"/>
        <v>16-19</v>
      </c>
      <c r="O326" t="str">
        <f t="shared" si="13"/>
        <v>low sleep</v>
      </c>
      <c r="P326" s="1" t="str" cm="1">
        <f t="array" ref="P326">_xlfn.IFS(L326&lt;=3,"low",L326&lt;=6,"medium",L326&gt;=7,"high")</f>
        <v>high</v>
      </c>
    </row>
    <row r="327" spans="1:16" x14ac:dyDescent="0.3">
      <c r="A327">
        <v>19</v>
      </c>
      <c r="B327" t="s">
        <v>13</v>
      </c>
      <c r="C327">
        <v>1.5</v>
      </c>
      <c r="D327" t="s">
        <v>14</v>
      </c>
      <c r="E327">
        <v>7.3</v>
      </c>
      <c r="F327">
        <v>2.7</v>
      </c>
      <c r="G327">
        <v>2.61</v>
      </c>
      <c r="H327">
        <v>0.9</v>
      </c>
      <c r="I327" t="s">
        <v>15</v>
      </c>
      <c r="J327">
        <v>5</v>
      </c>
      <c r="K327">
        <v>7</v>
      </c>
      <c r="L327">
        <v>10</v>
      </c>
      <c r="M327">
        <v>0</v>
      </c>
      <c r="N327" t="str">
        <f t="shared" si="12"/>
        <v>16-19</v>
      </c>
      <c r="O327" t="str">
        <f t="shared" si="13"/>
        <v>healthy sleep</v>
      </c>
      <c r="P327" s="1" t="str" cm="1">
        <f t="array" ref="P327">_xlfn.IFS(L327&lt;=3,"low",L327&lt;=6,"medium",L327&gt;=7,"high")</f>
        <v>high</v>
      </c>
    </row>
    <row r="328" spans="1:16" x14ac:dyDescent="0.3">
      <c r="A328">
        <v>14</v>
      </c>
      <c r="B328" t="s">
        <v>13</v>
      </c>
      <c r="C328">
        <v>5.4</v>
      </c>
      <c r="D328" t="s">
        <v>20</v>
      </c>
      <c r="E328">
        <v>8.1</v>
      </c>
      <c r="F328">
        <v>1.8</v>
      </c>
      <c r="G328">
        <v>2.5299999999999998</v>
      </c>
      <c r="H328">
        <v>0.9</v>
      </c>
      <c r="I328" t="s">
        <v>19</v>
      </c>
      <c r="J328">
        <v>5</v>
      </c>
      <c r="K328">
        <v>8</v>
      </c>
      <c r="L328">
        <v>8</v>
      </c>
      <c r="M328">
        <v>0</v>
      </c>
      <c r="N328" t="str">
        <f t="shared" si="12"/>
        <v>13-15</v>
      </c>
      <c r="O328" t="str">
        <f t="shared" si="13"/>
        <v>healthy sleep</v>
      </c>
      <c r="P328" s="1" t="str" cm="1">
        <f t="array" ref="P328">_xlfn.IFS(L328&lt;=3,"low",L328&lt;=6,"medium",L328&gt;=7,"high")</f>
        <v>high</v>
      </c>
    </row>
    <row r="329" spans="1:16" x14ac:dyDescent="0.3">
      <c r="A329">
        <v>13</v>
      </c>
      <c r="B329" t="s">
        <v>13</v>
      </c>
      <c r="C329">
        <v>7.2</v>
      </c>
      <c r="D329" t="s">
        <v>17</v>
      </c>
      <c r="E329">
        <v>4.0999999999999996</v>
      </c>
      <c r="F329">
        <v>1.3</v>
      </c>
      <c r="G329">
        <v>2.4900000000000002</v>
      </c>
      <c r="H329">
        <v>1.8</v>
      </c>
      <c r="I329" t="s">
        <v>19</v>
      </c>
      <c r="J329">
        <v>5</v>
      </c>
      <c r="K329">
        <v>5</v>
      </c>
      <c r="L329">
        <v>4</v>
      </c>
      <c r="M329">
        <v>0</v>
      </c>
      <c r="N329" t="str">
        <f t="shared" si="12"/>
        <v>13-15</v>
      </c>
      <c r="O329" t="str">
        <f t="shared" si="13"/>
        <v>low sleep</v>
      </c>
      <c r="P329" s="1" t="str" cm="1">
        <f t="array" ref="P329">_xlfn.IFS(L329&lt;=3,"low",L329&lt;=6,"medium",L329&gt;=7,"high")</f>
        <v>medium</v>
      </c>
    </row>
    <row r="330" spans="1:16" x14ac:dyDescent="0.3">
      <c r="A330">
        <v>15</v>
      </c>
      <c r="B330" t="s">
        <v>16</v>
      </c>
      <c r="C330">
        <v>7</v>
      </c>
      <c r="D330" t="s">
        <v>14</v>
      </c>
      <c r="E330">
        <v>5.9</v>
      </c>
      <c r="F330">
        <v>1.3</v>
      </c>
      <c r="G330">
        <v>2.91</v>
      </c>
      <c r="H330">
        <v>1.2</v>
      </c>
      <c r="I330" t="s">
        <v>15</v>
      </c>
      <c r="J330">
        <v>10</v>
      </c>
      <c r="K330">
        <v>2</v>
      </c>
      <c r="L330">
        <v>6</v>
      </c>
      <c r="M330">
        <v>0</v>
      </c>
      <c r="N330" t="str">
        <f t="shared" si="12"/>
        <v>13-15</v>
      </c>
      <c r="O330" t="str">
        <f t="shared" si="13"/>
        <v>low sleep</v>
      </c>
      <c r="P330" s="1" t="str" cm="1">
        <f t="array" ref="P330">_xlfn.IFS(L330&lt;=3,"low",L330&lt;=6,"medium",L330&gt;=7,"high")</f>
        <v>medium</v>
      </c>
    </row>
    <row r="331" spans="1:16" x14ac:dyDescent="0.3">
      <c r="A331">
        <v>17</v>
      </c>
      <c r="B331" t="s">
        <v>16</v>
      </c>
      <c r="C331">
        <v>7.5</v>
      </c>
      <c r="D331" t="s">
        <v>17</v>
      </c>
      <c r="E331">
        <v>6.7</v>
      </c>
      <c r="F331">
        <v>1.1000000000000001</v>
      </c>
      <c r="G331">
        <v>3.77</v>
      </c>
      <c r="H331">
        <v>0.6</v>
      </c>
      <c r="I331" t="s">
        <v>18</v>
      </c>
      <c r="J331">
        <v>3</v>
      </c>
      <c r="K331">
        <v>8</v>
      </c>
      <c r="L331">
        <v>6</v>
      </c>
      <c r="M331">
        <v>0</v>
      </c>
      <c r="N331" t="str">
        <f t="shared" si="12"/>
        <v>16-19</v>
      </c>
      <c r="O331" t="str">
        <f t="shared" si="13"/>
        <v>healthy sleep</v>
      </c>
      <c r="P331" s="1" t="str" cm="1">
        <f t="array" ref="P331">_xlfn.IFS(L331&lt;=3,"low",L331&lt;=6,"medium",L331&gt;=7,"high")</f>
        <v>medium</v>
      </c>
    </row>
    <row r="332" spans="1:16" x14ac:dyDescent="0.3">
      <c r="A332">
        <v>14</v>
      </c>
      <c r="B332" t="s">
        <v>13</v>
      </c>
      <c r="C332">
        <v>1.4</v>
      </c>
      <c r="D332" t="s">
        <v>20</v>
      </c>
      <c r="E332">
        <v>7</v>
      </c>
      <c r="F332">
        <v>1.8</v>
      </c>
      <c r="G332">
        <v>2.69</v>
      </c>
      <c r="H332">
        <v>0.9</v>
      </c>
      <c r="I332" t="s">
        <v>15</v>
      </c>
      <c r="J332">
        <v>10</v>
      </c>
      <c r="K332">
        <v>4</v>
      </c>
      <c r="L332">
        <v>2</v>
      </c>
      <c r="M332">
        <v>0</v>
      </c>
      <c r="N332" t="str">
        <f t="shared" si="12"/>
        <v>13-15</v>
      </c>
      <c r="O332" t="str">
        <f t="shared" si="13"/>
        <v>healthy sleep</v>
      </c>
      <c r="P332" s="1" t="str" cm="1">
        <f t="array" ref="P332">_xlfn.IFS(L332&lt;=3,"low",L332&lt;=6,"medium",L332&gt;=7,"high")</f>
        <v>low</v>
      </c>
    </row>
    <row r="333" spans="1:16" x14ac:dyDescent="0.3">
      <c r="A333">
        <v>16</v>
      </c>
      <c r="B333" t="s">
        <v>16</v>
      </c>
      <c r="C333">
        <v>6.1</v>
      </c>
      <c r="D333" t="s">
        <v>14</v>
      </c>
      <c r="E333">
        <v>8.1</v>
      </c>
      <c r="F333">
        <v>1.4</v>
      </c>
      <c r="G333">
        <v>3.27</v>
      </c>
      <c r="H333">
        <v>1.6</v>
      </c>
      <c r="I333" t="s">
        <v>15</v>
      </c>
      <c r="J333">
        <v>10</v>
      </c>
      <c r="K333">
        <v>1</v>
      </c>
      <c r="L333">
        <v>4</v>
      </c>
      <c r="M333">
        <v>0</v>
      </c>
      <c r="N333" t="str">
        <f t="shared" si="12"/>
        <v>16-19</v>
      </c>
      <c r="O333" t="str">
        <f t="shared" si="13"/>
        <v>healthy sleep</v>
      </c>
      <c r="P333" s="1" t="str" cm="1">
        <f t="array" ref="P333">_xlfn.IFS(L333&lt;=3,"low",L333&lt;=6,"medium",L333&gt;=7,"high")</f>
        <v>medium</v>
      </c>
    </row>
    <row r="334" spans="1:16" x14ac:dyDescent="0.3">
      <c r="A334">
        <v>16</v>
      </c>
      <c r="B334" t="s">
        <v>16</v>
      </c>
      <c r="C334">
        <v>1.4</v>
      </c>
      <c r="D334" t="s">
        <v>20</v>
      </c>
      <c r="E334">
        <v>5.2</v>
      </c>
      <c r="F334">
        <v>1.7</v>
      </c>
      <c r="G334">
        <v>3.82</v>
      </c>
      <c r="H334">
        <v>0.7</v>
      </c>
      <c r="I334" t="s">
        <v>15</v>
      </c>
      <c r="J334">
        <v>10</v>
      </c>
      <c r="K334">
        <v>4</v>
      </c>
      <c r="L334">
        <v>3</v>
      </c>
      <c r="M334">
        <v>0</v>
      </c>
      <c r="N334" t="str">
        <f t="shared" si="12"/>
        <v>16-19</v>
      </c>
      <c r="O334" t="str">
        <f t="shared" si="13"/>
        <v>low sleep</v>
      </c>
      <c r="P334" s="1" t="str" cm="1">
        <f t="array" ref="P334">_xlfn.IFS(L334&lt;=3,"low",L334&lt;=6,"medium",L334&gt;=7,"high")</f>
        <v>low</v>
      </c>
    </row>
    <row r="335" spans="1:16" x14ac:dyDescent="0.3">
      <c r="A335">
        <v>13</v>
      </c>
      <c r="B335" t="s">
        <v>13</v>
      </c>
      <c r="C335">
        <v>5.4</v>
      </c>
      <c r="D335" t="s">
        <v>14</v>
      </c>
      <c r="E335">
        <v>4.0999999999999996</v>
      </c>
      <c r="F335">
        <v>2</v>
      </c>
      <c r="G335">
        <v>3.82</v>
      </c>
      <c r="H335">
        <v>1.9</v>
      </c>
      <c r="I335" t="s">
        <v>19</v>
      </c>
      <c r="J335">
        <v>6</v>
      </c>
      <c r="K335">
        <v>10</v>
      </c>
      <c r="L335">
        <v>8</v>
      </c>
      <c r="M335">
        <v>0</v>
      </c>
      <c r="N335" t="str">
        <f t="shared" si="12"/>
        <v>13-15</v>
      </c>
      <c r="O335" t="str">
        <f t="shared" si="13"/>
        <v>low sleep</v>
      </c>
      <c r="P335" s="1" t="str" cm="1">
        <f t="array" ref="P335">_xlfn.IFS(L335&lt;=3,"low",L335&lt;=6,"medium",L335&gt;=7,"high")</f>
        <v>high</v>
      </c>
    </row>
    <row r="336" spans="1:16" x14ac:dyDescent="0.3">
      <c r="A336">
        <v>13</v>
      </c>
      <c r="B336" t="s">
        <v>16</v>
      </c>
      <c r="C336">
        <v>2.1</v>
      </c>
      <c r="D336" t="s">
        <v>14</v>
      </c>
      <c r="E336">
        <v>8.1999999999999993</v>
      </c>
      <c r="F336">
        <v>0.9</v>
      </c>
      <c r="G336">
        <v>2.48</v>
      </c>
      <c r="H336">
        <v>0.5</v>
      </c>
      <c r="I336" t="s">
        <v>18</v>
      </c>
      <c r="J336">
        <v>2</v>
      </c>
      <c r="K336">
        <v>7</v>
      </c>
      <c r="L336">
        <v>6</v>
      </c>
      <c r="M336">
        <v>0</v>
      </c>
      <c r="N336" t="str">
        <f t="shared" si="12"/>
        <v>13-15</v>
      </c>
      <c r="O336" t="str">
        <f t="shared" si="13"/>
        <v>healthy sleep</v>
      </c>
      <c r="P336" s="1" t="str" cm="1">
        <f t="array" ref="P336">_xlfn.IFS(L336&lt;=3,"low",L336&lt;=6,"medium",L336&gt;=7,"high")</f>
        <v>medium</v>
      </c>
    </row>
    <row r="337" spans="1:16" x14ac:dyDescent="0.3">
      <c r="A337">
        <v>14</v>
      </c>
      <c r="B337" t="s">
        <v>13</v>
      </c>
      <c r="C337">
        <v>5</v>
      </c>
      <c r="D337" t="s">
        <v>20</v>
      </c>
      <c r="E337">
        <v>4.3</v>
      </c>
      <c r="F337">
        <v>1.1000000000000001</v>
      </c>
      <c r="G337">
        <v>3.8</v>
      </c>
      <c r="H337">
        <v>0.4</v>
      </c>
      <c r="I337" t="s">
        <v>19</v>
      </c>
      <c r="J337">
        <v>9</v>
      </c>
      <c r="K337">
        <v>4</v>
      </c>
      <c r="L337">
        <v>10</v>
      </c>
      <c r="M337">
        <v>0</v>
      </c>
      <c r="N337" t="str">
        <f t="shared" si="12"/>
        <v>13-15</v>
      </c>
      <c r="O337" t="str">
        <f t="shared" si="13"/>
        <v>low sleep</v>
      </c>
      <c r="P337" s="1" t="str" cm="1">
        <f t="array" ref="P337">_xlfn.IFS(L337&lt;=3,"low",L337&lt;=6,"medium",L337&gt;=7,"high")</f>
        <v>high</v>
      </c>
    </row>
    <row r="338" spans="1:16" x14ac:dyDescent="0.3">
      <c r="A338">
        <v>13</v>
      </c>
      <c r="B338" t="s">
        <v>16</v>
      </c>
      <c r="C338">
        <v>4.4000000000000004</v>
      </c>
      <c r="D338" t="s">
        <v>14</v>
      </c>
      <c r="E338">
        <v>4.3</v>
      </c>
      <c r="F338">
        <v>1.9</v>
      </c>
      <c r="G338">
        <v>3.51</v>
      </c>
      <c r="H338">
        <v>0.9</v>
      </c>
      <c r="I338" t="s">
        <v>19</v>
      </c>
      <c r="J338">
        <v>8</v>
      </c>
      <c r="K338">
        <v>4</v>
      </c>
      <c r="L338">
        <v>3</v>
      </c>
      <c r="M338">
        <v>0</v>
      </c>
      <c r="N338" t="str">
        <f t="shared" si="12"/>
        <v>13-15</v>
      </c>
      <c r="O338" t="str">
        <f t="shared" si="13"/>
        <v>low sleep</v>
      </c>
      <c r="P338" s="1" t="str" cm="1">
        <f t="array" ref="P338">_xlfn.IFS(L338&lt;=3,"low",L338&lt;=6,"medium",L338&gt;=7,"high")</f>
        <v>low</v>
      </c>
    </row>
    <row r="339" spans="1:16" x14ac:dyDescent="0.3">
      <c r="A339">
        <v>13</v>
      </c>
      <c r="B339" t="s">
        <v>13</v>
      </c>
      <c r="C339">
        <v>3.4</v>
      </c>
      <c r="D339" t="s">
        <v>20</v>
      </c>
      <c r="E339">
        <v>8.6</v>
      </c>
      <c r="F339">
        <v>0.8</v>
      </c>
      <c r="G339">
        <v>3.08</v>
      </c>
      <c r="H339">
        <v>0.4</v>
      </c>
      <c r="I339" t="s">
        <v>15</v>
      </c>
      <c r="J339">
        <v>7</v>
      </c>
      <c r="K339">
        <v>10</v>
      </c>
      <c r="L339">
        <v>6</v>
      </c>
      <c r="M339">
        <v>0</v>
      </c>
      <c r="N339" t="str">
        <f t="shared" si="12"/>
        <v>13-15</v>
      </c>
      <c r="O339" t="str">
        <f t="shared" si="13"/>
        <v>healthy sleep</v>
      </c>
      <c r="P339" s="1" t="str" cm="1">
        <f t="array" ref="P339">_xlfn.IFS(L339&lt;=3,"low",L339&lt;=6,"medium",L339&gt;=7,"high")</f>
        <v>medium</v>
      </c>
    </row>
    <row r="340" spans="1:16" x14ac:dyDescent="0.3">
      <c r="A340">
        <v>18</v>
      </c>
      <c r="B340" t="s">
        <v>13</v>
      </c>
      <c r="C340">
        <v>1.2</v>
      </c>
      <c r="D340" t="s">
        <v>14</v>
      </c>
      <c r="E340">
        <v>6.4</v>
      </c>
      <c r="F340">
        <v>1.3</v>
      </c>
      <c r="G340">
        <v>3.03</v>
      </c>
      <c r="H340">
        <v>1</v>
      </c>
      <c r="I340" t="s">
        <v>15</v>
      </c>
      <c r="J340">
        <v>5</v>
      </c>
      <c r="K340">
        <v>9</v>
      </c>
      <c r="L340">
        <v>10</v>
      </c>
      <c r="M340">
        <v>0</v>
      </c>
      <c r="N340" t="str">
        <f t="shared" si="12"/>
        <v>16-19</v>
      </c>
      <c r="O340" t="str">
        <f t="shared" si="13"/>
        <v>healthy sleep</v>
      </c>
      <c r="P340" s="1" t="str" cm="1">
        <f t="array" ref="P340">_xlfn.IFS(L340&lt;=3,"low",L340&lt;=6,"medium",L340&gt;=7,"high")</f>
        <v>high</v>
      </c>
    </row>
    <row r="341" spans="1:16" x14ac:dyDescent="0.3">
      <c r="A341">
        <v>14</v>
      </c>
      <c r="B341" t="s">
        <v>13</v>
      </c>
      <c r="C341">
        <v>5.5</v>
      </c>
      <c r="D341" t="s">
        <v>17</v>
      </c>
      <c r="E341">
        <v>7.3</v>
      </c>
      <c r="F341">
        <v>1.4</v>
      </c>
      <c r="G341">
        <v>2.61</v>
      </c>
      <c r="H341">
        <v>1.2</v>
      </c>
      <c r="I341" t="s">
        <v>18</v>
      </c>
      <c r="J341">
        <v>5</v>
      </c>
      <c r="K341">
        <v>7</v>
      </c>
      <c r="L341">
        <v>1</v>
      </c>
      <c r="M341">
        <v>0</v>
      </c>
      <c r="N341" t="str">
        <f t="shared" si="12"/>
        <v>13-15</v>
      </c>
      <c r="O341" t="str">
        <f t="shared" si="13"/>
        <v>healthy sleep</v>
      </c>
      <c r="P341" s="1" t="str" cm="1">
        <f t="array" ref="P341">_xlfn.IFS(L341&lt;=3,"low",L341&lt;=6,"medium",L341&gt;=7,"high")</f>
        <v>low</v>
      </c>
    </row>
    <row r="342" spans="1:16" x14ac:dyDescent="0.3">
      <c r="A342">
        <v>15</v>
      </c>
      <c r="B342" t="s">
        <v>13</v>
      </c>
      <c r="C342">
        <v>2.2999999999999998</v>
      </c>
      <c r="D342" t="s">
        <v>20</v>
      </c>
      <c r="E342">
        <v>7.8</v>
      </c>
      <c r="F342">
        <v>3</v>
      </c>
      <c r="G342">
        <v>2.2999999999999998</v>
      </c>
      <c r="H342">
        <v>1.4</v>
      </c>
      <c r="I342" t="s">
        <v>19</v>
      </c>
      <c r="J342">
        <v>4</v>
      </c>
      <c r="K342">
        <v>9</v>
      </c>
      <c r="L342">
        <v>10</v>
      </c>
      <c r="M342">
        <v>0</v>
      </c>
      <c r="N342" t="str">
        <f t="shared" si="12"/>
        <v>13-15</v>
      </c>
      <c r="O342" t="str">
        <f t="shared" si="13"/>
        <v>healthy sleep</v>
      </c>
      <c r="P342" s="1" t="str" cm="1">
        <f t="array" ref="P342">_xlfn.IFS(L342&lt;=3,"low",L342&lt;=6,"medium",L342&gt;=7,"high")</f>
        <v>high</v>
      </c>
    </row>
    <row r="343" spans="1:16" x14ac:dyDescent="0.3">
      <c r="A343">
        <v>13</v>
      </c>
      <c r="B343" t="s">
        <v>16</v>
      </c>
      <c r="C343">
        <v>1.4</v>
      </c>
      <c r="D343" t="s">
        <v>20</v>
      </c>
      <c r="E343">
        <v>7.4</v>
      </c>
      <c r="F343">
        <v>0.5</v>
      </c>
      <c r="G343">
        <v>2.3199999999999998</v>
      </c>
      <c r="H343">
        <v>1.3</v>
      </c>
      <c r="I343" t="s">
        <v>15</v>
      </c>
      <c r="J343">
        <v>3</v>
      </c>
      <c r="K343">
        <v>2</v>
      </c>
      <c r="L343">
        <v>6</v>
      </c>
      <c r="M343">
        <v>0</v>
      </c>
      <c r="N343" t="str">
        <f t="shared" si="12"/>
        <v>13-15</v>
      </c>
      <c r="O343" t="str">
        <f t="shared" si="13"/>
        <v>healthy sleep</v>
      </c>
      <c r="P343" s="1" t="str" cm="1">
        <f t="array" ref="P343">_xlfn.IFS(L343&lt;=3,"low",L343&lt;=6,"medium",L343&gt;=7,"high")</f>
        <v>medium</v>
      </c>
    </row>
    <row r="344" spans="1:16" x14ac:dyDescent="0.3">
      <c r="A344">
        <v>13</v>
      </c>
      <c r="B344" t="s">
        <v>16</v>
      </c>
      <c r="C344">
        <v>3</v>
      </c>
      <c r="D344" t="s">
        <v>14</v>
      </c>
      <c r="E344">
        <v>7</v>
      </c>
      <c r="F344">
        <v>0.9</v>
      </c>
      <c r="G344">
        <v>2.73</v>
      </c>
      <c r="H344">
        <v>1.7</v>
      </c>
      <c r="I344" t="s">
        <v>18</v>
      </c>
      <c r="J344">
        <v>5</v>
      </c>
      <c r="K344">
        <v>6</v>
      </c>
      <c r="L344">
        <v>9</v>
      </c>
      <c r="M344">
        <v>0</v>
      </c>
      <c r="N344" t="str">
        <f t="shared" si="12"/>
        <v>13-15</v>
      </c>
      <c r="O344" t="str">
        <f t="shared" si="13"/>
        <v>healthy sleep</v>
      </c>
      <c r="P344" s="1" t="str" cm="1">
        <f t="array" ref="P344">_xlfn.IFS(L344&lt;=3,"low",L344&lt;=6,"medium",L344&gt;=7,"high")</f>
        <v>high</v>
      </c>
    </row>
    <row r="345" spans="1:16" x14ac:dyDescent="0.3">
      <c r="A345">
        <v>14</v>
      </c>
      <c r="B345" t="s">
        <v>13</v>
      </c>
      <c r="C345">
        <v>2.8</v>
      </c>
      <c r="D345" t="s">
        <v>14</v>
      </c>
      <c r="E345">
        <v>5</v>
      </c>
      <c r="F345">
        <v>2.5</v>
      </c>
      <c r="G345">
        <v>3.92</v>
      </c>
      <c r="H345">
        <v>1.8</v>
      </c>
      <c r="I345" t="s">
        <v>18</v>
      </c>
      <c r="J345">
        <v>1</v>
      </c>
      <c r="K345">
        <v>3</v>
      </c>
      <c r="L345">
        <v>4</v>
      </c>
      <c r="M345">
        <v>0</v>
      </c>
      <c r="N345" t="str">
        <f t="shared" si="12"/>
        <v>13-15</v>
      </c>
      <c r="O345" t="str">
        <f t="shared" si="13"/>
        <v>low sleep</v>
      </c>
      <c r="P345" s="1" t="str" cm="1">
        <f t="array" ref="P345">_xlfn.IFS(L345&lt;=3,"low",L345&lt;=6,"medium",L345&gt;=7,"high")</f>
        <v>medium</v>
      </c>
    </row>
    <row r="346" spans="1:16" x14ac:dyDescent="0.3">
      <c r="A346">
        <v>14</v>
      </c>
      <c r="B346" t="s">
        <v>13</v>
      </c>
      <c r="C346">
        <v>7</v>
      </c>
      <c r="D346" t="s">
        <v>17</v>
      </c>
      <c r="E346">
        <v>6.9</v>
      </c>
      <c r="F346">
        <v>1</v>
      </c>
      <c r="G346">
        <v>3.93</v>
      </c>
      <c r="H346">
        <v>1.1000000000000001</v>
      </c>
      <c r="I346" t="s">
        <v>18</v>
      </c>
      <c r="J346">
        <v>9</v>
      </c>
      <c r="K346">
        <v>3</v>
      </c>
      <c r="L346">
        <v>7</v>
      </c>
      <c r="M346">
        <v>0</v>
      </c>
      <c r="N346" t="str">
        <f t="shared" si="12"/>
        <v>13-15</v>
      </c>
      <c r="O346" t="str">
        <f t="shared" si="13"/>
        <v>healthy sleep</v>
      </c>
      <c r="P346" s="1" t="str" cm="1">
        <f t="array" ref="P346">_xlfn.IFS(L346&lt;=3,"low",L346&lt;=6,"medium",L346&gt;=7,"high")</f>
        <v>high</v>
      </c>
    </row>
    <row r="347" spans="1:16" x14ac:dyDescent="0.3">
      <c r="A347">
        <v>13</v>
      </c>
      <c r="B347" t="s">
        <v>16</v>
      </c>
      <c r="C347">
        <v>1.6</v>
      </c>
      <c r="D347" t="s">
        <v>20</v>
      </c>
      <c r="E347">
        <v>8.4</v>
      </c>
      <c r="F347">
        <v>1.4</v>
      </c>
      <c r="G347">
        <v>3.47</v>
      </c>
      <c r="H347">
        <v>0.1</v>
      </c>
      <c r="I347" t="s">
        <v>19</v>
      </c>
      <c r="J347">
        <v>1</v>
      </c>
      <c r="K347">
        <v>6</v>
      </c>
      <c r="L347">
        <v>6</v>
      </c>
      <c r="M347">
        <v>0</v>
      </c>
      <c r="N347" t="str">
        <f t="shared" si="12"/>
        <v>13-15</v>
      </c>
      <c r="O347" t="str">
        <f t="shared" si="13"/>
        <v>healthy sleep</v>
      </c>
      <c r="P347" s="1" t="str" cm="1">
        <f t="array" ref="P347">_xlfn.IFS(L347&lt;=3,"low",L347&lt;=6,"medium",L347&gt;=7,"high")</f>
        <v>medium</v>
      </c>
    </row>
    <row r="348" spans="1:16" x14ac:dyDescent="0.3">
      <c r="A348">
        <v>15</v>
      </c>
      <c r="B348" t="s">
        <v>16</v>
      </c>
      <c r="C348">
        <v>4.2</v>
      </c>
      <c r="D348" t="s">
        <v>14</v>
      </c>
      <c r="E348">
        <v>8.4</v>
      </c>
      <c r="F348">
        <v>1.2</v>
      </c>
      <c r="G348">
        <v>2.61</v>
      </c>
      <c r="H348">
        <v>0</v>
      </c>
      <c r="I348" t="s">
        <v>19</v>
      </c>
      <c r="J348">
        <v>3</v>
      </c>
      <c r="K348">
        <v>10</v>
      </c>
      <c r="L348">
        <v>2</v>
      </c>
      <c r="M348">
        <v>0</v>
      </c>
      <c r="N348" t="str">
        <f t="shared" si="12"/>
        <v>13-15</v>
      </c>
      <c r="O348" t="str">
        <f t="shared" si="13"/>
        <v>healthy sleep</v>
      </c>
      <c r="P348" s="1" t="str" cm="1">
        <f t="array" ref="P348">_xlfn.IFS(L348&lt;=3,"low",L348&lt;=6,"medium",L348&gt;=7,"high")</f>
        <v>low</v>
      </c>
    </row>
    <row r="349" spans="1:16" x14ac:dyDescent="0.3">
      <c r="A349">
        <v>17</v>
      </c>
      <c r="B349" t="s">
        <v>13</v>
      </c>
      <c r="C349">
        <v>4.9000000000000004</v>
      </c>
      <c r="D349" t="s">
        <v>14</v>
      </c>
      <c r="E349">
        <v>8.6</v>
      </c>
      <c r="F349">
        <v>3</v>
      </c>
      <c r="G349">
        <v>3.62</v>
      </c>
      <c r="H349">
        <v>1.2</v>
      </c>
      <c r="I349" t="s">
        <v>15</v>
      </c>
      <c r="J349">
        <v>6</v>
      </c>
      <c r="K349">
        <v>6</v>
      </c>
      <c r="L349">
        <v>9</v>
      </c>
      <c r="M349">
        <v>0</v>
      </c>
      <c r="N349" t="str">
        <f t="shared" si="12"/>
        <v>16-19</v>
      </c>
      <c r="O349" t="str">
        <f t="shared" si="13"/>
        <v>healthy sleep</v>
      </c>
      <c r="P349" s="1" t="str" cm="1">
        <f t="array" ref="P349">_xlfn.IFS(L349&lt;=3,"low",L349&lt;=6,"medium",L349&gt;=7,"high")</f>
        <v>high</v>
      </c>
    </row>
    <row r="350" spans="1:16" x14ac:dyDescent="0.3">
      <c r="A350">
        <v>14</v>
      </c>
      <c r="B350" t="s">
        <v>16</v>
      </c>
      <c r="C350">
        <v>3.6</v>
      </c>
      <c r="D350" t="s">
        <v>14</v>
      </c>
      <c r="E350">
        <v>4.0999999999999996</v>
      </c>
      <c r="F350">
        <v>2.9</v>
      </c>
      <c r="G350">
        <v>2.83</v>
      </c>
      <c r="H350">
        <v>0.5</v>
      </c>
      <c r="I350" t="s">
        <v>19</v>
      </c>
      <c r="J350">
        <v>10</v>
      </c>
      <c r="K350">
        <v>6</v>
      </c>
      <c r="L350">
        <v>7</v>
      </c>
      <c r="M350">
        <v>0</v>
      </c>
      <c r="N350" t="str">
        <f t="shared" si="12"/>
        <v>13-15</v>
      </c>
      <c r="O350" t="str">
        <f t="shared" si="13"/>
        <v>low sleep</v>
      </c>
      <c r="P350" s="1" t="str" cm="1">
        <f t="array" ref="P350">_xlfn.IFS(L350&lt;=3,"low",L350&lt;=6,"medium",L350&gt;=7,"high")</f>
        <v>high</v>
      </c>
    </row>
    <row r="351" spans="1:16" x14ac:dyDescent="0.3">
      <c r="A351">
        <v>19</v>
      </c>
      <c r="B351" t="s">
        <v>13</v>
      </c>
      <c r="C351">
        <v>1.8</v>
      </c>
      <c r="D351" t="s">
        <v>17</v>
      </c>
      <c r="E351">
        <v>6</v>
      </c>
      <c r="F351">
        <v>2.2999999999999998</v>
      </c>
      <c r="G351">
        <v>3.22</v>
      </c>
      <c r="H351">
        <v>1</v>
      </c>
      <c r="I351" t="s">
        <v>19</v>
      </c>
      <c r="J351">
        <v>5</v>
      </c>
      <c r="K351">
        <v>6</v>
      </c>
      <c r="L351">
        <v>8</v>
      </c>
      <c r="M351">
        <v>0</v>
      </c>
      <c r="N351" t="str">
        <f t="shared" si="12"/>
        <v>16-19</v>
      </c>
      <c r="O351" t="str">
        <f t="shared" si="13"/>
        <v>low sleep</v>
      </c>
      <c r="P351" s="1" t="str" cm="1">
        <f t="array" ref="P351">_xlfn.IFS(L351&lt;=3,"low",L351&lt;=6,"medium",L351&gt;=7,"high")</f>
        <v>high</v>
      </c>
    </row>
    <row r="352" spans="1:16" x14ac:dyDescent="0.3">
      <c r="A352">
        <v>17</v>
      </c>
      <c r="B352" t="s">
        <v>16</v>
      </c>
      <c r="C352">
        <v>2.7</v>
      </c>
      <c r="D352" t="s">
        <v>14</v>
      </c>
      <c r="E352">
        <v>5.4</v>
      </c>
      <c r="F352">
        <v>2.6</v>
      </c>
      <c r="G352">
        <v>2.0699999999999998</v>
      </c>
      <c r="H352">
        <v>0</v>
      </c>
      <c r="I352" t="s">
        <v>19</v>
      </c>
      <c r="J352">
        <v>6</v>
      </c>
      <c r="K352">
        <v>5</v>
      </c>
      <c r="L352">
        <v>6</v>
      </c>
      <c r="M352">
        <v>0</v>
      </c>
      <c r="N352" t="str">
        <f t="shared" si="12"/>
        <v>16-19</v>
      </c>
      <c r="O352" t="str">
        <f t="shared" si="13"/>
        <v>low sleep</v>
      </c>
      <c r="P352" s="1" t="str" cm="1">
        <f t="array" ref="P352">_xlfn.IFS(L352&lt;=3,"low",L352&lt;=6,"medium",L352&gt;=7,"high")</f>
        <v>medium</v>
      </c>
    </row>
    <row r="353" spans="1:16" x14ac:dyDescent="0.3">
      <c r="A353">
        <v>15</v>
      </c>
      <c r="B353" t="s">
        <v>16</v>
      </c>
      <c r="C353">
        <v>1.2</v>
      </c>
      <c r="D353" t="s">
        <v>14</v>
      </c>
      <c r="E353">
        <v>5.2</v>
      </c>
      <c r="F353">
        <v>1</v>
      </c>
      <c r="G353">
        <v>2.78</v>
      </c>
      <c r="H353">
        <v>1.3</v>
      </c>
      <c r="I353" t="s">
        <v>18</v>
      </c>
      <c r="J353">
        <v>5</v>
      </c>
      <c r="K353">
        <v>8</v>
      </c>
      <c r="L353">
        <v>10</v>
      </c>
      <c r="M353">
        <v>0</v>
      </c>
      <c r="N353" t="str">
        <f t="shared" si="12"/>
        <v>13-15</v>
      </c>
      <c r="O353" t="str">
        <f t="shared" si="13"/>
        <v>low sleep</v>
      </c>
      <c r="P353" s="1" t="str" cm="1">
        <f t="array" ref="P353">_xlfn.IFS(L353&lt;=3,"low",L353&lt;=6,"medium",L353&gt;=7,"high")</f>
        <v>high</v>
      </c>
    </row>
    <row r="354" spans="1:16" x14ac:dyDescent="0.3">
      <c r="A354">
        <v>18</v>
      </c>
      <c r="B354" t="s">
        <v>16</v>
      </c>
      <c r="C354">
        <v>6.2</v>
      </c>
      <c r="D354" t="s">
        <v>20</v>
      </c>
      <c r="E354">
        <v>6.7</v>
      </c>
      <c r="F354">
        <v>1.4</v>
      </c>
      <c r="G354">
        <v>3.42</v>
      </c>
      <c r="H354">
        <v>0.9</v>
      </c>
      <c r="I354" t="s">
        <v>15</v>
      </c>
      <c r="J354">
        <v>6</v>
      </c>
      <c r="K354">
        <v>8</v>
      </c>
      <c r="L354">
        <v>6</v>
      </c>
      <c r="M354">
        <v>0</v>
      </c>
      <c r="N354" t="str">
        <f t="shared" si="12"/>
        <v>16-19</v>
      </c>
      <c r="O354" t="str">
        <f t="shared" si="13"/>
        <v>healthy sleep</v>
      </c>
      <c r="P354" s="1" t="str" cm="1">
        <f t="array" ref="P354">_xlfn.IFS(L354&lt;=3,"low",L354&lt;=6,"medium",L354&gt;=7,"high")</f>
        <v>medium</v>
      </c>
    </row>
    <row r="355" spans="1:16" x14ac:dyDescent="0.3">
      <c r="A355">
        <v>18</v>
      </c>
      <c r="B355" t="s">
        <v>13</v>
      </c>
      <c r="C355">
        <v>1.6</v>
      </c>
      <c r="D355" t="s">
        <v>17</v>
      </c>
      <c r="E355">
        <v>6.2</v>
      </c>
      <c r="F355">
        <v>1.9</v>
      </c>
      <c r="G355">
        <v>2.0499999999999998</v>
      </c>
      <c r="H355">
        <v>0.3</v>
      </c>
      <c r="I355" t="s">
        <v>15</v>
      </c>
      <c r="J355">
        <v>8</v>
      </c>
      <c r="K355">
        <v>9</v>
      </c>
      <c r="L355">
        <v>9</v>
      </c>
      <c r="M355">
        <v>0</v>
      </c>
      <c r="N355" t="str">
        <f t="shared" si="12"/>
        <v>16-19</v>
      </c>
      <c r="O355" t="str">
        <f t="shared" si="13"/>
        <v>healthy sleep</v>
      </c>
      <c r="P355" s="1" t="str" cm="1">
        <f t="array" ref="P355">_xlfn.IFS(L355&lt;=3,"low",L355&lt;=6,"medium",L355&gt;=7,"high")</f>
        <v>high</v>
      </c>
    </row>
    <row r="356" spans="1:16" x14ac:dyDescent="0.3">
      <c r="A356">
        <v>18</v>
      </c>
      <c r="B356" t="s">
        <v>16</v>
      </c>
      <c r="C356">
        <v>5.0999999999999996</v>
      </c>
      <c r="D356" t="s">
        <v>17</v>
      </c>
      <c r="E356">
        <v>7.4</v>
      </c>
      <c r="F356">
        <v>1.3</v>
      </c>
      <c r="G356">
        <v>3.5</v>
      </c>
      <c r="H356">
        <v>1.6</v>
      </c>
      <c r="I356" t="s">
        <v>18</v>
      </c>
      <c r="J356">
        <v>1</v>
      </c>
      <c r="K356">
        <v>5</v>
      </c>
      <c r="L356">
        <v>5</v>
      </c>
      <c r="M356">
        <v>0</v>
      </c>
      <c r="N356" t="str">
        <f t="shared" si="12"/>
        <v>16-19</v>
      </c>
      <c r="O356" t="str">
        <f t="shared" si="13"/>
        <v>healthy sleep</v>
      </c>
      <c r="P356" s="1" t="str" cm="1">
        <f t="array" ref="P356">_xlfn.IFS(L356&lt;=3,"low",L356&lt;=6,"medium",L356&gt;=7,"high")</f>
        <v>medium</v>
      </c>
    </row>
    <row r="357" spans="1:16" x14ac:dyDescent="0.3">
      <c r="A357">
        <v>13</v>
      </c>
      <c r="B357" t="s">
        <v>16</v>
      </c>
      <c r="C357">
        <v>5.2</v>
      </c>
      <c r="D357" t="s">
        <v>17</v>
      </c>
      <c r="E357">
        <v>8.1999999999999993</v>
      </c>
      <c r="F357">
        <v>2.8</v>
      </c>
      <c r="G357">
        <v>2.12</v>
      </c>
      <c r="H357">
        <v>1.4</v>
      </c>
      <c r="I357" t="s">
        <v>19</v>
      </c>
      <c r="J357">
        <v>1</v>
      </c>
      <c r="K357">
        <v>8</v>
      </c>
      <c r="L357">
        <v>1</v>
      </c>
      <c r="M357">
        <v>0</v>
      </c>
      <c r="N357" t="str">
        <f t="shared" si="12"/>
        <v>13-15</v>
      </c>
      <c r="O357" t="str">
        <f t="shared" si="13"/>
        <v>healthy sleep</v>
      </c>
      <c r="P357" s="1" t="str" cm="1">
        <f t="array" ref="P357">_xlfn.IFS(L357&lt;=3,"low",L357&lt;=6,"medium",L357&gt;=7,"high")</f>
        <v>low</v>
      </c>
    </row>
    <row r="358" spans="1:16" x14ac:dyDescent="0.3">
      <c r="A358">
        <v>14</v>
      </c>
      <c r="B358" t="s">
        <v>13</v>
      </c>
      <c r="C358">
        <v>4.0999999999999996</v>
      </c>
      <c r="D358" t="s">
        <v>17</v>
      </c>
      <c r="E358">
        <v>5.0999999999999996</v>
      </c>
      <c r="F358">
        <v>2</v>
      </c>
      <c r="G358">
        <v>3.51</v>
      </c>
      <c r="H358">
        <v>0.7</v>
      </c>
      <c r="I358" t="s">
        <v>18</v>
      </c>
      <c r="J358">
        <v>2</v>
      </c>
      <c r="K358">
        <v>9</v>
      </c>
      <c r="L358">
        <v>1</v>
      </c>
      <c r="M358">
        <v>0</v>
      </c>
      <c r="N358" t="str">
        <f t="shared" si="12"/>
        <v>13-15</v>
      </c>
      <c r="O358" t="str">
        <f t="shared" si="13"/>
        <v>low sleep</v>
      </c>
      <c r="P358" s="1" t="str" cm="1">
        <f t="array" ref="P358">_xlfn.IFS(L358&lt;=3,"low",L358&lt;=6,"medium",L358&gt;=7,"high")</f>
        <v>low</v>
      </c>
    </row>
    <row r="359" spans="1:16" x14ac:dyDescent="0.3">
      <c r="A359">
        <v>19</v>
      </c>
      <c r="B359" t="s">
        <v>16</v>
      </c>
      <c r="C359">
        <v>5.4</v>
      </c>
      <c r="D359" t="s">
        <v>17</v>
      </c>
      <c r="E359">
        <v>4.4000000000000004</v>
      </c>
      <c r="F359">
        <v>2.2999999999999998</v>
      </c>
      <c r="G359">
        <v>3.34</v>
      </c>
      <c r="H359">
        <v>0.4</v>
      </c>
      <c r="I359" t="s">
        <v>18</v>
      </c>
      <c r="J359">
        <v>3</v>
      </c>
      <c r="K359">
        <v>3</v>
      </c>
      <c r="L359">
        <v>8</v>
      </c>
      <c r="M359">
        <v>0</v>
      </c>
      <c r="N359" t="str">
        <f t="shared" si="12"/>
        <v>16-19</v>
      </c>
      <c r="O359" t="str">
        <f t="shared" si="13"/>
        <v>low sleep</v>
      </c>
      <c r="P359" s="1" t="str" cm="1">
        <f t="array" ref="P359">_xlfn.IFS(L359&lt;=3,"low",L359&lt;=6,"medium",L359&gt;=7,"high")</f>
        <v>high</v>
      </c>
    </row>
    <row r="360" spans="1:16" x14ac:dyDescent="0.3">
      <c r="A360">
        <v>13</v>
      </c>
      <c r="B360" t="s">
        <v>13</v>
      </c>
      <c r="C360">
        <v>2.4</v>
      </c>
      <c r="D360" t="s">
        <v>17</v>
      </c>
      <c r="E360">
        <v>8.4</v>
      </c>
      <c r="F360">
        <v>1.6</v>
      </c>
      <c r="G360">
        <v>2.82</v>
      </c>
      <c r="H360">
        <v>1.1000000000000001</v>
      </c>
      <c r="I360" t="s">
        <v>15</v>
      </c>
      <c r="J360">
        <v>1</v>
      </c>
      <c r="K360">
        <v>3</v>
      </c>
      <c r="L360">
        <v>2</v>
      </c>
      <c r="M360">
        <v>0</v>
      </c>
      <c r="N360" t="str">
        <f t="shared" si="12"/>
        <v>13-15</v>
      </c>
      <c r="O360" t="str">
        <f t="shared" si="13"/>
        <v>healthy sleep</v>
      </c>
      <c r="P360" s="1" t="str" cm="1">
        <f t="array" ref="P360">_xlfn.IFS(L360&lt;=3,"low",L360&lt;=6,"medium",L360&gt;=7,"high")</f>
        <v>low</v>
      </c>
    </row>
    <row r="361" spans="1:16" x14ac:dyDescent="0.3">
      <c r="A361">
        <v>18</v>
      </c>
      <c r="B361" t="s">
        <v>13</v>
      </c>
      <c r="C361">
        <v>1.7</v>
      </c>
      <c r="D361" t="s">
        <v>20</v>
      </c>
      <c r="E361">
        <v>5.6</v>
      </c>
      <c r="F361">
        <v>1.4</v>
      </c>
      <c r="G361">
        <v>2.85</v>
      </c>
      <c r="H361">
        <v>1</v>
      </c>
      <c r="I361" t="s">
        <v>18</v>
      </c>
      <c r="J361">
        <v>3</v>
      </c>
      <c r="K361">
        <v>3</v>
      </c>
      <c r="L361">
        <v>7</v>
      </c>
      <c r="M361">
        <v>0</v>
      </c>
      <c r="N361" t="str">
        <f t="shared" si="12"/>
        <v>16-19</v>
      </c>
      <c r="O361" t="str">
        <f t="shared" si="13"/>
        <v>low sleep</v>
      </c>
      <c r="P361" s="1" t="str" cm="1">
        <f t="array" ref="P361">_xlfn.IFS(L361&lt;=3,"low",L361&lt;=6,"medium",L361&gt;=7,"high")</f>
        <v>high</v>
      </c>
    </row>
    <row r="362" spans="1:16" x14ac:dyDescent="0.3">
      <c r="A362">
        <v>18</v>
      </c>
      <c r="B362" t="s">
        <v>13</v>
      </c>
      <c r="C362">
        <v>6</v>
      </c>
      <c r="D362" t="s">
        <v>20</v>
      </c>
      <c r="E362">
        <v>6.1</v>
      </c>
      <c r="F362">
        <v>0.9</v>
      </c>
      <c r="G362">
        <v>2.68</v>
      </c>
      <c r="H362">
        <v>0.3</v>
      </c>
      <c r="I362" t="s">
        <v>19</v>
      </c>
      <c r="J362">
        <v>2</v>
      </c>
      <c r="K362">
        <v>10</v>
      </c>
      <c r="L362">
        <v>10</v>
      </c>
      <c r="M362">
        <v>0</v>
      </c>
      <c r="N362" t="str">
        <f t="shared" si="12"/>
        <v>16-19</v>
      </c>
      <c r="O362" t="str">
        <f t="shared" si="13"/>
        <v>healthy sleep</v>
      </c>
      <c r="P362" s="1" t="str" cm="1">
        <f t="array" ref="P362">_xlfn.IFS(L362&lt;=3,"low",L362&lt;=6,"medium",L362&gt;=7,"high")</f>
        <v>high</v>
      </c>
    </row>
    <row r="363" spans="1:16" x14ac:dyDescent="0.3">
      <c r="A363">
        <v>17</v>
      </c>
      <c r="B363" t="s">
        <v>13</v>
      </c>
      <c r="C363">
        <v>7.2</v>
      </c>
      <c r="D363" t="s">
        <v>20</v>
      </c>
      <c r="E363">
        <v>6.1</v>
      </c>
      <c r="F363">
        <v>0.8</v>
      </c>
      <c r="G363">
        <v>3.9</v>
      </c>
      <c r="H363">
        <v>0.2</v>
      </c>
      <c r="I363" t="s">
        <v>15</v>
      </c>
      <c r="J363">
        <v>8</v>
      </c>
      <c r="K363">
        <v>3</v>
      </c>
      <c r="L363">
        <v>7</v>
      </c>
      <c r="M363">
        <v>0</v>
      </c>
      <c r="N363" t="str">
        <f t="shared" si="12"/>
        <v>16-19</v>
      </c>
      <c r="O363" t="str">
        <f t="shared" si="13"/>
        <v>healthy sleep</v>
      </c>
      <c r="P363" s="1" t="str" cm="1">
        <f t="array" ref="P363">_xlfn.IFS(L363&lt;=3,"low",L363&lt;=6,"medium",L363&gt;=7,"high")</f>
        <v>high</v>
      </c>
    </row>
    <row r="364" spans="1:16" x14ac:dyDescent="0.3">
      <c r="A364">
        <v>18</v>
      </c>
      <c r="B364" t="s">
        <v>13</v>
      </c>
      <c r="C364">
        <v>3.5</v>
      </c>
      <c r="D364" t="s">
        <v>17</v>
      </c>
      <c r="E364">
        <v>6.3</v>
      </c>
      <c r="F364">
        <v>2.9</v>
      </c>
      <c r="G364">
        <v>3.35</v>
      </c>
      <c r="H364">
        <v>1.6</v>
      </c>
      <c r="I364" t="s">
        <v>18</v>
      </c>
      <c r="J364">
        <v>1</v>
      </c>
      <c r="K364">
        <v>4</v>
      </c>
      <c r="L364">
        <v>2</v>
      </c>
      <c r="M364">
        <v>0</v>
      </c>
      <c r="N364" t="str">
        <f t="shared" si="12"/>
        <v>16-19</v>
      </c>
      <c r="O364" t="str">
        <f t="shared" si="13"/>
        <v>healthy sleep</v>
      </c>
      <c r="P364" s="1" t="str" cm="1">
        <f t="array" ref="P364">_xlfn.IFS(L364&lt;=3,"low",L364&lt;=6,"medium",L364&gt;=7,"high")</f>
        <v>low</v>
      </c>
    </row>
    <row r="365" spans="1:16" x14ac:dyDescent="0.3">
      <c r="A365">
        <v>15</v>
      </c>
      <c r="B365" t="s">
        <v>16</v>
      </c>
      <c r="C365">
        <v>3.8</v>
      </c>
      <c r="D365" t="s">
        <v>14</v>
      </c>
      <c r="E365">
        <v>4.4000000000000004</v>
      </c>
      <c r="F365">
        <v>1.9</v>
      </c>
      <c r="G365">
        <v>2.04</v>
      </c>
      <c r="H365">
        <v>0.5</v>
      </c>
      <c r="I365" t="s">
        <v>19</v>
      </c>
      <c r="J365">
        <v>4</v>
      </c>
      <c r="K365">
        <v>9</v>
      </c>
      <c r="L365">
        <v>7</v>
      </c>
      <c r="M365">
        <v>0</v>
      </c>
      <c r="N365" t="str">
        <f t="shared" si="12"/>
        <v>13-15</v>
      </c>
      <c r="O365" t="str">
        <f t="shared" si="13"/>
        <v>low sleep</v>
      </c>
      <c r="P365" s="1" t="str" cm="1">
        <f t="array" ref="P365">_xlfn.IFS(L365&lt;=3,"low",L365&lt;=6,"medium",L365&gt;=7,"high")</f>
        <v>high</v>
      </c>
    </row>
    <row r="366" spans="1:16" x14ac:dyDescent="0.3">
      <c r="A366">
        <v>18</v>
      </c>
      <c r="B366" t="s">
        <v>16</v>
      </c>
      <c r="C366">
        <v>4.5</v>
      </c>
      <c r="D366" t="s">
        <v>20</v>
      </c>
      <c r="E366">
        <v>8</v>
      </c>
      <c r="F366">
        <v>1.5</v>
      </c>
      <c r="G366">
        <v>3.45</v>
      </c>
      <c r="H366">
        <v>1</v>
      </c>
      <c r="I366" t="s">
        <v>15</v>
      </c>
      <c r="J366">
        <v>4</v>
      </c>
      <c r="K366">
        <v>3</v>
      </c>
      <c r="L366">
        <v>9</v>
      </c>
      <c r="M366">
        <v>0</v>
      </c>
      <c r="N366" t="str">
        <f t="shared" si="12"/>
        <v>16-19</v>
      </c>
      <c r="O366" t="str">
        <f t="shared" si="13"/>
        <v>healthy sleep</v>
      </c>
      <c r="P366" s="1" t="str" cm="1">
        <f t="array" ref="P366">_xlfn.IFS(L366&lt;=3,"low",L366&lt;=6,"medium",L366&gt;=7,"high")</f>
        <v>high</v>
      </c>
    </row>
    <row r="367" spans="1:16" x14ac:dyDescent="0.3">
      <c r="A367">
        <v>16</v>
      </c>
      <c r="B367" t="s">
        <v>16</v>
      </c>
      <c r="C367">
        <v>7.3</v>
      </c>
      <c r="D367" t="s">
        <v>20</v>
      </c>
      <c r="E367">
        <v>7.2</v>
      </c>
      <c r="F367">
        <v>0.5</v>
      </c>
      <c r="G367">
        <v>2.78</v>
      </c>
      <c r="H367">
        <v>1.9</v>
      </c>
      <c r="I367" t="s">
        <v>15</v>
      </c>
      <c r="J367">
        <v>7</v>
      </c>
      <c r="K367">
        <v>3</v>
      </c>
      <c r="L367">
        <v>9</v>
      </c>
      <c r="M367">
        <v>0</v>
      </c>
      <c r="N367" t="str">
        <f t="shared" si="12"/>
        <v>16-19</v>
      </c>
      <c r="O367" t="str">
        <f t="shared" si="13"/>
        <v>healthy sleep</v>
      </c>
      <c r="P367" s="1" t="str" cm="1">
        <f t="array" ref="P367">_xlfn.IFS(L367&lt;=3,"low",L367&lt;=6,"medium",L367&gt;=7,"high")</f>
        <v>high</v>
      </c>
    </row>
    <row r="368" spans="1:16" x14ac:dyDescent="0.3">
      <c r="A368">
        <v>18</v>
      </c>
      <c r="B368" t="s">
        <v>16</v>
      </c>
      <c r="C368">
        <v>6.4</v>
      </c>
      <c r="D368" t="s">
        <v>14</v>
      </c>
      <c r="E368">
        <v>7.7</v>
      </c>
      <c r="F368">
        <v>0.5</v>
      </c>
      <c r="G368">
        <v>3.05</v>
      </c>
      <c r="H368">
        <v>1.2</v>
      </c>
      <c r="I368" t="s">
        <v>15</v>
      </c>
      <c r="J368">
        <v>3</v>
      </c>
      <c r="K368">
        <v>1</v>
      </c>
      <c r="L368">
        <v>2</v>
      </c>
      <c r="M368">
        <v>0</v>
      </c>
      <c r="N368" t="str">
        <f t="shared" si="12"/>
        <v>16-19</v>
      </c>
      <c r="O368" t="str">
        <f t="shared" si="13"/>
        <v>healthy sleep</v>
      </c>
      <c r="P368" s="1" t="str" cm="1">
        <f t="array" ref="P368">_xlfn.IFS(L368&lt;=3,"low",L368&lt;=6,"medium",L368&gt;=7,"high")</f>
        <v>low</v>
      </c>
    </row>
    <row r="369" spans="1:16" x14ac:dyDescent="0.3">
      <c r="A369">
        <v>16</v>
      </c>
      <c r="B369" t="s">
        <v>13</v>
      </c>
      <c r="C369">
        <v>5.3</v>
      </c>
      <c r="D369" t="s">
        <v>17</v>
      </c>
      <c r="E369">
        <v>8.4</v>
      </c>
      <c r="F369">
        <v>2.2000000000000002</v>
      </c>
      <c r="G369">
        <v>2.81</v>
      </c>
      <c r="H369">
        <v>0.6</v>
      </c>
      <c r="I369" t="s">
        <v>18</v>
      </c>
      <c r="J369">
        <v>2</v>
      </c>
      <c r="K369">
        <v>8</v>
      </c>
      <c r="L369">
        <v>8</v>
      </c>
      <c r="M369">
        <v>0</v>
      </c>
      <c r="N369" t="str">
        <f t="shared" si="12"/>
        <v>16-19</v>
      </c>
      <c r="O369" t="str">
        <f t="shared" si="13"/>
        <v>healthy sleep</v>
      </c>
      <c r="P369" s="1" t="str" cm="1">
        <f t="array" ref="P369">_xlfn.IFS(L369&lt;=3,"low",L369&lt;=6,"medium",L369&gt;=7,"high")</f>
        <v>high</v>
      </c>
    </row>
    <row r="370" spans="1:16" x14ac:dyDescent="0.3">
      <c r="A370">
        <v>13</v>
      </c>
      <c r="B370" t="s">
        <v>13</v>
      </c>
      <c r="C370">
        <v>2.4</v>
      </c>
      <c r="D370" t="s">
        <v>14</v>
      </c>
      <c r="E370">
        <v>7.1</v>
      </c>
      <c r="F370">
        <v>0.7</v>
      </c>
      <c r="G370">
        <v>3.64</v>
      </c>
      <c r="H370">
        <v>1.1000000000000001</v>
      </c>
      <c r="I370" t="s">
        <v>18</v>
      </c>
      <c r="J370">
        <v>6</v>
      </c>
      <c r="K370">
        <v>5</v>
      </c>
      <c r="L370">
        <v>5</v>
      </c>
      <c r="M370">
        <v>0</v>
      </c>
      <c r="N370" t="str">
        <f t="shared" si="12"/>
        <v>13-15</v>
      </c>
      <c r="O370" t="str">
        <f t="shared" si="13"/>
        <v>healthy sleep</v>
      </c>
      <c r="P370" s="1" t="str" cm="1">
        <f t="array" ref="P370">_xlfn.IFS(L370&lt;=3,"low",L370&lt;=6,"medium",L370&gt;=7,"high")</f>
        <v>medium</v>
      </c>
    </row>
    <row r="371" spans="1:16" x14ac:dyDescent="0.3">
      <c r="A371">
        <v>13</v>
      </c>
      <c r="B371" t="s">
        <v>13</v>
      </c>
      <c r="C371">
        <v>8</v>
      </c>
      <c r="D371" t="s">
        <v>20</v>
      </c>
      <c r="E371">
        <v>8.9</v>
      </c>
      <c r="F371">
        <v>2.2000000000000002</v>
      </c>
      <c r="G371">
        <v>3.82</v>
      </c>
      <c r="H371">
        <v>1.2</v>
      </c>
      <c r="I371" t="s">
        <v>15</v>
      </c>
      <c r="J371">
        <v>8</v>
      </c>
      <c r="K371">
        <v>8</v>
      </c>
      <c r="L371">
        <v>4</v>
      </c>
      <c r="M371">
        <v>0</v>
      </c>
      <c r="N371" t="str">
        <f t="shared" si="12"/>
        <v>13-15</v>
      </c>
      <c r="O371" t="str">
        <f t="shared" si="13"/>
        <v>healthy sleep</v>
      </c>
      <c r="P371" s="1" t="str" cm="1">
        <f t="array" ref="P371">_xlfn.IFS(L371&lt;=3,"low",L371&lt;=6,"medium",L371&gt;=7,"high")</f>
        <v>medium</v>
      </c>
    </row>
    <row r="372" spans="1:16" x14ac:dyDescent="0.3">
      <c r="A372">
        <v>15</v>
      </c>
      <c r="B372" t="s">
        <v>13</v>
      </c>
      <c r="C372">
        <v>7.3</v>
      </c>
      <c r="D372" t="s">
        <v>20</v>
      </c>
      <c r="E372">
        <v>4.4000000000000004</v>
      </c>
      <c r="F372">
        <v>2.2999999999999998</v>
      </c>
      <c r="G372">
        <v>2.76</v>
      </c>
      <c r="H372">
        <v>1.8</v>
      </c>
      <c r="I372" t="s">
        <v>19</v>
      </c>
      <c r="J372">
        <v>4</v>
      </c>
      <c r="K372">
        <v>6</v>
      </c>
      <c r="L372">
        <v>9</v>
      </c>
      <c r="M372">
        <v>0</v>
      </c>
      <c r="N372" t="str">
        <f t="shared" si="12"/>
        <v>13-15</v>
      </c>
      <c r="O372" t="str">
        <f t="shared" si="13"/>
        <v>low sleep</v>
      </c>
      <c r="P372" s="1" t="str" cm="1">
        <f t="array" ref="P372">_xlfn.IFS(L372&lt;=3,"low",L372&lt;=6,"medium",L372&gt;=7,"high")</f>
        <v>high</v>
      </c>
    </row>
    <row r="373" spans="1:16" x14ac:dyDescent="0.3">
      <c r="A373">
        <v>17</v>
      </c>
      <c r="B373" t="s">
        <v>16</v>
      </c>
      <c r="C373">
        <v>4.5</v>
      </c>
      <c r="D373" t="s">
        <v>20</v>
      </c>
      <c r="E373">
        <v>7.3</v>
      </c>
      <c r="F373">
        <v>0.9</v>
      </c>
      <c r="G373">
        <v>2.34</v>
      </c>
      <c r="H373">
        <v>0.9</v>
      </c>
      <c r="I373" t="s">
        <v>19</v>
      </c>
      <c r="J373">
        <v>7</v>
      </c>
      <c r="K373">
        <v>3</v>
      </c>
      <c r="L373">
        <v>8</v>
      </c>
      <c r="M373">
        <v>0</v>
      </c>
      <c r="N373" t="str">
        <f t="shared" si="12"/>
        <v>16-19</v>
      </c>
      <c r="O373" t="str">
        <f t="shared" si="13"/>
        <v>healthy sleep</v>
      </c>
      <c r="P373" s="1" t="str" cm="1">
        <f t="array" ref="P373">_xlfn.IFS(L373&lt;=3,"low",L373&lt;=6,"medium",L373&gt;=7,"high")</f>
        <v>high</v>
      </c>
    </row>
    <row r="374" spans="1:16" x14ac:dyDescent="0.3">
      <c r="A374">
        <v>19</v>
      </c>
      <c r="B374" t="s">
        <v>13</v>
      </c>
      <c r="C374">
        <v>5</v>
      </c>
      <c r="D374" t="s">
        <v>20</v>
      </c>
      <c r="E374">
        <v>9</v>
      </c>
      <c r="F374">
        <v>2.4</v>
      </c>
      <c r="G374">
        <v>2.5299999999999998</v>
      </c>
      <c r="H374">
        <v>0.4</v>
      </c>
      <c r="I374" t="s">
        <v>19</v>
      </c>
      <c r="J374">
        <v>7</v>
      </c>
      <c r="K374">
        <v>2</v>
      </c>
      <c r="L374">
        <v>10</v>
      </c>
      <c r="M374">
        <v>0</v>
      </c>
      <c r="N374" t="str">
        <f t="shared" si="12"/>
        <v>16-19</v>
      </c>
      <c r="O374" t="str">
        <f t="shared" si="13"/>
        <v>healthy sleep</v>
      </c>
      <c r="P374" s="1" t="str" cm="1">
        <f t="array" ref="P374">_xlfn.IFS(L374&lt;=3,"low",L374&lt;=6,"medium",L374&gt;=7,"high")</f>
        <v>high</v>
      </c>
    </row>
    <row r="375" spans="1:16" x14ac:dyDescent="0.3">
      <c r="A375">
        <v>16</v>
      </c>
      <c r="B375" t="s">
        <v>16</v>
      </c>
      <c r="C375">
        <v>5.7</v>
      </c>
      <c r="D375" t="s">
        <v>20</v>
      </c>
      <c r="E375">
        <v>4.2</v>
      </c>
      <c r="F375">
        <v>1.4</v>
      </c>
      <c r="G375">
        <v>2.56</v>
      </c>
      <c r="H375">
        <v>0.1</v>
      </c>
      <c r="I375" t="s">
        <v>18</v>
      </c>
      <c r="J375">
        <v>4</v>
      </c>
      <c r="K375">
        <v>3</v>
      </c>
      <c r="L375">
        <v>1</v>
      </c>
      <c r="M375">
        <v>0</v>
      </c>
      <c r="N375" t="str">
        <f t="shared" si="12"/>
        <v>16-19</v>
      </c>
      <c r="O375" t="str">
        <f t="shared" si="13"/>
        <v>low sleep</v>
      </c>
      <c r="P375" s="1" t="str" cm="1">
        <f t="array" ref="P375">_xlfn.IFS(L375&lt;=3,"low",L375&lt;=6,"medium",L375&gt;=7,"high")</f>
        <v>low</v>
      </c>
    </row>
    <row r="376" spans="1:16" x14ac:dyDescent="0.3">
      <c r="A376">
        <v>18</v>
      </c>
      <c r="B376" t="s">
        <v>16</v>
      </c>
      <c r="C376">
        <v>2.9</v>
      </c>
      <c r="D376" t="s">
        <v>14</v>
      </c>
      <c r="E376">
        <v>8.4</v>
      </c>
      <c r="F376">
        <v>2.6</v>
      </c>
      <c r="G376">
        <v>2.57</v>
      </c>
      <c r="H376">
        <v>1.8</v>
      </c>
      <c r="I376" t="s">
        <v>19</v>
      </c>
      <c r="J376">
        <v>4</v>
      </c>
      <c r="K376">
        <v>1</v>
      </c>
      <c r="L376">
        <v>3</v>
      </c>
      <c r="M376">
        <v>0</v>
      </c>
      <c r="N376" t="str">
        <f t="shared" si="12"/>
        <v>16-19</v>
      </c>
      <c r="O376" t="str">
        <f t="shared" si="13"/>
        <v>healthy sleep</v>
      </c>
      <c r="P376" s="1" t="str" cm="1">
        <f t="array" ref="P376">_xlfn.IFS(L376&lt;=3,"low",L376&lt;=6,"medium",L376&gt;=7,"high")</f>
        <v>low</v>
      </c>
    </row>
    <row r="377" spans="1:16" x14ac:dyDescent="0.3">
      <c r="A377">
        <v>13</v>
      </c>
      <c r="B377" t="s">
        <v>13</v>
      </c>
      <c r="C377">
        <v>7.9</v>
      </c>
      <c r="D377" t="s">
        <v>14</v>
      </c>
      <c r="E377">
        <v>8.8000000000000007</v>
      </c>
      <c r="F377">
        <v>2.2999999999999998</v>
      </c>
      <c r="G377">
        <v>3.39</v>
      </c>
      <c r="H377">
        <v>0.5</v>
      </c>
      <c r="I377" t="s">
        <v>15</v>
      </c>
      <c r="J377">
        <v>1</v>
      </c>
      <c r="K377">
        <v>9</v>
      </c>
      <c r="L377">
        <v>3</v>
      </c>
      <c r="M377">
        <v>0</v>
      </c>
      <c r="N377" t="str">
        <f t="shared" si="12"/>
        <v>13-15</v>
      </c>
      <c r="O377" t="str">
        <f t="shared" si="13"/>
        <v>healthy sleep</v>
      </c>
      <c r="P377" s="1" t="str" cm="1">
        <f t="array" ref="P377">_xlfn.IFS(L377&lt;=3,"low",L377&lt;=6,"medium",L377&gt;=7,"high")</f>
        <v>low</v>
      </c>
    </row>
    <row r="378" spans="1:16" x14ac:dyDescent="0.3">
      <c r="A378">
        <v>19</v>
      </c>
      <c r="B378" t="s">
        <v>13</v>
      </c>
      <c r="C378">
        <v>4.8</v>
      </c>
      <c r="D378" t="s">
        <v>17</v>
      </c>
      <c r="E378">
        <v>5</v>
      </c>
      <c r="F378">
        <v>2.6</v>
      </c>
      <c r="G378">
        <v>3.25</v>
      </c>
      <c r="H378">
        <v>1.6</v>
      </c>
      <c r="I378" t="s">
        <v>15</v>
      </c>
      <c r="J378">
        <v>4</v>
      </c>
      <c r="K378">
        <v>6</v>
      </c>
      <c r="L378">
        <v>1</v>
      </c>
      <c r="M378">
        <v>0</v>
      </c>
      <c r="N378" t="str">
        <f t="shared" si="12"/>
        <v>16-19</v>
      </c>
      <c r="O378" t="str">
        <f t="shared" si="13"/>
        <v>low sleep</v>
      </c>
      <c r="P378" s="1" t="str" cm="1">
        <f t="array" ref="P378">_xlfn.IFS(L378&lt;=3,"low",L378&lt;=6,"medium",L378&gt;=7,"high")</f>
        <v>low</v>
      </c>
    </row>
    <row r="379" spans="1:16" x14ac:dyDescent="0.3">
      <c r="A379">
        <v>13</v>
      </c>
      <c r="B379" t="s">
        <v>16</v>
      </c>
      <c r="C379">
        <v>3</v>
      </c>
      <c r="D379" t="s">
        <v>20</v>
      </c>
      <c r="E379">
        <v>6</v>
      </c>
      <c r="F379">
        <v>1</v>
      </c>
      <c r="G379">
        <v>2.63</v>
      </c>
      <c r="H379">
        <v>0.1</v>
      </c>
      <c r="I379" t="s">
        <v>15</v>
      </c>
      <c r="J379">
        <v>5</v>
      </c>
      <c r="K379">
        <v>10</v>
      </c>
      <c r="L379">
        <v>9</v>
      </c>
      <c r="M379">
        <v>0</v>
      </c>
      <c r="N379" t="str">
        <f t="shared" si="12"/>
        <v>13-15</v>
      </c>
      <c r="O379" t="str">
        <f t="shared" si="13"/>
        <v>low sleep</v>
      </c>
      <c r="P379" s="1" t="str" cm="1">
        <f t="array" ref="P379">_xlfn.IFS(L379&lt;=3,"low",L379&lt;=6,"medium",L379&gt;=7,"high")</f>
        <v>high</v>
      </c>
    </row>
    <row r="380" spans="1:16" x14ac:dyDescent="0.3">
      <c r="A380">
        <v>14</v>
      </c>
      <c r="B380" t="s">
        <v>16</v>
      </c>
      <c r="C380">
        <v>4.0999999999999996</v>
      </c>
      <c r="D380" t="s">
        <v>20</v>
      </c>
      <c r="E380">
        <v>6.4</v>
      </c>
      <c r="F380">
        <v>2</v>
      </c>
      <c r="G380">
        <v>3.69</v>
      </c>
      <c r="H380">
        <v>1.5</v>
      </c>
      <c r="I380" t="s">
        <v>19</v>
      </c>
      <c r="J380">
        <v>7</v>
      </c>
      <c r="K380">
        <v>7</v>
      </c>
      <c r="L380">
        <v>9</v>
      </c>
      <c r="M380">
        <v>0</v>
      </c>
      <c r="N380" t="str">
        <f t="shared" si="12"/>
        <v>13-15</v>
      </c>
      <c r="O380" t="str">
        <f t="shared" si="13"/>
        <v>healthy sleep</v>
      </c>
      <c r="P380" s="1" t="str" cm="1">
        <f t="array" ref="P380">_xlfn.IFS(L380&lt;=3,"low",L380&lt;=6,"medium",L380&gt;=7,"high")</f>
        <v>high</v>
      </c>
    </row>
    <row r="381" spans="1:16" x14ac:dyDescent="0.3">
      <c r="A381">
        <v>19</v>
      </c>
      <c r="B381" t="s">
        <v>13</v>
      </c>
      <c r="C381">
        <v>6.9</v>
      </c>
      <c r="D381" t="s">
        <v>14</v>
      </c>
      <c r="E381">
        <v>5</v>
      </c>
      <c r="F381">
        <v>1.2</v>
      </c>
      <c r="G381">
        <v>2.56</v>
      </c>
      <c r="H381">
        <v>1.6</v>
      </c>
      <c r="I381" t="s">
        <v>18</v>
      </c>
      <c r="J381">
        <v>3</v>
      </c>
      <c r="K381">
        <v>10</v>
      </c>
      <c r="L381">
        <v>8</v>
      </c>
      <c r="M381">
        <v>0</v>
      </c>
      <c r="N381" t="str">
        <f t="shared" si="12"/>
        <v>16-19</v>
      </c>
      <c r="O381" t="str">
        <f t="shared" si="13"/>
        <v>low sleep</v>
      </c>
      <c r="P381" s="1" t="str" cm="1">
        <f t="array" ref="P381">_xlfn.IFS(L381&lt;=3,"low",L381&lt;=6,"medium",L381&gt;=7,"high")</f>
        <v>high</v>
      </c>
    </row>
    <row r="382" spans="1:16" x14ac:dyDescent="0.3">
      <c r="A382">
        <v>17</v>
      </c>
      <c r="B382" t="s">
        <v>16</v>
      </c>
      <c r="C382">
        <v>3.2</v>
      </c>
      <c r="D382" t="s">
        <v>14</v>
      </c>
      <c r="E382">
        <v>6.2</v>
      </c>
      <c r="F382">
        <v>2.2000000000000002</v>
      </c>
      <c r="G382">
        <v>2.96</v>
      </c>
      <c r="H382">
        <v>1.6</v>
      </c>
      <c r="I382" t="s">
        <v>15</v>
      </c>
      <c r="J382">
        <v>8</v>
      </c>
      <c r="K382">
        <v>10</v>
      </c>
      <c r="L382">
        <v>9</v>
      </c>
      <c r="M382">
        <v>0</v>
      </c>
      <c r="N382" t="str">
        <f t="shared" si="12"/>
        <v>16-19</v>
      </c>
      <c r="O382" t="str">
        <f t="shared" si="13"/>
        <v>healthy sleep</v>
      </c>
      <c r="P382" s="1" t="str" cm="1">
        <f t="array" ref="P382">_xlfn.IFS(L382&lt;=3,"low",L382&lt;=6,"medium",L382&gt;=7,"high")</f>
        <v>high</v>
      </c>
    </row>
    <row r="383" spans="1:16" x14ac:dyDescent="0.3">
      <c r="A383">
        <v>18</v>
      </c>
      <c r="B383" t="s">
        <v>16</v>
      </c>
      <c r="C383">
        <v>1.3</v>
      </c>
      <c r="D383" t="s">
        <v>20</v>
      </c>
      <c r="E383">
        <v>4.9000000000000004</v>
      </c>
      <c r="F383">
        <v>0.9</v>
      </c>
      <c r="G383">
        <v>3.86</v>
      </c>
      <c r="H383">
        <v>0</v>
      </c>
      <c r="I383" t="s">
        <v>19</v>
      </c>
      <c r="J383">
        <v>4</v>
      </c>
      <c r="K383">
        <v>9</v>
      </c>
      <c r="L383">
        <v>8</v>
      </c>
      <c r="M383">
        <v>0</v>
      </c>
      <c r="N383" t="str">
        <f t="shared" si="12"/>
        <v>16-19</v>
      </c>
      <c r="O383" t="str">
        <f t="shared" si="13"/>
        <v>low sleep</v>
      </c>
      <c r="P383" s="1" t="str" cm="1">
        <f t="array" ref="P383">_xlfn.IFS(L383&lt;=3,"low",L383&lt;=6,"medium",L383&gt;=7,"high")</f>
        <v>high</v>
      </c>
    </row>
    <row r="384" spans="1:16" x14ac:dyDescent="0.3">
      <c r="A384">
        <v>15</v>
      </c>
      <c r="B384" t="s">
        <v>16</v>
      </c>
      <c r="C384">
        <v>4.2</v>
      </c>
      <c r="D384" t="s">
        <v>17</v>
      </c>
      <c r="E384">
        <v>6.8</v>
      </c>
      <c r="F384">
        <v>1.1000000000000001</v>
      </c>
      <c r="G384">
        <v>3.37</v>
      </c>
      <c r="H384">
        <v>0.7</v>
      </c>
      <c r="I384" t="s">
        <v>18</v>
      </c>
      <c r="J384">
        <v>3</v>
      </c>
      <c r="K384">
        <v>6</v>
      </c>
      <c r="L384">
        <v>8</v>
      </c>
      <c r="M384">
        <v>0</v>
      </c>
      <c r="N384" t="str">
        <f t="shared" si="12"/>
        <v>13-15</v>
      </c>
      <c r="O384" t="str">
        <f t="shared" si="13"/>
        <v>healthy sleep</v>
      </c>
      <c r="P384" s="1" t="str" cm="1">
        <f t="array" ref="P384">_xlfn.IFS(L384&lt;=3,"low",L384&lt;=6,"medium",L384&gt;=7,"high")</f>
        <v>high</v>
      </c>
    </row>
    <row r="385" spans="1:16" x14ac:dyDescent="0.3">
      <c r="A385">
        <v>19</v>
      </c>
      <c r="B385" t="s">
        <v>13</v>
      </c>
      <c r="C385">
        <v>6.6</v>
      </c>
      <c r="D385" t="s">
        <v>20</v>
      </c>
      <c r="E385">
        <v>6</v>
      </c>
      <c r="F385">
        <v>2.1</v>
      </c>
      <c r="G385">
        <v>2.84</v>
      </c>
      <c r="H385">
        <v>1.5</v>
      </c>
      <c r="I385" t="s">
        <v>15</v>
      </c>
      <c r="J385">
        <v>9</v>
      </c>
      <c r="K385">
        <v>4</v>
      </c>
      <c r="L385">
        <v>5</v>
      </c>
      <c r="M385">
        <v>0</v>
      </c>
      <c r="N385" t="str">
        <f t="shared" si="12"/>
        <v>16-19</v>
      </c>
      <c r="O385" t="str">
        <f t="shared" si="13"/>
        <v>low sleep</v>
      </c>
      <c r="P385" s="1" t="str" cm="1">
        <f t="array" ref="P385">_xlfn.IFS(L385&lt;=3,"low",L385&lt;=6,"medium",L385&gt;=7,"high")</f>
        <v>medium</v>
      </c>
    </row>
    <row r="386" spans="1:16" x14ac:dyDescent="0.3">
      <c r="A386">
        <v>13</v>
      </c>
      <c r="B386" t="s">
        <v>13</v>
      </c>
      <c r="C386">
        <v>7.5</v>
      </c>
      <c r="D386" t="s">
        <v>17</v>
      </c>
      <c r="E386">
        <v>4.8</v>
      </c>
      <c r="F386">
        <v>0.7</v>
      </c>
      <c r="G386">
        <v>2.91</v>
      </c>
      <c r="H386">
        <v>2</v>
      </c>
      <c r="I386" t="s">
        <v>18</v>
      </c>
      <c r="J386">
        <v>10</v>
      </c>
      <c r="K386">
        <v>9</v>
      </c>
      <c r="L386">
        <v>1</v>
      </c>
      <c r="M386">
        <v>1</v>
      </c>
      <c r="N386" t="str">
        <f t="shared" si="12"/>
        <v>13-15</v>
      </c>
      <c r="O386" t="str">
        <f t="shared" si="13"/>
        <v>low sleep</v>
      </c>
      <c r="P386" s="1" t="str" cm="1">
        <f t="array" ref="P386">_xlfn.IFS(L386&lt;=3,"low",L386&lt;=6,"medium",L386&gt;=7,"high")</f>
        <v>low</v>
      </c>
    </row>
    <row r="387" spans="1:16" x14ac:dyDescent="0.3">
      <c r="A387">
        <v>15</v>
      </c>
      <c r="B387" t="s">
        <v>13</v>
      </c>
      <c r="C387">
        <v>7</v>
      </c>
      <c r="D387" t="s">
        <v>20</v>
      </c>
      <c r="E387">
        <v>8.6999999999999993</v>
      </c>
      <c r="F387">
        <v>3</v>
      </c>
      <c r="G387">
        <v>2.84</v>
      </c>
      <c r="H387">
        <v>1.4</v>
      </c>
      <c r="I387" t="s">
        <v>19</v>
      </c>
      <c r="J387">
        <v>5</v>
      </c>
      <c r="K387">
        <v>3</v>
      </c>
      <c r="L387">
        <v>2</v>
      </c>
      <c r="M387">
        <v>0</v>
      </c>
      <c r="N387" t="str">
        <f t="shared" ref="N387:N450" si="14">IF(A387&lt;=15,"13-15","16-19")</f>
        <v>13-15</v>
      </c>
      <c r="O387" t="str">
        <f t="shared" ref="O387:O450" si="15">IF(E387&lt;=6,"low sleep","healthy sleep")</f>
        <v>healthy sleep</v>
      </c>
      <c r="P387" s="1" t="str" cm="1">
        <f t="array" ref="P387">_xlfn.IFS(L387&lt;=3,"low",L387&lt;=6,"medium",L387&gt;=7,"high")</f>
        <v>low</v>
      </c>
    </row>
    <row r="388" spans="1:16" x14ac:dyDescent="0.3">
      <c r="A388">
        <v>15</v>
      </c>
      <c r="B388" t="s">
        <v>16</v>
      </c>
      <c r="C388">
        <v>6.7</v>
      </c>
      <c r="D388" t="s">
        <v>20</v>
      </c>
      <c r="E388">
        <v>5</v>
      </c>
      <c r="F388">
        <v>0.6</v>
      </c>
      <c r="G388">
        <v>2.75</v>
      </c>
      <c r="H388">
        <v>1.5</v>
      </c>
      <c r="I388" t="s">
        <v>19</v>
      </c>
      <c r="J388">
        <v>7</v>
      </c>
      <c r="K388">
        <v>4</v>
      </c>
      <c r="L388">
        <v>8</v>
      </c>
      <c r="M388">
        <v>0</v>
      </c>
      <c r="N388" t="str">
        <f t="shared" si="14"/>
        <v>13-15</v>
      </c>
      <c r="O388" t="str">
        <f t="shared" si="15"/>
        <v>low sleep</v>
      </c>
      <c r="P388" s="1" t="str" cm="1">
        <f t="array" ref="P388">_xlfn.IFS(L388&lt;=3,"low",L388&lt;=6,"medium",L388&gt;=7,"high")</f>
        <v>high</v>
      </c>
    </row>
    <row r="389" spans="1:16" x14ac:dyDescent="0.3">
      <c r="A389">
        <v>15</v>
      </c>
      <c r="B389" t="s">
        <v>16</v>
      </c>
      <c r="C389">
        <v>2.2999999999999998</v>
      </c>
      <c r="D389" t="s">
        <v>14</v>
      </c>
      <c r="E389">
        <v>5.6</v>
      </c>
      <c r="F389">
        <v>2.9</v>
      </c>
      <c r="G389">
        <v>2.72</v>
      </c>
      <c r="H389">
        <v>1</v>
      </c>
      <c r="I389" t="s">
        <v>18</v>
      </c>
      <c r="J389">
        <v>6</v>
      </c>
      <c r="K389">
        <v>6</v>
      </c>
      <c r="L389">
        <v>2</v>
      </c>
      <c r="M389">
        <v>0</v>
      </c>
      <c r="N389" t="str">
        <f t="shared" si="14"/>
        <v>13-15</v>
      </c>
      <c r="O389" t="str">
        <f t="shared" si="15"/>
        <v>low sleep</v>
      </c>
      <c r="P389" s="1" t="str" cm="1">
        <f t="array" ref="P389">_xlfn.IFS(L389&lt;=3,"low",L389&lt;=6,"medium",L389&gt;=7,"high")</f>
        <v>low</v>
      </c>
    </row>
    <row r="390" spans="1:16" x14ac:dyDescent="0.3">
      <c r="A390">
        <v>14</v>
      </c>
      <c r="B390" t="s">
        <v>13</v>
      </c>
      <c r="C390">
        <v>5.3</v>
      </c>
      <c r="D390" t="s">
        <v>20</v>
      </c>
      <c r="E390">
        <v>9</v>
      </c>
      <c r="F390">
        <v>2.8</v>
      </c>
      <c r="G390">
        <v>3.1</v>
      </c>
      <c r="H390">
        <v>1.6</v>
      </c>
      <c r="I390" t="s">
        <v>18</v>
      </c>
      <c r="J390">
        <v>10</v>
      </c>
      <c r="K390">
        <v>7</v>
      </c>
      <c r="L390">
        <v>6</v>
      </c>
      <c r="M390">
        <v>0</v>
      </c>
      <c r="N390" t="str">
        <f t="shared" si="14"/>
        <v>13-15</v>
      </c>
      <c r="O390" t="str">
        <f t="shared" si="15"/>
        <v>healthy sleep</v>
      </c>
      <c r="P390" s="1" t="str" cm="1">
        <f t="array" ref="P390">_xlfn.IFS(L390&lt;=3,"low",L390&lt;=6,"medium",L390&gt;=7,"high")</f>
        <v>medium</v>
      </c>
    </row>
    <row r="391" spans="1:16" x14ac:dyDescent="0.3">
      <c r="A391">
        <v>13</v>
      </c>
      <c r="B391" t="s">
        <v>16</v>
      </c>
      <c r="C391">
        <v>2.7</v>
      </c>
      <c r="D391" t="s">
        <v>17</v>
      </c>
      <c r="E391">
        <v>6.5</v>
      </c>
      <c r="F391">
        <v>1.5</v>
      </c>
      <c r="G391">
        <v>2.58</v>
      </c>
      <c r="H391">
        <v>0.4</v>
      </c>
      <c r="I391" t="s">
        <v>18</v>
      </c>
      <c r="J391">
        <v>1</v>
      </c>
      <c r="K391">
        <v>1</v>
      </c>
      <c r="L391">
        <v>6</v>
      </c>
      <c r="M391">
        <v>0</v>
      </c>
      <c r="N391" t="str">
        <f t="shared" si="14"/>
        <v>13-15</v>
      </c>
      <c r="O391" t="str">
        <f t="shared" si="15"/>
        <v>healthy sleep</v>
      </c>
      <c r="P391" s="1" t="str" cm="1">
        <f t="array" ref="P391">_xlfn.IFS(L391&lt;=3,"low",L391&lt;=6,"medium",L391&gt;=7,"high")</f>
        <v>medium</v>
      </c>
    </row>
    <row r="392" spans="1:16" x14ac:dyDescent="0.3">
      <c r="A392">
        <v>13</v>
      </c>
      <c r="B392" t="s">
        <v>13</v>
      </c>
      <c r="C392">
        <v>5.4</v>
      </c>
      <c r="D392" t="s">
        <v>14</v>
      </c>
      <c r="E392">
        <v>7.8</v>
      </c>
      <c r="F392">
        <v>1.8</v>
      </c>
      <c r="G392">
        <v>3.46</v>
      </c>
      <c r="H392">
        <v>1</v>
      </c>
      <c r="I392" t="s">
        <v>18</v>
      </c>
      <c r="J392">
        <v>4</v>
      </c>
      <c r="K392">
        <v>7</v>
      </c>
      <c r="L392">
        <v>7</v>
      </c>
      <c r="M392">
        <v>0</v>
      </c>
      <c r="N392" t="str">
        <f t="shared" si="14"/>
        <v>13-15</v>
      </c>
      <c r="O392" t="str">
        <f t="shared" si="15"/>
        <v>healthy sleep</v>
      </c>
      <c r="P392" s="1" t="str" cm="1">
        <f t="array" ref="P392">_xlfn.IFS(L392&lt;=3,"low",L392&lt;=6,"medium",L392&gt;=7,"high")</f>
        <v>high</v>
      </c>
    </row>
    <row r="393" spans="1:16" x14ac:dyDescent="0.3">
      <c r="A393">
        <v>17</v>
      </c>
      <c r="B393" t="s">
        <v>13</v>
      </c>
      <c r="C393">
        <v>7.2</v>
      </c>
      <c r="D393" t="s">
        <v>14</v>
      </c>
      <c r="E393">
        <v>8</v>
      </c>
      <c r="F393">
        <v>1.9</v>
      </c>
      <c r="G393">
        <v>2.66</v>
      </c>
      <c r="H393">
        <v>1.4</v>
      </c>
      <c r="I393" t="s">
        <v>19</v>
      </c>
      <c r="J393">
        <v>5</v>
      </c>
      <c r="K393">
        <v>8</v>
      </c>
      <c r="L393">
        <v>6</v>
      </c>
      <c r="M393">
        <v>0</v>
      </c>
      <c r="N393" t="str">
        <f t="shared" si="14"/>
        <v>16-19</v>
      </c>
      <c r="O393" t="str">
        <f t="shared" si="15"/>
        <v>healthy sleep</v>
      </c>
      <c r="P393" s="1" t="str" cm="1">
        <f t="array" ref="P393">_xlfn.IFS(L393&lt;=3,"low",L393&lt;=6,"medium",L393&gt;=7,"high")</f>
        <v>medium</v>
      </c>
    </row>
    <row r="394" spans="1:16" x14ac:dyDescent="0.3">
      <c r="A394">
        <v>19</v>
      </c>
      <c r="B394" t="s">
        <v>13</v>
      </c>
      <c r="C394">
        <v>1.5</v>
      </c>
      <c r="D394" t="s">
        <v>17</v>
      </c>
      <c r="E394">
        <v>6.8</v>
      </c>
      <c r="F394">
        <v>2.5</v>
      </c>
      <c r="G394">
        <v>2.13</v>
      </c>
      <c r="H394">
        <v>0.2</v>
      </c>
      <c r="I394" t="s">
        <v>19</v>
      </c>
      <c r="J394">
        <v>9</v>
      </c>
      <c r="K394">
        <v>8</v>
      </c>
      <c r="L394">
        <v>10</v>
      </c>
      <c r="M394">
        <v>0</v>
      </c>
      <c r="N394" t="str">
        <f t="shared" si="14"/>
        <v>16-19</v>
      </c>
      <c r="O394" t="str">
        <f t="shared" si="15"/>
        <v>healthy sleep</v>
      </c>
      <c r="P394" s="1" t="str" cm="1">
        <f t="array" ref="P394">_xlfn.IFS(L394&lt;=3,"low",L394&lt;=6,"medium",L394&gt;=7,"high")</f>
        <v>high</v>
      </c>
    </row>
    <row r="395" spans="1:16" x14ac:dyDescent="0.3">
      <c r="A395">
        <v>13</v>
      </c>
      <c r="B395" t="s">
        <v>13</v>
      </c>
      <c r="C395">
        <v>4</v>
      </c>
      <c r="D395" t="s">
        <v>20</v>
      </c>
      <c r="E395">
        <v>4.2</v>
      </c>
      <c r="F395">
        <v>0.5</v>
      </c>
      <c r="G395">
        <v>2.46</v>
      </c>
      <c r="H395">
        <v>0.6</v>
      </c>
      <c r="I395" t="s">
        <v>15</v>
      </c>
      <c r="J395">
        <v>2</v>
      </c>
      <c r="K395">
        <v>9</v>
      </c>
      <c r="L395">
        <v>9</v>
      </c>
      <c r="M395">
        <v>0</v>
      </c>
      <c r="N395" t="str">
        <f t="shared" si="14"/>
        <v>13-15</v>
      </c>
      <c r="O395" t="str">
        <f t="shared" si="15"/>
        <v>low sleep</v>
      </c>
      <c r="P395" s="1" t="str" cm="1">
        <f t="array" ref="P395">_xlfn.IFS(L395&lt;=3,"low",L395&lt;=6,"medium",L395&gt;=7,"high")</f>
        <v>high</v>
      </c>
    </row>
    <row r="396" spans="1:16" x14ac:dyDescent="0.3">
      <c r="A396">
        <v>15</v>
      </c>
      <c r="B396" t="s">
        <v>16</v>
      </c>
      <c r="C396">
        <v>4.2</v>
      </c>
      <c r="D396" t="s">
        <v>20</v>
      </c>
      <c r="E396">
        <v>7.1</v>
      </c>
      <c r="F396">
        <v>2.1</v>
      </c>
      <c r="G396">
        <v>2.21</v>
      </c>
      <c r="H396">
        <v>1.8</v>
      </c>
      <c r="I396" t="s">
        <v>19</v>
      </c>
      <c r="J396">
        <v>4</v>
      </c>
      <c r="K396">
        <v>1</v>
      </c>
      <c r="L396">
        <v>3</v>
      </c>
      <c r="M396">
        <v>0</v>
      </c>
      <c r="N396" t="str">
        <f t="shared" si="14"/>
        <v>13-15</v>
      </c>
      <c r="O396" t="str">
        <f t="shared" si="15"/>
        <v>healthy sleep</v>
      </c>
      <c r="P396" s="1" t="str" cm="1">
        <f t="array" ref="P396">_xlfn.IFS(L396&lt;=3,"low",L396&lt;=6,"medium",L396&gt;=7,"high")</f>
        <v>low</v>
      </c>
    </row>
    <row r="397" spans="1:16" x14ac:dyDescent="0.3">
      <c r="A397">
        <v>19</v>
      </c>
      <c r="B397" t="s">
        <v>13</v>
      </c>
      <c r="C397">
        <v>1.8</v>
      </c>
      <c r="D397" t="s">
        <v>17</v>
      </c>
      <c r="E397">
        <v>7.7</v>
      </c>
      <c r="F397">
        <v>2.2000000000000002</v>
      </c>
      <c r="G397">
        <v>3.77</v>
      </c>
      <c r="H397">
        <v>0.3</v>
      </c>
      <c r="I397" t="s">
        <v>19</v>
      </c>
      <c r="J397">
        <v>4</v>
      </c>
      <c r="K397">
        <v>6</v>
      </c>
      <c r="L397">
        <v>7</v>
      </c>
      <c r="M397">
        <v>0</v>
      </c>
      <c r="N397" t="str">
        <f t="shared" si="14"/>
        <v>16-19</v>
      </c>
      <c r="O397" t="str">
        <f t="shared" si="15"/>
        <v>healthy sleep</v>
      </c>
      <c r="P397" s="1" t="str" cm="1">
        <f t="array" ref="P397">_xlfn.IFS(L397&lt;=3,"low",L397&lt;=6,"medium",L397&gt;=7,"high")</f>
        <v>high</v>
      </c>
    </row>
    <row r="398" spans="1:16" x14ac:dyDescent="0.3">
      <c r="A398">
        <v>17</v>
      </c>
      <c r="B398" t="s">
        <v>16</v>
      </c>
      <c r="C398">
        <v>3.3</v>
      </c>
      <c r="D398" t="s">
        <v>14</v>
      </c>
      <c r="E398">
        <v>8.6</v>
      </c>
      <c r="F398">
        <v>1.1000000000000001</v>
      </c>
      <c r="G398">
        <v>2.62</v>
      </c>
      <c r="H398">
        <v>0.4</v>
      </c>
      <c r="I398" t="s">
        <v>15</v>
      </c>
      <c r="J398">
        <v>4</v>
      </c>
      <c r="K398">
        <v>7</v>
      </c>
      <c r="L398">
        <v>9</v>
      </c>
      <c r="M398">
        <v>0</v>
      </c>
      <c r="N398" t="str">
        <f t="shared" si="14"/>
        <v>16-19</v>
      </c>
      <c r="O398" t="str">
        <f t="shared" si="15"/>
        <v>healthy sleep</v>
      </c>
      <c r="P398" s="1" t="str" cm="1">
        <f t="array" ref="P398">_xlfn.IFS(L398&lt;=3,"low",L398&lt;=6,"medium",L398&gt;=7,"high")</f>
        <v>high</v>
      </c>
    </row>
    <row r="399" spans="1:16" x14ac:dyDescent="0.3">
      <c r="A399">
        <v>14</v>
      </c>
      <c r="B399" t="s">
        <v>16</v>
      </c>
      <c r="C399">
        <v>1</v>
      </c>
      <c r="D399" t="s">
        <v>20</v>
      </c>
      <c r="E399">
        <v>6.6</v>
      </c>
      <c r="F399">
        <v>1.4</v>
      </c>
      <c r="G399">
        <v>2.02</v>
      </c>
      <c r="H399">
        <v>1.9</v>
      </c>
      <c r="I399" t="s">
        <v>15</v>
      </c>
      <c r="J399">
        <v>6</v>
      </c>
      <c r="K399">
        <v>5</v>
      </c>
      <c r="L399">
        <v>5</v>
      </c>
      <c r="M399">
        <v>0</v>
      </c>
      <c r="N399" t="str">
        <f t="shared" si="14"/>
        <v>13-15</v>
      </c>
      <c r="O399" t="str">
        <f t="shared" si="15"/>
        <v>healthy sleep</v>
      </c>
      <c r="P399" s="1" t="str" cm="1">
        <f t="array" ref="P399">_xlfn.IFS(L399&lt;=3,"low",L399&lt;=6,"medium",L399&gt;=7,"high")</f>
        <v>medium</v>
      </c>
    </row>
    <row r="400" spans="1:16" x14ac:dyDescent="0.3">
      <c r="A400">
        <v>13</v>
      </c>
      <c r="B400" t="s">
        <v>16</v>
      </c>
      <c r="C400">
        <v>1.2</v>
      </c>
      <c r="D400" t="s">
        <v>17</v>
      </c>
      <c r="E400">
        <v>8</v>
      </c>
      <c r="F400">
        <v>2.8</v>
      </c>
      <c r="G400">
        <v>2.1800000000000002</v>
      </c>
      <c r="H400">
        <v>1.1000000000000001</v>
      </c>
      <c r="I400" t="s">
        <v>18</v>
      </c>
      <c r="J400">
        <v>5</v>
      </c>
      <c r="K400">
        <v>8</v>
      </c>
      <c r="L400">
        <v>5</v>
      </c>
      <c r="M400">
        <v>0</v>
      </c>
      <c r="N400" t="str">
        <f t="shared" si="14"/>
        <v>13-15</v>
      </c>
      <c r="O400" t="str">
        <f t="shared" si="15"/>
        <v>healthy sleep</v>
      </c>
      <c r="P400" s="1" t="str" cm="1">
        <f t="array" ref="P400">_xlfn.IFS(L400&lt;=3,"low",L400&lt;=6,"medium",L400&gt;=7,"high")</f>
        <v>medium</v>
      </c>
    </row>
    <row r="401" spans="1:16" x14ac:dyDescent="0.3">
      <c r="A401">
        <v>19</v>
      </c>
      <c r="B401" t="s">
        <v>13</v>
      </c>
      <c r="C401">
        <v>2</v>
      </c>
      <c r="D401" t="s">
        <v>14</v>
      </c>
      <c r="E401">
        <v>4.0999999999999996</v>
      </c>
      <c r="F401">
        <v>1.3</v>
      </c>
      <c r="G401">
        <v>3.71</v>
      </c>
      <c r="H401">
        <v>1.6</v>
      </c>
      <c r="I401" t="s">
        <v>15</v>
      </c>
      <c r="J401">
        <v>7</v>
      </c>
      <c r="K401">
        <v>7</v>
      </c>
      <c r="L401">
        <v>8</v>
      </c>
      <c r="M401">
        <v>0</v>
      </c>
      <c r="N401" t="str">
        <f t="shared" si="14"/>
        <v>16-19</v>
      </c>
      <c r="O401" t="str">
        <f t="shared" si="15"/>
        <v>low sleep</v>
      </c>
      <c r="P401" s="1" t="str" cm="1">
        <f t="array" ref="P401">_xlfn.IFS(L401&lt;=3,"low",L401&lt;=6,"medium",L401&gt;=7,"high")</f>
        <v>high</v>
      </c>
    </row>
    <row r="402" spans="1:16" x14ac:dyDescent="0.3">
      <c r="A402">
        <v>13</v>
      </c>
      <c r="B402" t="s">
        <v>16</v>
      </c>
      <c r="C402">
        <v>7.1</v>
      </c>
      <c r="D402" t="s">
        <v>20</v>
      </c>
      <c r="E402">
        <v>6.5</v>
      </c>
      <c r="F402">
        <v>1.6</v>
      </c>
      <c r="G402">
        <v>2.0299999999999998</v>
      </c>
      <c r="H402">
        <v>0.3</v>
      </c>
      <c r="I402" t="s">
        <v>19</v>
      </c>
      <c r="J402">
        <v>1</v>
      </c>
      <c r="K402">
        <v>10</v>
      </c>
      <c r="L402">
        <v>6</v>
      </c>
      <c r="M402">
        <v>0</v>
      </c>
      <c r="N402" t="str">
        <f t="shared" si="14"/>
        <v>13-15</v>
      </c>
      <c r="O402" t="str">
        <f t="shared" si="15"/>
        <v>healthy sleep</v>
      </c>
      <c r="P402" s="1" t="str" cm="1">
        <f t="array" ref="P402">_xlfn.IFS(L402&lt;=3,"low",L402&lt;=6,"medium",L402&gt;=7,"high")</f>
        <v>medium</v>
      </c>
    </row>
    <row r="403" spans="1:16" x14ac:dyDescent="0.3">
      <c r="A403">
        <v>15</v>
      </c>
      <c r="B403" t="s">
        <v>16</v>
      </c>
      <c r="C403">
        <v>5.5</v>
      </c>
      <c r="D403" t="s">
        <v>17</v>
      </c>
      <c r="E403">
        <v>7.8</v>
      </c>
      <c r="F403">
        <v>1.5</v>
      </c>
      <c r="G403">
        <v>2.79</v>
      </c>
      <c r="H403">
        <v>0.7</v>
      </c>
      <c r="I403" t="s">
        <v>18</v>
      </c>
      <c r="J403">
        <v>9</v>
      </c>
      <c r="K403">
        <v>10</v>
      </c>
      <c r="L403">
        <v>7</v>
      </c>
      <c r="M403">
        <v>0</v>
      </c>
      <c r="N403" t="str">
        <f t="shared" si="14"/>
        <v>13-15</v>
      </c>
      <c r="O403" t="str">
        <f t="shared" si="15"/>
        <v>healthy sleep</v>
      </c>
      <c r="P403" s="1" t="str" cm="1">
        <f t="array" ref="P403">_xlfn.IFS(L403&lt;=3,"low",L403&lt;=6,"medium",L403&gt;=7,"high")</f>
        <v>high</v>
      </c>
    </row>
    <row r="404" spans="1:16" x14ac:dyDescent="0.3">
      <c r="A404">
        <v>17</v>
      </c>
      <c r="B404" t="s">
        <v>13</v>
      </c>
      <c r="C404">
        <v>7.7</v>
      </c>
      <c r="D404" t="s">
        <v>17</v>
      </c>
      <c r="E404">
        <v>4.7</v>
      </c>
      <c r="F404">
        <v>2.8</v>
      </c>
      <c r="G404">
        <v>3.5</v>
      </c>
      <c r="H404">
        <v>1.5</v>
      </c>
      <c r="I404" t="s">
        <v>15</v>
      </c>
      <c r="J404">
        <v>8</v>
      </c>
      <c r="K404">
        <v>4</v>
      </c>
      <c r="L404">
        <v>8</v>
      </c>
      <c r="M404">
        <v>0</v>
      </c>
      <c r="N404" t="str">
        <f t="shared" si="14"/>
        <v>16-19</v>
      </c>
      <c r="O404" t="str">
        <f t="shared" si="15"/>
        <v>low sleep</v>
      </c>
      <c r="P404" s="1" t="str" cm="1">
        <f t="array" ref="P404">_xlfn.IFS(L404&lt;=3,"low",L404&lt;=6,"medium",L404&gt;=7,"high")</f>
        <v>high</v>
      </c>
    </row>
    <row r="405" spans="1:16" x14ac:dyDescent="0.3">
      <c r="A405">
        <v>17</v>
      </c>
      <c r="B405" t="s">
        <v>16</v>
      </c>
      <c r="C405">
        <v>7.6</v>
      </c>
      <c r="D405" t="s">
        <v>14</v>
      </c>
      <c r="E405">
        <v>5.9</v>
      </c>
      <c r="F405">
        <v>2</v>
      </c>
      <c r="G405">
        <v>2.52</v>
      </c>
      <c r="H405">
        <v>1.5</v>
      </c>
      <c r="I405" t="s">
        <v>19</v>
      </c>
      <c r="J405">
        <v>1</v>
      </c>
      <c r="K405">
        <v>5</v>
      </c>
      <c r="L405">
        <v>1</v>
      </c>
      <c r="M405">
        <v>0</v>
      </c>
      <c r="N405" t="str">
        <f t="shared" si="14"/>
        <v>16-19</v>
      </c>
      <c r="O405" t="str">
        <f t="shared" si="15"/>
        <v>low sleep</v>
      </c>
      <c r="P405" s="1" t="str" cm="1">
        <f t="array" ref="P405">_xlfn.IFS(L405&lt;=3,"low",L405&lt;=6,"medium",L405&gt;=7,"high")</f>
        <v>low</v>
      </c>
    </row>
    <row r="406" spans="1:16" x14ac:dyDescent="0.3">
      <c r="A406">
        <v>13</v>
      </c>
      <c r="B406" t="s">
        <v>13</v>
      </c>
      <c r="C406">
        <v>8</v>
      </c>
      <c r="D406" t="s">
        <v>14</v>
      </c>
      <c r="E406">
        <v>6.9</v>
      </c>
      <c r="F406">
        <v>2.5</v>
      </c>
      <c r="G406">
        <v>2.4500000000000002</v>
      </c>
      <c r="H406">
        <v>1.7</v>
      </c>
      <c r="I406" t="s">
        <v>19</v>
      </c>
      <c r="J406">
        <v>10</v>
      </c>
      <c r="K406">
        <v>1</v>
      </c>
      <c r="L406">
        <v>3</v>
      </c>
      <c r="M406">
        <v>0</v>
      </c>
      <c r="N406" t="str">
        <f t="shared" si="14"/>
        <v>13-15</v>
      </c>
      <c r="O406" t="str">
        <f t="shared" si="15"/>
        <v>healthy sleep</v>
      </c>
      <c r="P406" s="1" t="str" cm="1">
        <f t="array" ref="P406">_xlfn.IFS(L406&lt;=3,"low",L406&lt;=6,"medium",L406&gt;=7,"high")</f>
        <v>low</v>
      </c>
    </row>
    <row r="407" spans="1:16" x14ac:dyDescent="0.3">
      <c r="A407">
        <v>16</v>
      </c>
      <c r="B407" t="s">
        <v>16</v>
      </c>
      <c r="C407">
        <v>4.3</v>
      </c>
      <c r="D407" t="s">
        <v>14</v>
      </c>
      <c r="E407">
        <v>6</v>
      </c>
      <c r="F407">
        <v>1.4</v>
      </c>
      <c r="G407">
        <v>2.98</v>
      </c>
      <c r="H407">
        <v>1.7</v>
      </c>
      <c r="I407" t="s">
        <v>15</v>
      </c>
      <c r="J407">
        <v>8</v>
      </c>
      <c r="K407">
        <v>7</v>
      </c>
      <c r="L407">
        <v>4</v>
      </c>
      <c r="M407">
        <v>0</v>
      </c>
      <c r="N407" t="str">
        <f t="shared" si="14"/>
        <v>16-19</v>
      </c>
      <c r="O407" t="str">
        <f t="shared" si="15"/>
        <v>low sleep</v>
      </c>
      <c r="P407" s="1" t="str" cm="1">
        <f t="array" ref="P407">_xlfn.IFS(L407&lt;=3,"low",L407&lt;=6,"medium",L407&gt;=7,"high")</f>
        <v>medium</v>
      </c>
    </row>
    <row r="408" spans="1:16" x14ac:dyDescent="0.3">
      <c r="A408">
        <v>13</v>
      </c>
      <c r="B408" t="s">
        <v>13</v>
      </c>
      <c r="C408">
        <v>3.8</v>
      </c>
      <c r="D408" t="s">
        <v>20</v>
      </c>
      <c r="E408">
        <v>5.3</v>
      </c>
      <c r="F408">
        <v>2.5</v>
      </c>
      <c r="G408">
        <v>3.48</v>
      </c>
      <c r="H408">
        <v>1</v>
      </c>
      <c r="I408" t="s">
        <v>15</v>
      </c>
      <c r="J408">
        <v>6</v>
      </c>
      <c r="K408">
        <v>7</v>
      </c>
      <c r="L408">
        <v>7</v>
      </c>
      <c r="M408">
        <v>0</v>
      </c>
      <c r="N408" t="str">
        <f t="shared" si="14"/>
        <v>13-15</v>
      </c>
      <c r="O408" t="str">
        <f t="shared" si="15"/>
        <v>low sleep</v>
      </c>
      <c r="P408" s="1" t="str" cm="1">
        <f t="array" ref="P408">_xlfn.IFS(L408&lt;=3,"low",L408&lt;=6,"medium",L408&gt;=7,"high")</f>
        <v>high</v>
      </c>
    </row>
    <row r="409" spans="1:16" x14ac:dyDescent="0.3">
      <c r="A409">
        <v>16</v>
      </c>
      <c r="B409" t="s">
        <v>16</v>
      </c>
      <c r="C409">
        <v>2.9</v>
      </c>
      <c r="D409" t="s">
        <v>17</v>
      </c>
      <c r="E409">
        <v>6.3</v>
      </c>
      <c r="F409">
        <v>3</v>
      </c>
      <c r="G409">
        <v>2.6</v>
      </c>
      <c r="H409">
        <v>0.4</v>
      </c>
      <c r="I409" t="s">
        <v>19</v>
      </c>
      <c r="J409">
        <v>9</v>
      </c>
      <c r="K409">
        <v>7</v>
      </c>
      <c r="L409">
        <v>3</v>
      </c>
      <c r="M409">
        <v>0</v>
      </c>
      <c r="N409" t="str">
        <f t="shared" si="14"/>
        <v>16-19</v>
      </c>
      <c r="O409" t="str">
        <f t="shared" si="15"/>
        <v>healthy sleep</v>
      </c>
      <c r="P409" s="1" t="str" cm="1">
        <f t="array" ref="P409">_xlfn.IFS(L409&lt;=3,"low",L409&lt;=6,"medium",L409&gt;=7,"high")</f>
        <v>low</v>
      </c>
    </row>
    <row r="410" spans="1:16" x14ac:dyDescent="0.3">
      <c r="A410">
        <v>13</v>
      </c>
      <c r="B410" t="s">
        <v>16</v>
      </c>
      <c r="C410">
        <v>5.3</v>
      </c>
      <c r="D410" t="s">
        <v>17</v>
      </c>
      <c r="E410">
        <v>6.5</v>
      </c>
      <c r="F410">
        <v>1.1000000000000001</v>
      </c>
      <c r="G410">
        <v>3.48</v>
      </c>
      <c r="H410">
        <v>1.8</v>
      </c>
      <c r="I410" t="s">
        <v>15</v>
      </c>
      <c r="J410">
        <v>9</v>
      </c>
      <c r="K410">
        <v>5</v>
      </c>
      <c r="L410">
        <v>4</v>
      </c>
      <c r="M410">
        <v>0</v>
      </c>
      <c r="N410" t="str">
        <f t="shared" si="14"/>
        <v>13-15</v>
      </c>
      <c r="O410" t="str">
        <f t="shared" si="15"/>
        <v>healthy sleep</v>
      </c>
      <c r="P410" s="1" t="str" cm="1">
        <f t="array" ref="P410">_xlfn.IFS(L410&lt;=3,"low",L410&lt;=6,"medium",L410&gt;=7,"high")</f>
        <v>medium</v>
      </c>
    </row>
    <row r="411" spans="1:16" x14ac:dyDescent="0.3">
      <c r="A411">
        <v>15</v>
      </c>
      <c r="B411" t="s">
        <v>16</v>
      </c>
      <c r="C411">
        <v>5.7</v>
      </c>
      <c r="D411" t="s">
        <v>14</v>
      </c>
      <c r="E411">
        <v>7.5</v>
      </c>
      <c r="F411">
        <v>2.4</v>
      </c>
      <c r="G411">
        <v>2.84</v>
      </c>
      <c r="H411">
        <v>1.3</v>
      </c>
      <c r="I411" t="s">
        <v>19</v>
      </c>
      <c r="J411">
        <v>10</v>
      </c>
      <c r="K411">
        <v>10</v>
      </c>
      <c r="L411">
        <v>2</v>
      </c>
      <c r="M411">
        <v>0</v>
      </c>
      <c r="N411" t="str">
        <f t="shared" si="14"/>
        <v>13-15</v>
      </c>
      <c r="O411" t="str">
        <f t="shared" si="15"/>
        <v>healthy sleep</v>
      </c>
      <c r="P411" s="1" t="str" cm="1">
        <f t="array" ref="P411">_xlfn.IFS(L411&lt;=3,"low",L411&lt;=6,"medium",L411&gt;=7,"high")</f>
        <v>low</v>
      </c>
    </row>
    <row r="412" spans="1:16" x14ac:dyDescent="0.3">
      <c r="A412">
        <v>18</v>
      </c>
      <c r="B412" t="s">
        <v>16</v>
      </c>
      <c r="C412">
        <v>2.8</v>
      </c>
      <c r="D412" t="s">
        <v>14</v>
      </c>
      <c r="E412">
        <v>7.4</v>
      </c>
      <c r="F412">
        <v>1</v>
      </c>
      <c r="G412">
        <v>3.73</v>
      </c>
      <c r="H412">
        <v>1.9</v>
      </c>
      <c r="I412" t="s">
        <v>15</v>
      </c>
      <c r="J412">
        <v>7</v>
      </c>
      <c r="K412">
        <v>3</v>
      </c>
      <c r="L412">
        <v>6</v>
      </c>
      <c r="M412">
        <v>0</v>
      </c>
      <c r="N412" t="str">
        <f t="shared" si="14"/>
        <v>16-19</v>
      </c>
      <c r="O412" t="str">
        <f t="shared" si="15"/>
        <v>healthy sleep</v>
      </c>
      <c r="P412" s="1" t="str" cm="1">
        <f t="array" ref="P412">_xlfn.IFS(L412&lt;=3,"low",L412&lt;=6,"medium",L412&gt;=7,"high")</f>
        <v>medium</v>
      </c>
    </row>
    <row r="413" spans="1:16" x14ac:dyDescent="0.3">
      <c r="A413">
        <v>15</v>
      </c>
      <c r="B413" t="s">
        <v>13</v>
      </c>
      <c r="C413">
        <v>2.8</v>
      </c>
      <c r="D413" t="s">
        <v>17</v>
      </c>
      <c r="E413">
        <v>6.1</v>
      </c>
      <c r="F413">
        <v>2.9</v>
      </c>
      <c r="G413">
        <v>2.98</v>
      </c>
      <c r="H413">
        <v>1.8</v>
      </c>
      <c r="I413" t="s">
        <v>19</v>
      </c>
      <c r="J413">
        <v>6</v>
      </c>
      <c r="K413">
        <v>3</v>
      </c>
      <c r="L413">
        <v>7</v>
      </c>
      <c r="M413">
        <v>0</v>
      </c>
      <c r="N413" t="str">
        <f t="shared" si="14"/>
        <v>13-15</v>
      </c>
      <c r="O413" t="str">
        <f t="shared" si="15"/>
        <v>healthy sleep</v>
      </c>
      <c r="P413" s="1" t="str" cm="1">
        <f t="array" ref="P413">_xlfn.IFS(L413&lt;=3,"low",L413&lt;=6,"medium",L413&gt;=7,"high")</f>
        <v>high</v>
      </c>
    </row>
    <row r="414" spans="1:16" x14ac:dyDescent="0.3">
      <c r="A414">
        <v>13</v>
      </c>
      <c r="B414" t="s">
        <v>16</v>
      </c>
      <c r="C414">
        <v>1.1000000000000001</v>
      </c>
      <c r="D414" t="s">
        <v>14</v>
      </c>
      <c r="E414">
        <v>7</v>
      </c>
      <c r="F414">
        <v>1.9</v>
      </c>
      <c r="G414">
        <v>4</v>
      </c>
      <c r="H414">
        <v>0.9</v>
      </c>
      <c r="I414" t="s">
        <v>19</v>
      </c>
      <c r="J414">
        <v>2</v>
      </c>
      <c r="K414">
        <v>9</v>
      </c>
      <c r="L414">
        <v>6</v>
      </c>
      <c r="M414">
        <v>0</v>
      </c>
      <c r="N414" t="str">
        <f t="shared" si="14"/>
        <v>13-15</v>
      </c>
      <c r="O414" t="str">
        <f t="shared" si="15"/>
        <v>healthy sleep</v>
      </c>
      <c r="P414" s="1" t="str" cm="1">
        <f t="array" ref="P414">_xlfn.IFS(L414&lt;=3,"low",L414&lt;=6,"medium",L414&gt;=7,"high")</f>
        <v>medium</v>
      </c>
    </row>
    <row r="415" spans="1:16" x14ac:dyDescent="0.3">
      <c r="A415">
        <v>14</v>
      </c>
      <c r="B415" t="s">
        <v>16</v>
      </c>
      <c r="C415">
        <v>2</v>
      </c>
      <c r="D415" t="s">
        <v>20</v>
      </c>
      <c r="E415">
        <v>5</v>
      </c>
      <c r="F415">
        <v>2.6</v>
      </c>
      <c r="G415">
        <v>2.71</v>
      </c>
      <c r="H415">
        <v>2</v>
      </c>
      <c r="I415" t="s">
        <v>15</v>
      </c>
      <c r="J415">
        <v>5</v>
      </c>
      <c r="K415">
        <v>4</v>
      </c>
      <c r="L415">
        <v>3</v>
      </c>
      <c r="M415">
        <v>0</v>
      </c>
      <c r="N415" t="str">
        <f t="shared" si="14"/>
        <v>13-15</v>
      </c>
      <c r="O415" t="str">
        <f t="shared" si="15"/>
        <v>low sleep</v>
      </c>
      <c r="P415" s="1" t="str" cm="1">
        <f t="array" ref="P415">_xlfn.IFS(L415&lt;=3,"low",L415&lt;=6,"medium",L415&gt;=7,"high")</f>
        <v>low</v>
      </c>
    </row>
    <row r="416" spans="1:16" x14ac:dyDescent="0.3">
      <c r="A416">
        <v>16</v>
      </c>
      <c r="B416" t="s">
        <v>16</v>
      </c>
      <c r="C416">
        <v>6.5</v>
      </c>
      <c r="D416" t="s">
        <v>17</v>
      </c>
      <c r="E416">
        <v>5.3</v>
      </c>
      <c r="F416">
        <v>1.8</v>
      </c>
      <c r="G416">
        <v>2.29</v>
      </c>
      <c r="H416">
        <v>0.2</v>
      </c>
      <c r="I416" t="s">
        <v>18</v>
      </c>
      <c r="J416">
        <v>4</v>
      </c>
      <c r="K416">
        <v>10</v>
      </c>
      <c r="L416">
        <v>2</v>
      </c>
      <c r="M416">
        <v>0</v>
      </c>
      <c r="N416" t="str">
        <f t="shared" si="14"/>
        <v>16-19</v>
      </c>
      <c r="O416" t="str">
        <f t="shared" si="15"/>
        <v>low sleep</v>
      </c>
      <c r="P416" s="1" t="str" cm="1">
        <f t="array" ref="P416">_xlfn.IFS(L416&lt;=3,"low",L416&lt;=6,"medium",L416&gt;=7,"high")</f>
        <v>low</v>
      </c>
    </row>
    <row r="417" spans="1:16" x14ac:dyDescent="0.3">
      <c r="A417">
        <v>16</v>
      </c>
      <c r="B417" t="s">
        <v>16</v>
      </c>
      <c r="C417">
        <v>7.5</v>
      </c>
      <c r="D417" t="s">
        <v>17</v>
      </c>
      <c r="E417">
        <v>7.8</v>
      </c>
      <c r="F417">
        <v>1.3</v>
      </c>
      <c r="G417">
        <v>2.73</v>
      </c>
      <c r="H417">
        <v>1.5</v>
      </c>
      <c r="I417" t="s">
        <v>19</v>
      </c>
      <c r="J417">
        <v>4</v>
      </c>
      <c r="K417">
        <v>5</v>
      </c>
      <c r="L417">
        <v>8</v>
      </c>
      <c r="M417">
        <v>0</v>
      </c>
      <c r="N417" t="str">
        <f t="shared" si="14"/>
        <v>16-19</v>
      </c>
      <c r="O417" t="str">
        <f t="shared" si="15"/>
        <v>healthy sleep</v>
      </c>
      <c r="P417" s="1" t="str" cm="1">
        <f t="array" ref="P417">_xlfn.IFS(L417&lt;=3,"low",L417&lt;=6,"medium",L417&gt;=7,"high")</f>
        <v>high</v>
      </c>
    </row>
    <row r="418" spans="1:16" x14ac:dyDescent="0.3">
      <c r="A418">
        <v>16</v>
      </c>
      <c r="B418" t="s">
        <v>16</v>
      </c>
      <c r="C418">
        <v>3.1</v>
      </c>
      <c r="D418" t="s">
        <v>14</v>
      </c>
      <c r="E418">
        <v>7.9</v>
      </c>
      <c r="F418">
        <v>1.2</v>
      </c>
      <c r="G418">
        <v>2.85</v>
      </c>
      <c r="H418">
        <v>0.7</v>
      </c>
      <c r="I418" t="s">
        <v>18</v>
      </c>
      <c r="J418">
        <v>2</v>
      </c>
      <c r="K418">
        <v>2</v>
      </c>
      <c r="L418">
        <v>5</v>
      </c>
      <c r="M418">
        <v>0</v>
      </c>
      <c r="N418" t="str">
        <f t="shared" si="14"/>
        <v>16-19</v>
      </c>
      <c r="O418" t="str">
        <f t="shared" si="15"/>
        <v>healthy sleep</v>
      </c>
      <c r="P418" s="1" t="str" cm="1">
        <f t="array" ref="P418">_xlfn.IFS(L418&lt;=3,"low",L418&lt;=6,"medium",L418&gt;=7,"high")</f>
        <v>medium</v>
      </c>
    </row>
    <row r="419" spans="1:16" x14ac:dyDescent="0.3">
      <c r="A419">
        <v>19</v>
      </c>
      <c r="B419" t="s">
        <v>13</v>
      </c>
      <c r="C419">
        <v>5.9</v>
      </c>
      <c r="D419" t="s">
        <v>20</v>
      </c>
      <c r="E419">
        <v>7</v>
      </c>
      <c r="F419">
        <v>2.2999999999999998</v>
      </c>
      <c r="G419">
        <v>3</v>
      </c>
      <c r="H419">
        <v>1.6</v>
      </c>
      <c r="I419" t="s">
        <v>15</v>
      </c>
      <c r="J419">
        <v>3</v>
      </c>
      <c r="K419">
        <v>5</v>
      </c>
      <c r="L419">
        <v>10</v>
      </c>
      <c r="M419">
        <v>0</v>
      </c>
      <c r="N419" t="str">
        <f t="shared" si="14"/>
        <v>16-19</v>
      </c>
      <c r="O419" t="str">
        <f t="shared" si="15"/>
        <v>healthy sleep</v>
      </c>
      <c r="P419" s="1" t="str" cm="1">
        <f t="array" ref="P419">_xlfn.IFS(L419&lt;=3,"low",L419&lt;=6,"medium",L419&gt;=7,"high")</f>
        <v>high</v>
      </c>
    </row>
    <row r="420" spans="1:16" x14ac:dyDescent="0.3">
      <c r="A420">
        <v>15</v>
      </c>
      <c r="B420" t="s">
        <v>13</v>
      </c>
      <c r="C420">
        <v>7.9</v>
      </c>
      <c r="D420" t="s">
        <v>17</v>
      </c>
      <c r="E420">
        <v>4.0999999999999996</v>
      </c>
      <c r="F420">
        <v>0.7</v>
      </c>
      <c r="G420">
        <v>2.33</v>
      </c>
      <c r="H420">
        <v>1.2</v>
      </c>
      <c r="I420" t="s">
        <v>19</v>
      </c>
      <c r="J420">
        <v>3</v>
      </c>
      <c r="K420">
        <v>8</v>
      </c>
      <c r="L420">
        <v>1</v>
      </c>
      <c r="M420">
        <v>0</v>
      </c>
      <c r="N420" t="str">
        <f t="shared" si="14"/>
        <v>13-15</v>
      </c>
      <c r="O420" t="str">
        <f t="shared" si="15"/>
        <v>low sleep</v>
      </c>
      <c r="P420" s="1" t="str" cm="1">
        <f t="array" ref="P420">_xlfn.IFS(L420&lt;=3,"low",L420&lt;=6,"medium",L420&gt;=7,"high")</f>
        <v>low</v>
      </c>
    </row>
    <row r="421" spans="1:16" x14ac:dyDescent="0.3">
      <c r="A421">
        <v>15</v>
      </c>
      <c r="B421" t="s">
        <v>13</v>
      </c>
      <c r="C421">
        <v>5.0999999999999996</v>
      </c>
      <c r="D421" t="s">
        <v>14</v>
      </c>
      <c r="E421">
        <v>7.4</v>
      </c>
      <c r="F421">
        <v>0.7</v>
      </c>
      <c r="G421">
        <v>2.64</v>
      </c>
      <c r="H421">
        <v>0.2</v>
      </c>
      <c r="I421" t="s">
        <v>19</v>
      </c>
      <c r="J421">
        <v>5</v>
      </c>
      <c r="K421">
        <v>8</v>
      </c>
      <c r="L421">
        <v>1</v>
      </c>
      <c r="M421">
        <v>0</v>
      </c>
      <c r="N421" t="str">
        <f t="shared" si="14"/>
        <v>13-15</v>
      </c>
      <c r="O421" t="str">
        <f t="shared" si="15"/>
        <v>healthy sleep</v>
      </c>
      <c r="P421" s="1" t="str" cm="1">
        <f t="array" ref="P421">_xlfn.IFS(L421&lt;=3,"low",L421&lt;=6,"medium",L421&gt;=7,"high")</f>
        <v>low</v>
      </c>
    </row>
    <row r="422" spans="1:16" x14ac:dyDescent="0.3">
      <c r="A422">
        <v>16</v>
      </c>
      <c r="B422" t="s">
        <v>13</v>
      </c>
      <c r="C422">
        <v>1.9</v>
      </c>
      <c r="D422" t="s">
        <v>20</v>
      </c>
      <c r="E422">
        <v>5.8</v>
      </c>
      <c r="F422">
        <v>2.1</v>
      </c>
      <c r="G422">
        <v>2.27</v>
      </c>
      <c r="H422">
        <v>0.6</v>
      </c>
      <c r="I422" t="s">
        <v>19</v>
      </c>
      <c r="J422">
        <v>3</v>
      </c>
      <c r="K422">
        <v>3</v>
      </c>
      <c r="L422">
        <v>2</v>
      </c>
      <c r="M422">
        <v>0</v>
      </c>
      <c r="N422" t="str">
        <f t="shared" si="14"/>
        <v>16-19</v>
      </c>
      <c r="O422" t="str">
        <f t="shared" si="15"/>
        <v>low sleep</v>
      </c>
      <c r="P422" s="1" t="str" cm="1">
        <f t="array" ref="P422">_xlfn.IFS(L422&lt;=3,"low",L422&lt;=6,"medium",L422&gt;=7,"high")</f>
        <v>low</v>
      </c>
    </row>
    <row r="423" spans="1:16" x14ac:dyDescent="0.3">
      <c r="A423">
        <v>17</v>
      </c>
      <c r="B423" t="s">
        <v>13</v>
      </c>
      <c r="C423">
        <v>8</v>
      </c>
      <c r="D423" t="s">
        <v>14</v>
      </c>
      <c r="E423">
        <v>8.6999999999999993</v>
      </c>
      <c r="F423">
        <v>1.5</v>
      </c>
      <c r="G423">
        <v>3.7</v>
      </c>
      <c r="H423">
        <v>2</v>
      </c>
      <c r="I423" t="s">
        <v>18</v>
      </c>
      <c r="J423">
        <v>10</v>
      </c>
      <c r="K423">
        <v>9</v>
      </c>
      <c r="L423">
        <v>5</v>
      </c>
      <c r="M423">
        <v>0</v>
      </c>
      <c r="N423" t="str">
        <f t="shared" si="14"/>
        <v>16-19</v>
      </c>
      <c r="O423" t="str">
        <f t="shared" si="15"/>
        <v>healthy sleep</v>
      </c>
      <c r="P423" s="1" t="str" cm="1">
        <f t="array" ref="P423">_xlfn.IFS(L423&lt;=3,"low",L423&lt;=6,"medium",L423&gt;=7,"high")</f>
        <v>medium</v>
      </c>
    </row>
    <row r="424" spans="1:16" x14ac:dyDescent="0.3">
      <c r="A424">
        <v>19</v>
      </c>
      <c r="B424" t="s">
        <v>13</v>
      </c>
      <c r="C424">
        <v>2.9</v>
      </c>
      <c r="D424" t="s">
        <v>20</v>
      </c>
      <c r="E424">
        <v>4</v>
      </c>
      <c r="F424">
        <v>0.5</v>
      </c>
      <c r="G424">
        <v>3.16</v>
      </c>
      <c r="H424">
        <v>0.2</v>
      </c>
      <c r="I424" t="s">
        <v>18</v>
      </c>
      <c r="J424">
        <v>7</v>
      </c>
      <c r="K424">
        <v>6</v>
      </c>
      <c r="L424">
        <v>3</v>
      </c>
      <c r="M424">
        <v>0</v>
      </c>
      <c r="N424" t="str">
        <f t="shared" si="14"/>
        <v>16-19</v>
      </c>
      <c r="O424" t="str">
        <f t="shared" si="15"/>
        <v>low sleep</v>
      </c>
      <c r="P424" s="1" t="str" cm="1">
        <f t="array" ref="P424">_xlfn.IFS(L424&lt;=3,"low",L424&lt;=6,"medium",L424&gt;=7,"high")</f>
        <v>low</v>
      </c>
    </row>
    <row r="425" spans="1:16" x14ac:dyDescent="0.3">
      <c r="A425">
        <v>14</v>
      </c>
      <c r="B425" t="s">
        <v>13</v>
      </c>
      <c r="C425">
        <v>4.3</v>
      </c>
      <c r="D425" t="s">
        <v>14</v>
      </c>
      <c r="E425">
        <v>8.4</v>
      </c>
      <c r="F425">
        <v>0.9</v>
      </c>
      <c r="G425">
        <v>3.2</v>
      </c>
      <c r="H425">
        <v>1.6</v>
      </c>
      <c r="I425" t="s">
        <v>18</v>
      </c>
      <c r="J425">
        <v>10</v>
      </c>
      <c r="K425">
        <v>10</v>
      </c>
      <c r="L425">
        <v>1</v>
      </c>
      <c r="M425">
        <v>0</v>
      </c>
      <c r="N425" t="str">
        <f t="shared" si="14"/>
        <v>13-15</v>
      </c>
      <c r="O425" t="str">
        <f t="shared" si="15"/>
        <v>healthy sleep</v>
      </c>
      <c r="P425" s="1" t="str" cm="1">
        <f t="array" ref="P425">_xlfn.IFS(L425&lt;=3,"low",L425&lt;=6,"medium",L425&gt;=7,"high")</f>
        <v>low</v>
      </c>
    </row>
    <row r="426" spans="1:16" x14ac:dyDescent="0.3">
      <c r="A426">
        <v>16</v>
      </c>
      <c r="B426" t="s">
        <v>13</v>
      </c>
      <c r="C426">
        <v>1.1000000000000001</v>
      </c>
      <c r="D426" t="s">
        <v>14</v>
      </c>
      <c r="E426">
        <v>6.4</v>
      </c>
      <c r="F426">
        <v>3</v>
      </c>
      <c r="G426">
        <v>2.5099999999999998</v>
      </c>
      <c r="H426">
        <v>0.1</v>
      </c>
      <c r="I426" t="s">
        <v>19</v>
      </c>
      <c r="J426">
        <v>8</v>
      </c>
      <c r="K426">
        <v>6</v>
      </c>
      <c r="L426">
        <v>9</v>
      </c>
      <c r="M426">
        <v>0</v>
      </c>
      <c r="N426" t="str">
        <f t="shared" si="14"/>
        <v>16-19</v>
      </c>
      <c r="O426" t="str">
        <f t="shared" si="15"/>
        <v>healthy sleep</v>
      </c>
      <c r="P426" s="1" t="str" cm="1">
        <f t="array" ref="P426">_xlfn.IFS(L426&lt;=3,"low",L426&lt;=6,"medium",L426&gt;=7,"high")</f>
        <v>high</v>
      </c>
    </row>
    <row r="427" spans="1:16" x14ac:dyDescent="0.3">
      <c r="A427">
        <v>16</v>
      </c>
      <c r="B427" t="s">
        <v>13</v>
      </c>
      <c r="C427">
        <v>4.9000000000000004</v>
      </c>
      <c r="D427" t="s">
        <v>14</v>
      </c>
      <c r="E427">
        <v>5.7</v>
      </c>
      <c r="F427">
        <v>1.2</v>
      </c>
      <c r="G427">
        <v>2.0699999999999998</v>
      </c>
      <c r="H427">
        <v>0.1</v>
      </c>
      <c r="I427" t="s">
        <v>19</v>
      </c>
      <c r="J427">
        <v>8</v>
      </c>
      <c r="K427">
        <v>2</v>
      </c>
      <c r="L427">
        <v>1</v>
      </c>
      <c r="M427">
        <v>0</v>
      </c>
      <c r="N427" t="str">
        <f t="shared" si="14"/>
        <v>16-19</v>
      </c>
      <c r="O427" t="str">
        <f t="shared" si="15"/>
        <v>low sleep</v>
      </c>
      <c r="P427" s="1" t="str" cm="1">
        <f t="array" ref="P427">_xlfn.IFS(L427&lt;=3,"low",L427&lt;=6,"medium",L427&gt;=7,"high")</f>
        <v>low</v>
      </c>
    </row>
    <row r="428" spans="1:16" x14ac:dyDescent="0.3">
      <c r="A428">
        <v>14</v>
      </c>
      <c r="B428" t="s">
        <v>13</v>
      </c>
      <c r="C428">
        <v>6.1</v>
      </c>
      <c r="D428" t="s">
        <v>20</v>
      </c>
      <c r="E428">
        <v>7.6</v>
      </c>
      <c r="F428">
        <v>1.4</v>
      </c>
      <c r="G428">
        <v>2.72</v>
      </c>
      <c r="H428">
        <v>0.9</v>
      </c>
      <c r="I428" t="s">
        <v>15</v>
      </c>
      <c r="J428">
        <v>9</v>
      </c>
      <c r="K428">
        <v>3</v>
      </c>
      <c r="L428">
        <v>3</v>
      </c>
      <c r="M428">
        <v>0</v>
      </c>
      <c r="N428" t="str">
        <f t="shared" si="14"/>
        <v>13-15</v>
      </c>
      <c r="O428" t="str">
        <f t="shared" si="15"/>
        <v>healthy sleep</v>
      </c>
      <c r="P428" s="1" t="str" cm="1">
        <f t="array" ref="P428">_xlfn.IFS(L428&lt;=3,"low",L428&lt;=6,"medium",L428&gt;=7,"high")</f>
        <v>low</v>
      </c>
    </row>
    <row r="429" spans="1:16" x14ac:dyDescent="0.3">
      <c r="A429">
        <v>15</v>
      </c>
      <c r="B429" t="s">
        <v>16</v>
      </c>
      <c r="C429">
        <v>2.7</v>
      </c>
      <c r="D429" t="s">
        <v>20</v>
      </c>
      <c r="E429">
        <v>6.5</v>
      </c>
      <c r="F429">
        <v>1.6</v>
      </c>
      <c r="G429">
        <v>2.14</v>
      </c>
      <c r="H429">
        <v>0.4</v>
      </c>
      <c r="I429" t="s">
        <v>18</v>
      </c>
      <c r="J429">
        <v>6</v>
      </c>
      <c r="K429">
        <v>6</v>
      </c>
      <c r="L429">
        <v>6</v>
      </c>
      <c r="M429">
        <v>0</v>
      </c>
      <c r="N429" t="str">
        <f t="shared" si="14"/>
        <v>13-15</v>
      </c>
      <c r="O429" t="str">
        <f t="shared" si="15"/>
        <v>healthy sleep</v>
      </c>
      <c r="P429" s="1" t="str" cm="1">
        <f t="array" ref="P429">_xlfn.IFS(L429&lt;=3,"low",L429&lt;=6,"medium",L429&gt;=7,"high")</f>
        <v>medium</v>
      </c>
    </row>
    <row r="430" spans="1:16" x14ac:dyDescent="0.3">
      <c r="A430">
        <v>16</v>
      </c>
      <c r="B430" t="s">
        <v>16</v>
      </c>
      <c r="C430">
        <v>7.8</v>
      </c>
      <c r="D430" t="s">
        <v>20</v>
      </c>
      <c r="E430">
        <v>7.4</v>
      </c>
      <c r="F430">
        <v>0.7</v>
      </c>
      <c r="G430">
        <v>2.54</v>
      </c>
      <c r="H430">
        <v>1.2</v>
      </c>
      <c r="I430" t="s">
        <v>19</v>
      </c>
      <c r="J430">
        <v>10</v>
      </c>
      <c r="K430">
        <v>4</v>
      </c>
      <c r="L430">
        <v>9</v>
      </c>
      <c r="M430">
        <v>0</v>
      </c>
      <c r="N430" t="str">
        <f t="shared" si="14"/>
        <v>16-19</v>
      </c>
      <c r="O430" t="str">
        <f t="shared" si="15"/>
        <v>healthy sleep</v>
      </c>
      <c r="P430" s="1" t="str" cm="1">
        <f t="array" ref="P430">_xlfn.IFS(L430&lt;=3,"low",L430&lt;=6,"medium",L430&gt;=7,"high")</f>
        <v>high</v>
      </c>
    </row>
    <row r="431" spans="1:16" x14ac:dyDescent="0.3">
      <c r="A431">
        <v>18</v>
      </c>
      <c r="B431" t="s">
        <v>13</v>
      </c>
      <c r="C431">
        <v>4.2</v>
      </c>
      <c r="D431" t="s">
        <v>17</v>
      </c>
      <c r="E431">
        <v>6.5</v>
      </c>
      <c r="F431">
        <v>1.4</v>
      </c>
      <c r="G431">
        <v>2.91</v>
      </c>
      <c r="H431">
        <v>1.5</v>
      </c>
      <c r="I431" t="s">
        <v>15</v>
      </c>
      <c r="J431">
        <v>5</v>
      </c>
      <c r="K431">
        <v>6</v>
      </c>
      <c r="L431">
        <v>4</v>
      </c>
      <c r="M431">
        <v>0</v>
      </c>
      <c r="N431" t="str">
        <f t="shared" si="14"/>
        <v>16-19</v>
      </c>
      <c r="O431" t="str">
        <f t="shared" si="15"/>
        <v>healthy sleep</v>
      </c>
      <c r="P431" s="1" t="str" cm="1">
        <f t="array" ref="P431">_xlfn.IFS(L431&lt;=3,"low",L431&lt;=6,"medium",L431&gt;=7,"high")</f>
        <v>medium</v>
      </c>
    </row>
    <row r="432" spans="1:16" x14ac:dyDescent="0.3">
      <c r="A432">
        <v>13</v>
      </c>
      <c r="B432" t="s">
        <v>16</v>
      </c>
      <c r="C432">
        <v>4.4000000000000004</v>
      </c>
      <c r="D432" t="s">
        <v>14</v>
      </c>
      <c r="E432">
        <v>5.5</v>
      </c>
      <c r="F432">
        <v>2.7</v>
      </c>
      <c r="G432">
        <v>3.17</v>
      </c>
      <c r="H432">
        <v>0.3</v>
      </c>
      <c r="I432" t="s">
        <v>15</v>
      </c>
      <c r="J432">
        <v>5</v>
      </c>
      <c r="K432">
        <v>1</v>
      </c>
      <c r="L432">
        <v>5</v>
      </c>
      <c r="M432">
        <v>0</v>
      </c>
      <c r="N432" t="str">
        <f t="shared" si="14"/>
        <v>13-15</v>
      </c>
      <c r="O432" t="str">
        <f t="shared" si="15"/>
        <v>low sleep</v>
      </c>
      <c r="P432" s="1" t="str" cm="1">
        <f t="array" ref="P432">_xlfn.IFS(L432&lt;=3,"low",L432&lt;=6,"medium",L432&gt;=7,"high")</f>
        <v>medium</v>
      </c>
    </row>
    <row r="433" spans="1:16" x14ac:dyDescent="0.3">
      <c r="A433">
        <v>13</v>
      </c>
      <c r="B433" t="s">
        <v>16</v>
      </c>
      <c r="C433">
        <v>1.4</v>
      </c>
      <c r="D433" t="s">
        <v>20</v>
      </c>
      <c r="E433">
        <v>7.8</v>
      </c>
      <c r="F433">
        <v>0.6</v>
      </c>
      <c r="G433">
        <v>3.42</v>
      </c>
      <c r="H433">
        <v>1.6</v>
      </c>
      <c r="I433" t="s">
        <v>19</v>
      </c>
      <c r="J433">
        <v>10</v>
      </c>
      <c r="K433">
        <v>4</v>
      </c>
      <c r="L433">
        <v>6</v>
      </c>
      <c r="M433">
        <v>0</v>
      </c>
      <c r="N433" t="str">
        <f t="shared" si="14"/>
        <v>13-15</v>
      </c>
      <c r="O433" t="str">
        <f t="shared" si="15"/>
        <v>healthy sleep</v>
      </c>
      <c r="P433" s="1" t="str" cm="1">
        <f t="array" ref="P433">_xlfn.IFS(L433&lt;=3,"low",L433&lt;=6,"medium",L433&gt;=7,"high")</f>
        <v>medium</v>
      </c>
    </row>
    <row r="434" spans="1:16" x14ac:dyDescent="0.3">
      <c r="A434">
        <v>17</v>
      </c>
      <c r="B434" t="s">
        <v>13</v>
      </c>
      <c r="C434">
        <v>3.7</v>
      </c>
      <c r="D434" t="s">
        <v>17</v>
      </c>
      <c r="E434">
        <v>7.2</v>
      </c>
      <c r="F434">
        <v>0.6</v>
      </c>
      <c r="G434">
        <v>3.34</v>
      </c>
      <c r="H434">
        <v>1.8</v>
      </c>
      <c r="I434" t="s">
        <v>18</v>
      </c>
      <c r="J434">
        <v>2</v>
      </c>
      <c r="K434">
        <v>6</v>
      </c>
      <c r="L434">
        <v>2</v>
      </c>
      <c r="M434">
        <v>0</v>
      </c>
      <c r="N434" t="str">
        <f t="shared" si="14"/>
        <v>16-19</v>
      </c>
      <c r="O434" t="str">
        <f t="shared" si="15"/>
        <v>healthy sleep</v>
      </c>
      <c r="P434" s="1" t="str" cm="1">
        <f t="array" ref="P434">_xlfn.IFS(L434&lt;=3,"low",L434&lt;=6,"medium",L434&gt;=7,"high")</f>
        <v>low</v>
      </c>
    </row>
    <row r="435" spans="1:16" x14ac:dyDescent="0.3">
      <c r="A435">
        <v>14</v>
      </c>
      <c r="B435" t="s">
        <v>13</v>
      </c>
      <c r="C435">
        <v>3.8</v>
      </c>
      <c r="D435" t="s">
        <v>14</v>
      </c>
      <c r="E435">
        <v>8.9</v>
      </c>
      <c r="F435">
        <v>1.9</v>
      </c>
      <c r="G435">
        <v>2.77</v>
      </c>
      <c r="H435">
        <v>0.2</v>
      </c>
      <c r="I435" t="s">
        <v>19</v>
      </c>
      <c r="J435">
        <v>6</v>
      </c>
      <c r="K435">
        <v>2</v>
      </c>
      <c r="L435">
        <v>2</v>
      </c>
      <c r="M435">
        <v>0</v>
      </c>
      <c r="N435" t="str">
        <f t="shared" si="14"/>
        <v>13-15</v>
      </c>
      <c r="O435" t="str">
        <f t="shared" si="15"/>
        <v>healthy sleep</v>
      </c>
      <c r="P435" s="1" t="str" cm="1">
        <f t="array" ref="P435">_xlfn.IFS(L435&lt;=3,"low",L435&lt;=6,"medium",L435&gt;=7,"high")</f>
        <v>low</v>
      </c>
    </row>
    <row r="436" spans="1:16" x14ac:dyDescent="0.3">
      <c r="A436">
        <v>15</v>
      </c>
      <c r="B436" t="s">
        <v>16</v>
      </c>
      <c r="C436">
        <v>5.4</v>
      </c>
      <c r="D436" t="s">
        <v>17</v>
      </c>
      <c r="E436">
        <v>7</v>
      </c>
      <c r="F436">
        <v>1.8</v>
      </c>
      <c r="G436">
        <v>2.54</v>
      </c>
      <c r="H436">
        <v>0.1</v>
      </c>
      <c r="I436" t="s">
        <v>15</v>
      </c>
      <c r="J436">
        <v>1</v>
      </c>
      <c r="K436">
        <v>4</v>
      </c>
      <c r="L436">
        <v>4</v>
      </c>
      <c r="M436">
        <v>0</v>
      </c>
      <c r="N436" t="str">
        <f t="shared" si="14"/>
        <v>13-15</v>
      </c>
      <c r="O436" t="str">
        <f t="shared" si="15"/>
        <v>healthy sleep</v>
      </c>
      <c r="P436" s="1" t="str" cm="1">
        <f t="array" ref="P436">_xlfn.IFS(L436&lt;=3,"low",L436&lt;=6,"medium",L436&gt;=7,"high")</f>
        <v>medium</v>
      </c>
    </row>
    <row r="437" spans="1:16" x14ac:dyDescent="0.3">
      <c r="A437">
        <v>17</v>
      </c>
      <c r="B437" t="s">
        <v>13</v>
      </c>
      <c r="C437">
        <v>4</v>
      </c>
      <c r="D437" t="s">
        <v>20</v>
      </c>
      <c r="E437">
        <v>4.3</v>
      </c>
      <c r="F437">
        <v>1.8</v>
      </c>
      <c r="G437">
        <v>2.17</v>
      </c>
      <c r="H437">
        <v>0.9</v>
      </c>
      <c r="I437" t="s">
        <v>18</v>
      </c>
      <c r="J437">
        <v>8</v>
      </c>
      <c r="K437">
        <v>8</v>
      </c>
      <c r="L437">
        <v>3</v>
      </c>
      <c r="M437">
        <v>0</v>
      </c>
      <c r="N437" t="str">
        <f t="shared" si="14"/>
        <v>16-19</v>
      </c>
      <c r="O437" t="str">
        <f t="shared" si="15"/>
        <v>low sleep</v>
      </c>
      <c r="P437" s="1" t="str" cm="1">
        <f t="array" ref="P437">_xlfn.IFS(L437&lt;=3,"low",L437&lt;=6,"medium",L437&gt;=7,"high")</f>
        <v>low</v>
      </c>
    </row>
    <row r="438" spans="1:16" x14ac:dyDescent="0.3">
      <c r="A438">
        <v>19</v>
      </c>
      <c r="B438" t="s">
        <v>13</v>
      </c>
      <c r="C438">
        <v>3.5</v>
      </c>
      <c r="D438" t="s">
        <v>17</v>
      </c>
      <c r="E438">
        <v>5.8</v>
      </c>
      <c r="F438">
        <v>1.8</v>
      </c>
      <c r="G438">
        <v>3.3</v>
      </c>
      <c r="H438">
        <v>0.9</v>
      </c>
      <c r="I438" t="s">
        <v>15</v>
      </c>
      <c r="J438">
        <v>7</v>
      </c>
      <c r="K438">
        <v>6</v>
      </c>
      <c r="L438">
        <v>9</v>
      </c>
      <c r="M438">
        <v>0</v>
      </c>
      <c r="N438" t="str">
        <f t="shared" si="14"/>
        <v>16-19</v>
      </c>
      <c r="O438" t="str">
        <f t="shared" si="15"/>
        <v>low sleep</v>
      </c>
      <c r="P438" s="1" t="str" cm="1">
        <f t="array" ref="P438">_xlfn.IFS(L438&lt;=3,"low",L438&lt;=6,"medium",L438&gt;=7,"high")</f>
        <v>high</v>
      </c>
    </row>
    <row r="439" spans="1:16" x14ac:dyDescent="0.3">
      <c r="A439">
        <v>17</v>
      </c>
      <c r="B439" t="s">
        <v>13</v>
      </c>
      <c r="C439">
        <v>1.3</v>
      </c>
      <c r="D439" t="s">
        <v>20</v>
      </c>
      <c r="E439">
        <v>8.3000000000000007</v>
      </c>
      <c r="F439">
        <v>1</v>
      </c>
      <c r="G439">
        <v>3.95</v>
      </c>
      <c r="H439">
        <v>1.2</v>
      </c>
      <c r="I439" t="s">
        <v>19</v>
      </c>
      <c r="J439">
        <v>4</v>
      </c>
      <c r="K439">
        <v>1</v>
      </c>
      <c r="L439">
        <v>1</v>
      </c>
      <c r="M439">
        <v>0</v>
      </c>
      <c r="N439" t="str">
        <f t="shared" si="14"/>
        <v>16-19</v>
      </c>
      <c r="O439" t="str">
        <f t="shared" si="15"/>
        <v>healthy sleep</v>
      </c>
      <c r="P439" s="1" t="str" cm="1">
        <f t="array" ref="P439">_xlfn.IFS(L439&lt;=3,"low",L439&lt;=6,"medium",L439&gt;=7,"high")</f>
        <v>low</v>
      </c>
    </row>
    <row r="440" spans="1:16" x14ac:dyDescent="0.3">
      <c r="A440">
        <v>14</v>
      </c>
      <c r="B440" t="s">
        <v>13</v>
      </c>
      <c r="C440">
        <v>5.6</v>
      </c>
      <c r="D440" t="s">
        <v>14</v>
      </c>
      <c r="E440">
        <v>8.8000000000000007</v>
      </c>
      <c r="F440">
        <v>0.9</v>
      </c>
      <c r="G440">
        <v>3.03</v>
      </c>
      <c r="H440">
        <v>2</v>
      </c>
      <c r="I440" t="s">
        <v>15</v>
      </c>
      <c r="J440">
        <v>8</v>
      </c>
      <c r="K440">
        <v>10</v>
      </c>
      <c r="L440">
        <v>3</v>
      </c>
      <c r="M440">
        <v>0</v>
      </c>
      <c r="N440" t="str">
        <f t="shared" si="14"/>
        <v>13-15</v>
      </c>
      <c r="O440" t="str">
        <f t="shared" si="15"/>
        <v>healthy sleep</v>
      </c>
      <c r="P440" s="1" t="str" cm="1">
        <f t="array" ref="P440">_xlfn.IFS(L440&lt;=3,"low",L440&lt;=6,"medium",L440&gt;=7,"high")</f>
        <v>low</v>
      </c>
    </row>
    <row r="441" spans="1:16" x14ac:dyDescent="0.3">
      <c r="A441">
        <v>13</v>
      </c>
      <c r="B441" t="s">
        <v>16</v>
      </c>
      <c r="C441">
        <v>2.4</v>
      </c>
      <c r="D441" t="s">
        <v>14</v>
      </c>
      <c r="E441">
        <v>5.5</v>
      </c>
      <c r="F441">
        <v>0.6</v>
      </c>
      <c r="G441">
        <v>3.56</v>
      </c>
      <c r="H441">
        <v>1.6</v>
      </c>
      <c r="I441" t="s">
        <v>19</v>
      </c>
      <c r="J441">
        <v>4</v>
      </c>
      <c r="K441">
        <v>8</v>
      </c>
      <c r="L441">
        <v>7</v>
      </c>
      <c r="M441">
        <v>0</v>
      </c>
      <c r="N441" t="str">
        <f t="shared" si="14"/>
        <v>13-15</v>
      </c>
      <c r="O441" t="str">
        <f t="shared" si="15"/>
        <v>low sleep</v>
      </c>
      <c r="P441" s="1" t="str" cm="1">
        <f t="array" ref="P441">_xlfn.IFS(L441&lt;=3,"low",L441&lt;=6,"medium",L441&gt;=7,"high")</f>
        <v>high</v>
      </c>
    </row>
    <row r="442" spans="1:16" x14ac:dyDescent="0.3">
      <c r="A442">
        <v>16</v>
      </c>
      <c r="B442" t="s">
        <v>13</v>
      </c>
      <c r="C442">
        <v>2</v>
      </c>
      <c r="D442" t="s">
        <v>20</v>
      </c>
      <c r="E442">
        <v>7.8</v>
      </c>
      <c r="F442">
        <v>2.8</v>
      </c>
      <c r="G442">
        <v>2.1</v>
      </c>
      <c r="H442">
        <v>0.6</v>
      </c>
      <c r="I442" t="s">
        <v>19</v>
      </c>
      <c r="J442">
        <v>2</v>
      </c>
      <c r="K442">
        <v>6</v>
      </c>
      <c r="L442">
        <v>8</v>
      </c>
      <c r="M442">
        <v>0</v>
      </c>
      <c r="N442" t="str">
        <f t="shared" si="14"/>
        <v>16-19</v>
      </c>
      <c r="O442" t="str">
        <f t="shared" si="15"/>
        <v>healthy sleep</v>
      </c>
      <c r="P442" s="1" t="str" cm="1">
        <f t="array" ref="P442">_xlfn.IFS(L442&lt;=3,"low",L442&lt;=6,"medium",L442&gt;=7,"high")</f>
        <v>high</v>
      </c>
    </row>
    <row r="443" spans="1:16" x14ac:dyDescent="0.3">
      <c r="A443">
        <v>15</v>
      </c>
      <c r="B443" t="s">
        <v>13</v>
      </c>
      <c r="C443">
        <v>6.6</v>
      </c>
      <c r="D443" t="s">
        <v>14</v>
      </c>
      <c r="E443">
        <v>8.6</v>
      </c>
      <c r="F443">
        <v>1.5</v>
      </c>
      <c r="G443">
        <v>2.63</v>
      </c>
      <c r="H443">
        <v>1.1000000000000001</v>
      </c>
      <c r="I443" t="s">
        <v>15</v>
      </c>
      <c r="J443">
        <v>1</v>
      </c>
      <c r="K443">
        <v>9</v>
      </c>
      <c r="L443">
        <v>9</v>
      </c>
      <c r="M443">
        <v>0</v>
      </c>
      <c r="N443" t="str">
        <f t="shared" si="14"/>
        <v>13-15</v>
      </c>
      <c r="O443" t="str">
        <f t="shared" si="15"/>
        <v>healthy sleep</v>
      </c>
      <c r="P443" s="1" t="str" cm="1">
        <f t="array" ref="P443">_xlfn.IFS(L443&lt;=3,"low",L443&lt;=6,"medium",L443&gt;=7,"high")</f>
        <v>high</v>
      </c>
    </row>
    <row r="444" spans="1:16" x14ac:dyDescent="0.3">
      <c r="A444">
        <v>17</v>
      </c>
      <c r="B444" t="s">
        <v>16</v>
      </c>
      <c r="C444">
        <v>2.2999999999999998</v>
      </c>
      <c r="D444" t="s">
        <v>17</v>
      </c>
      <c r="E444">
        <v>6.4</v>
      </c>
      <c r="F444">
        <v>2.4</v>
      </c>
      <c r="G444">
        <v>3.61</v>
      </c>
      <c r="H444">
        <v>0.6</v>
      </c>
      <c r="I444" t="s">
        <v>19</v>
      </c>
      <c r="J444">
        <v>2</v>
      </c>
      <c r="K444">
        <v>1</v>
      </c>
      <c r="L444">
        <v>1</v>
      </c>
      <c r="M444">
        <v>0</v>
      </c>
      <c r="N444" t="str">
        <f t="shared" si="14"/>
        <v>16-19</v>
      </c>
      <c r="O444" t="str">
        <f t="shared" si="15"/>
        <v>healthy sleep</v>
      </c>
      <c r="P444" s="1" t="str" cm="1">
        <f t="array" ref="P444">_xlfn.IFS(L444&lt;=3,"low",L444&lt;=6,"medium",L444&gt;=7,"high")</f>
        <v>low</v>
      </c>
    </row>
    <row r="445" spans="1:16" x14ac:dyDescent="0.3">
      <c r="A445">
        <v>16</v>
      </c>
      <c r="B445" t="s">
        <v>13</v>
      </c>
      <c r="C445">
        <v>6.4</v>
      </c>
      <c r="D445" t="s">
        <v>17</v>
      </c>
      <c r="E445">
        <v>5.4</v>
      </c>
      <c r="F445">
        <v>1.4</v>
      </c>
      <c r="G445">
        <v>2.42</v>
      </c>
      <c r="H445">
        <v>1.9</v>
      </c>
      <c r="I445" t="s">
        <v>19</v>
      </c>
      <c r="J445">
        <v>4</v>
      </c>
      <c r="K445">
        <v>9</v>
      </c>
      <c r="L445">
        <v>5</v>
      </c>
      <c r="M445">
        <v>0</v>
      </c>
      <c r="N445" t="str">
        <f t="shared" si="14"/>
        <v>16-19</v>
      </c>
      <c r="O445" t="str">
        <f t="shared" si="15"/>
        <v>low sleep</v>
      </c>
      <c r="P445" s="1" t="str" cm="1">
        <f t="array" ref="P445">_xlfn.IFS(L445&lt;=3,"low",L445&lt;=6,"medium",L445&gt;=7,"high")</f>
        <v>medium</v>
      </c>
    </row>
    <row r="446" spans="1:16" x14ac:dyDescent="0.3">
      <c r="A446">
        <v>18</v>
      </c>
      <c r="B446" t="s">
        <v>16</v>
      </c>
      <c r="C446">
        <v>3.5</v>
      </c>
      <c r="D446" t="s">
        <v>20</v>
      </c>
      <c r="E446">
        <v>5.9</v>
      </c>
      <c r="F446">
        <v>1.3</v>
      </c>
      <c r="G446">
        <v>3.68</v>
      </c>
      <c r="H446">
        <v>2</v>
      </c>
      <c r="I446" t="s">
        <v>19</v>
      </c>
      <c r="J446">
        <v>7</v>
      </c>
      <c r="K446">
        <v>4</v>
      </c>
      <c r="L446">
        <v>10</v>
      </c>
      <c r="M446">
        <v>0</v>
      </c>
      <c r="N446" t="str">
        <f t="shared" si="14"/>
        <v>16-19</v>
      </c>
      <c r="O446" t="str">
        <f t="shared" si="15"/>
        <v>low sleep</v>
      </c>
      <c r="P446" s="1" t="str" cm="1">
        <f t="array" ref="P446">_xlfn.IFS(L446&lt;=3,"low",L446&lt;=6,"medium",L446&gt;=7,"high")</f>
        <v>high</v>
      </c>
    </row>
    <row r="447" spans="1:16" x14ac:dyDescent="0.3">
      <c r="A447">
        <v>18</v>
      </c>
      <c r="B447" t="s">
        <v>16</v>
      </c>
      <c r="C447">
        <v>1.7</v>
      </c>
      <c r="D447" t="s">
        <v>14</v>
      </c>
      <c r="E447">
        <v>8.5</v>
      </c>
      <c r="F447">
        <v>1</v>
      </c>
      <c r="G447">
        <v>3.32</v>
      </c>
      <c r="H447">
        <v>1.3</v>
      </c>
      <c r="I447" t="s">
        <v>19</v>
      </c>
      <c r="J447">
        <v>1</v>
      </c>
      <c r="K447">
        <v>1</v>
      </c>
      <c r="L447">
        <v>7</v>
      </c>
      <c r="M447">
        <v>0</v>
      </c>
      <c r="N447" t="str">
        <f t="shared" si="14"/>
        <v>16-19</v>
      </c>
      <c r="O447" t="str">
        <f t="shared" si="15"/>
        <v>healthy sleep</v>
      </c>
      <c r="P447" s="1" t="str" cm="1">
        <f t="array" ref="P447">_xlfn.IFS(L447&lt;=3,"low",L447&lt;=6,"medium",L447&gt;=7,"high")</f>
        <v>high</v>
      </c>
    </row>
    <row r="448" spans="1:16" x14ac:dyDescent="0.3">
      <c r="A448">
        <v>14</v>
      </c>
      <c r="B448" t="s">
        <v>13</v>
      </c>
      <c r="C448">
        <v>4.0999999999999996</v>
      </c>
      <c r="D448" t="s">
        <v>14</v>
      </c>
      <c r="E448">
        <v>8.1999999999999993</v>
      </c>
      <c r="F448">
        <v>1.7</v>
      </c>
      <c r="G448">
        <v>2.3199999999999998</v>
      </c>
      <c r="H448">
        <v>1.4</v>
      </c>
      <c r="I448" t="s">
        <v>18</v>
      </c>
      <c r="J448">
        <v>9</v>
      </c>
      <c r="K448">
        <v>2</v>
      </c>
      <c r="L448">
        <v>4</v>
      </c>
      <c r="M448">
        <v>0</v>
      </c>
      <c r="N448" t="str">
        <f t="shared" si="14"/>
        <v>13-15</v>
      </c>
      <c r="O448" t="str">
        <f t="shared" si="15"/>
        <v>healthy sleep</v>
      </c>
      <c r="P448" s="1" t="str" cm="1">
        <f t="array" ref="P448">_xlfn.IFS(L448&lt;=3,"low",L448&lt;=6,"medium",L448&gt;=7,"high")</f>
        <v>medium</v>
      </c>
    </row>
    <row r="449" spans="1:16" x14ac:dyDescent="0.3">
      <c r="A449">
        <v>14</v>
      </c>
      <c r="B449" t="s">
        <v>13</v>
      </c>
      <c r="C449">
        <v>3.3</v>
      </c>
      <c r="D449" t="s">
        <v>14</v>
      </c>
      <c r="E449">
        <v>6.5</v>
      </c>
      <c r="F449">
        <v>0.8</v>
      </c>
      <c r="G449">
        <v>2.54</v>
      </c>
      <c r="H449">
        <v>0.8</v>
      </c>
      <c r="I449" t="s">
        <v>15</v>
      </c>
      <c r="J449">
        <v>1</v>
      </c>
      <c r="K449">
        <v>2</v>
      </c>
      <c r="L449">
        <v>3</v>
      </c>
      <c r="M449">
        <v>0</v>
      </c>
      <c r="N449" t="str">
        <f t="shared" si="14"/>
        <v>13-15</v>
      </c>
      <c r="O449" t="str">
        <f t="shared" si="15"/>
        <v>healthy sleep</v>
      </c>
      <c r="P449" s="1" t="str" cm="1">
        <f t="array" ref="P449">_xlfn.IFS(L449&lt;=3,"low",L449&lt;=6,"medium",L449&gt;=7,"high")</f>
        <v>low</v>
      </c>
    </row>
    <row r="450" spans="1:16" x14ac:dyDescent="0.3">
      <c r="A450">
        <v>14</v>
      </c>
      <c r="B450" t="s">
        <v>16</v>
      </c>
      <c r="C450">
        <v>5</v>
      </c>
      <c r="D450" t="s">
        <v>17</v>
      </c>
      <c r="E450">
        <v>4.9000000000000004</v>
      </c>
      <c r="F450">
        <v>2.6</v>
      </c>
      <c r="G450">
        <v>3.82</v>
      </c>
      <c r="H450">
        <v>1.9</v>
      </c>
      <c r="I450" t="s">
        <v>19</v>
      </c>
      <c r="J450">
        <v>3</v>
      </c>
      <c r="K450">
        <v>10</v>
      </c>
      <c r="L450">
        <v>10</v>
      </c>
      <c r="M450">
        <v>0</v>
      </c>
      <c r="N450" t="str">
        <f t="shared" si="14"/>
        <v>13-15</v>
      </c>
      <c r="O450" t="str">
        <f t="shared" si="15"/>
        <v>low sleep</v>
      </c>
      <c r="P450" s="1" t="str" cm="1">
        <f t="array" ref="P450">_xlfn.IFS(L450&lt;=3,"low",L450&lt;=6,"medium",L450&gt;=7,"high")</f>
        <v>high</v>
      </c>
    </row>
    <row r="451" spans="1:16" x14ac:dyDescent="0.3">
      <c r="A451">
        <v>19</v>
      </c>
      <c r="B451" t="s">
        <v>16</v>
      </c>
      <c r="C451">
        <v>1.5</v>
      </c>
      <c r="D451" t="s">
        <v>14</v>
      </c>
      <c r="E451">
        <v>8.4</v>
      </c>
      <c r="F451">
        <v>3</v>
      </c>
      <c r="G451">
        <v>2.46</v>
      </c>
      <c r="H451">
        <v>1.5</v>
      </c>
      <c r="I451" t="s">
        <v>18</v>
      </c>
      <c r="J451">
        <v>1</v>
      </c>
      <c r="K451">
        <v>7</v>
      </c>
      <c r="L451">
        <v>6</v>
      </c>
      <c r="M451">
        <v>0</v>
      </c>
      <c r="N451" t="str">
        <f t="shared" ref="N451:N514" si="16">IF(A451&lt;=15,"13-15","16-19")</f>
        <v>16-19</v>
      </c>
      <c r="O451" t="str">
        <f t="shared" ref="O451:O514" si="17">IF(E451&lt;=6,"low sleep","healthy sleep")</f>
        <v>healthy sleep</v>
      </c>
      <c r="P451" s="1" t="str" cm="1">
        <f t="array" ref="P451">_xlfn.IFS(L451&lt;=3,"low",L451&lt;=6,"medium",L451&gt;=7,"high")</f>
        <v>medium</v>
      </c>
    </row>
    <row r="452" spans="1:16" x14ac:dyDescent="0.3">
      <c r="A452">
        <v>17</v>
      </c>
      <c r="B452" t="s">
        <v>16</v>
      </c>
      <c r="C452">
        <v>3.3</v>
      </c>
      <c r="D452" t="s">
        <v>17</v>
      </c>
      <c r="E452">
        <v>8.4</v>
      </c>
      <c r="F452">
        <v>2.1</v>
      </c>
      <c r="G452">
        <v>3.4</v>
      </c>
      <c r="H452">
        <v>0.2</v>
      </c>
      <c r="I452" t="s">
        <v>18</v>
      </c>
      <c r="J452">
        <v>1</v>
      </c>
      <c r="K452">
        <v>3</v>
      </c>
      <c r="L452">
        <v>10</v>
      </c>
      <c r="M452">
        <v>0</v>
      </c>
      <c r="N452" t="str">
        <f t="shared" si="16"/>
        <v>16-19</v>
      </c>
      <c r="O452" t="str">
        <f t="shared" si="17"/>
        <v>healthy sleep</v>
      </c>
      <c r="P452" s="1" t="str" cm="1">
        <f t="array" ref="P452">_xlfn.IFS(L452&lt;=3,"low",L452&lt;=6,"medium",L452&gt;=7,"high")</f>
        <v>high</v>
      </c>
    </row>
    <row r="453" spans="1:16" x14ac:dyDescent="0.3">
      <c r="A453">
        <v>13</v>
      </c>
      <c r="B453" t="s">
        <v>13</v>
      </c>
      <c r="C453">
        <v>6.4</v>
      </c>
      <c r="D453" t="s">
        <v>20</v>
      </c>
      <c r="E453">
        <v>4.0999999999999996</v>
      </c>
      <c r="F453">
        <v>1.3</v>
      </c>
      <c r="G453">
        <v>2.77</v>
      </c>
      <c r="H453">
        <v>1.3</v>
      </c>
      <c r="I453" t="s">
        <v>15</v>
      </c>
      <c r="J453">
        <v>10</v>
      </c>
      <c r="K453">
        <v>6</v>
      </c>
      <c r="L453">
        <v>1</v>
      </c>
      <c r="M453">
        <v>0</v>
      </c>
      <c r="N453" t="str">
        <f t="shared" si="16"/>
        <v>13-15</v>
      </c>
      <c r="O453" t="str">
        <f t="shared" si="17"/>
        <v>low sleep</v>
      </c>
      <c r="P453" s="1" t="str" cm="1">
        <f t="array" ref="P453">_xlfn.IFS(L453&lt;=3,"low",L453&lt;=6,"medium",L453&gt;=7,"high")</f>
        <v>low</v>
      </c>
    </row>
    <row r="454" spans="1:16" x14ac:dyDescent="0.3">
      <c r="A454">
        <v>17</v>
      </c>
      <c r="B454" t="s">
        <v>16</v>
      </c>
      <c r="C454">
        <v>8</v>
      </c>
      <c r="D454" t="s">
        <v>14</v>
      </c>
      <c r="E454">
        <v>8.1</v>
      </c>
      <c r="F454">
        <v>1.2</v>
      </c>
      <c r="G454">
        <v>2.13</v>
      </c>
      <c r="H454">
        <v>1</v>
      </c>
      <c r="I454" t="s">
        <v>15</v>
      </c>
      <c r="J454">
        <v>1</v>
      </c>
      <c r="K454">
        <v>8</v>
      </c>
      <c r="L454">
        <v>7</v>
      </c>
      <c r="M454">
        <v>0</v>
      </c>
      <c r="N454" t="str">
        <f t="shared" si="16"/>
        <v>16-19</v>
      </c>
      <c r="O454" t="str">
        <f t="shared" si="17"/>
        <v>healthy sleep</v>
      </c>
      <c r="P454" s="1" t="str" cm="1">
        <f t="array" ref="P454">_xlfn.IFS(L454&lt;=3,"low",L454&lt;=6,"medium",L454&gt;=7,"high")</f>
        <v>high</v>
      </c>
    </row>
    <row r="455" spans="1:16" x14ac:dyDescent="0.3">
      <c r="A455">
        <v>16</v>
      </c>
      <c r="B455" t="s">
        <v>16</v>
      </c>
      <c r="C455">
        <v>1</v>
      </c>
      <c r="D455" t="s">
        <v>20</v>
      </c>
      <c r="E455">
        <v>4.0999999999999996</v>
      </c>
      <c r="F455">
        <v>1.3</v>
      </c>
      <c r="G455">
        <v>2.2200000000000002</v>
      </c>
      <c r="H455">
        <v>0.4</v>
      </c>
      <c r="I455" t="s">
        <v>15</v>
      </c>
      <c r="J455">
        <v>2</v>
      </c>
      <c r="K455">
        <v>1</v>
      </c>
      <c r="L455">
        <v>8</v>
      </c>
      <c r="M455">
        <v>0</v>
      </c>
      <c r="N455" t="str">
        <f t="shared" si="16"/>
        <v>16-19</v>
      </c>
      <c r="O455" t="str">
        <f t="shared" si="17"/>
        <v>low sleep</v>
      </c>
      <c r="P455" s="1" t="str" cm="1">
        <f t="array" ref="P455">_xlfn.IFS(L455&lt;=3,"low",L455&lt;=6,"medium",L455&gt;=7,"high")</f>
        <v>high</v>
      </c>
    </row>
    <row r="456" spans="1:16" x14ac:dyDescent="0.3">
      <c r="A456">
        <v>18</v>
      </c>
      <c r="B456" t="s">
        <v>16</v>
      </c>
      <c r="C456">
        <v>4.2</v>
      </c>
      <c r="D456" t="s">
        <v>14</v>
      </c>
      <c r="E456">
        <v>5.4</v>
      </c>
      <c r="F456">
        <v>1.1000000000000001</v>
      </c>
      <c r="G456">
        <v>2.31</v>
      </c>
      <c r="H456">
        <v>0.3</v>
      </c>
      <c r="I456" t="s">
        <v>15</v>
      </c>
      <c r="J456">
        <v>4</v>
      </c>
      <c r="K456">
        <v>9</v>
      </c>
      <c r="L456">
        <v>1</v>
      </c>
      <c r="M456">
        <v>0</v>
      </c>
      <c r="N456" t="str">
        <f t="shared" si="16"/>
        <v>16-19</v>
      </c>
      <c r="O456" t="str">
        <f t="shared" si="17"/>
        <v>low sleep</v>
      </c>
      <c r="P456" s="1" t="str" cm="1">
        <f t="array" ref="P456">_xlfn.IFS(L456&lt;=3,"low",L456&lt;=6,"medium",L456&gt;=7,"high")</f>
        <v>low</v>
      </c>
    </row>
    <row r="457" spans="1:16" x14ac:dyDescent="0.3">
      <c r="A457">
        <v>18</v>
      </c>
      <c r="B457" t="s">
        <v>16</v>
      </c>
      <c r="C457">
        <v>4.5999999999999996</v>
      </c>
      <c r="D457" t="s">
        <v>17</v>
      </c>
      <c r="E457">
        <v>7.3</v>
      </c>
      <c r="F457">
        <v>2.8</v>
      </c>
      <c r="G457">
        <v>3.22</v>
      </c>
      <c r="H457">
        <v>0.6</v>
      </c>
      <c r="I457" t="s">
        <v>18</v>
      </c>
      <c r="J457">
        <v>1</v>
      </c>
      <c r="K457">
        <v>3</v>
      </c>
      <c r="L457">
        <v>6</v>
      </c>
      <c r="M457">
        <v>0</v>
      </c>
      <c r="N457" t="str">
        <f t="shared" si="16"/>
        <v>16-19</v>
      </c>
      <c r="O457" t="str">
        <f t="shared" si="17"/>
        <v>healthy sleep</v>
      </c>
      <c r="P457" s="1" t="str" cm="1">
        <f t="array" ref="P457">_xlfn.IFS(L457&lt;=3,"low",L457&lt;=6,"medium",L457&gt;=7,"high")</f>
        <v>medium</v>
      </c>
    </row>
    <row r="458" spans="1:16" x14ac:dyDescent="0.3">
      <c r="A458">
        <v>17</v>
      </c>
      <c r="B458" t="s">
        <v>16</v>
      </c>
      <c r="C458">
        <v>2.8</v>
      </c>
      <c r="D458" t="s">
        <v>20</v>
      </c>
      <c r="E458">
        <v>6.2</v>
      </c>
      <c r="F458">
        <v>2.4</v>
      </c>
      <c r="G458">
        <v>2.58</v>
      </c>
      <c r="H458">
        <v>0.4</v>
      </c>
      <c r="I458" t="s">
        <v>18</v>
      </c>
      <c r="J458">
        <v>4</v>
      </c>
      <c r="K458">
        <v>10</v>
      </c>
      <c r="L458">
        <v>9</v>
      </c>
      <c r="M458">
        <v>0</v>
      </c>
      <c r="N458" t="str">
        <f t="shared" si="16"/>
        <v>16-19</v>
      </c>
      <c r="O458" t="str">
        <f t="shared" si="17"/>
        <v>healthy sleep</v>
      </c>
      <c r="P458" s="1" t="str" cm="1">
        <f t="array" ref="P458">_xlfn.IFS(L458&lt;=3,"low",L458&lt;=6,"medium",L458&gt;=7,"high")</f>
        <v>high</v>
      </c>
    </row>
    <row r="459" spans="1:16" x14ac:dyDescent="0.3">
      <c r="A459">
        <v>16</v>
      </c>
      <c r="B459" t="s">
        <v>16</v>
      </c>
      <c r="C459">
        <v>6.3</v>
      </c>
      <c r="D459" t="s">
        <v>14</v>
      </c>
      <c r="E459">
        <v>6.9</v>
      </c>
      <c r="F459">
        <v>1.3</v>
      </c>
      <c r="G459">
        <v>2.15</v>
      </c>
      <c r="H459">
        <v>1.4</v>
      </c>
      <c r="I459" t="s">
        <v>15</v>
      </c>
      <c r="J459">
        <v>9</v>
      </c>
      <c r="K459">
        <v>2</v>
      </c>
      <c r="L459">
        <v>10</v>
      </c>
      <c r="M459">
        <v>0</v>
      </c>
      <c r="N459" t="str">
        <f t="shared" si="16"/>
        <v>16-19</v>
      </c>
      <c r="O459" t="str">
        <f t="shared" si="17"/>
        <v>healthy sleep</v>
      </c>
      <c r="P459" s="1" t="str" cm="1">
        <f t="array" ref="P459">_xlfn.IFS(L459&lt;=3,"low",L459&lt;=6,"medium",L459&gt;=7,"high")</f>
        <v>high</v>
      </c>
    </row>
    <row r="460" spans="1:16" x14ac:dyDescent="0.3">
      <c r="A460">
        <v>17</v>
      </c>
      <c r="B460" t="s">
        <v>16</v>
      </c>
      <c r="C460">
        <v>7.2</v>
      </c>
      <c r="D460" t="s">
        <v>17</v>
      </c>
      <c r="E460">
        <v>7</v>
      </c>
      <c r="F460">
        <v>1.3</v>
      </c>
      <c r="G460">
        <v>3.86</v>
      </c>
      <c r="H460">
        <v>0.9</v>
      </c>
      <c r="I460" t="s">
        <v>15</v>
      </c>
      <c r="J460">
        <v>7</v>
      </c>
      <c r="K460">
        <v>8</v>
      </c>
      <c r="L460">
        <v>4</v>
      </c>
      <c r="M460">
        <v>0</v>
      </c>
      <c r="N460" t="str">
        <f t="shared" si="16"/>
        <v>16-19</v>
      </c>
      <c r="O460" t="str">
        <f t="shared" si="17"/>
        <v>healthy sleep</v>
      </c>
      <c r="P460" s="1" t="str" cm="1">
        <f t="array" ref="P460">_xlfn.IFS(L460&lt;=3,"low",L460&lt;=6,"medium",L460&gt;=7,"high")</f>
        <v>medium</v>
      </c>
    </row>
    <row r="461" spans="1:16" x14ac:dyDescent="0.3">
      <c r="A461">
        <v>13</v>
      </c>
      <c r="B461" t="s">
        <v>13</v>
      </c>
      <c r="C461">
        <v>4.5</v>
      </c>
      <c r="D461" t="s">
        <v>20</v>
      </c>
      <c r="E461">
        <v>6.7</v>
      </c>
      <c r="F461">
        <v>2.2000000000000002</v>
      </c>
      <c r="G461">
        <v>3.73</v>
      </c>
      <c r="H461">
        <v>0.3</v>
      </c>
      <c r="I461" t="s">
        <v>15</v>
      </c>
      <c r="J461">
        <v>3</v>
      </c>
      <c r="K461">
        <v>5</v>
      </c>
      <c r="L461">
        <v>10</v>
      </c>
      <c r="M461">
        <v>0</v>
      </c>
      <c r="N461" t="str">
        <f t="shared" si="16"/>
        <v>13-15</v>
      </c>
      <c r="O461" t="str">
        <f t="shared" si="17"/>
        <v>healthy sleep</v>
      </c>
      <c r="P461" s="1" t="str" cm="1">
        <f t="array" ref="P461">_xlfn.IFS(L461&lt;=3,"low",L461&lt;=6,"medium",L461&gt;=7,"high")</f>
        <v>high</v>
      </c>
    </row>
    <row r="462" spans="1:16" x14ac:dyDescent="0.3">
      <c r="A462">
        <v>18</v>
      </c>
      <c r="B462" t="s">
        <v>13</v>
      </c>
      <c r="C462">
        <v>5.3</v>
      </c>
      <c r="D462" t="s">
        <v>20</v>
      </c>
      <c r="E462">
        <v>5.0999999999999996</v>
      </c>
      <c r="F462">
        <v>1.2</v>
      </c>
      <c r="G462">
        <v>3.32</v>
      </c>
      <c r="H462">
        <v>1.8</v>
      </c>
      <c r="I462" t="s">
        <v>15</v>
      </c>
      <c r="J462">
        <v>7</v>
      </c>
      <c r="K462">
        <v>3</v>
      </c>
      <c r="L462">
        <v>8</v>
      </c>
      <c r="M462">
        <v>0</v>
      </c>
      <c r="N462" t="str">
        <f t="shared" si="16"/>
        <v>16-19</v>
      </c>
      <c r="O462" t="str">
        <f t="shared" si="17"/>
        <v>low sleep</v>
      </c>
      <c r="P462" s="1" t="str" cm="1">
        <f t="array" ref="P462">_xlfn.IFS(L462&lt;=3,"low",L462&lt;=6,"medium",L462&gt;=7,"high")</f>
        <v>high</v>
      </c>
    </row>
    <row r="463" spans="1:16" x14ac:dyDescent="0.3">
      <c r="A463">
        <v>13</v>
      </c>
      <c r="B463" t="s">
        <v>13</v>
      </c>
      <c r="C463">
        <v>5.2</v>
      </c>
      <c r="D463" t="s">
        <v>17</v>
      </c>
      <c r="E463">
        <v>6.7</v>
      </c>
      <c r="F463">
        <v>2.5</v>
      </c>
      <c r="G463">
        <v>3.82</v>
      </c>
      <c r="H463">
        <v>0.9</v>
      </c>
      <c r="I463" t="s">
        <v>19</v>
      </c>
      <c r="J463">
        <v>8</v>
      </c>
      <c r="K463">
        <v>8</v>
      </c>
      <c r="L463">
        <v>6</v>
      </c>
      <c r="M463">
        <v>0</v>
      </c>
      <c r="N463" t="str">
        <f t="shared" si="16"/>
        <v>13-15</v>
      </c>
      <c r="O463" t="str">
        <f t="shared" si="17"/>
        <v>healthy sleep</v>
      </c>
      <c r="P463" s="1" t="str" cm="1">
        <f t="array" ref="P463">_xlfn.IFS(L463&lt;=3,"low",L463&lt;=6,"medium",L463&gt;=7,"high")</f>
        <v>medium</v>
      </c>
    </row>
    <row r="464" spans="1:16" x14ac:dyDescent="0.3">
      <c r="A464">
        <v>13</v>
      </c>
      <c r="B464" t="s">
        <v>13</v>
      </c>
      <c r="C464">
        <v>7.9</v>
      </c>
      <c r="D464" t="s">
        <v>17</v>
      </c>
      <c r="E464">
        <v>6</v>
      </c>
      <c r="F464">
        <v>2.7</v>
      </c>
      <c r="G464">
        <v>2.85</v>
      </c>
      <c r="H464">
        <v>0.3</v>
      </c>
      <c r="I464" t="s">
        <v>15</v>
      </c>
      <c r="J464">
        <v>9</v>
      </c>
      <c r="K464">
        <v>10</v>
      </c>
      <c r="L464">
        <v>3</v>
      </c>
      <c r="M464">
        <v>0</v>
      </c>
      <c r="N464" t="str">
        <f t="shared" si="16"/>
        <v>13-15</v>
      </c>
      <c r="O464" t="str">
        <f t="shared" si="17"/>
        <v>low sleep</v>
      </c>
      <c r="P464" s="1" t="str" cm="1">
        <f t="array" ref="P464">_xlfn.IFS(L464&lt;=3,"low",L464&lt;=6,"medium",L464&gt;=7,"high")</f>
        <v>low</v>
      </c>
    </row>
    <row r="465" spans="1:16" x14ac:dyDescent="0.3">
      <c r="A465">
        <v>19</v>
      </c>
      <c r="B465" t="s">
        <v>13</v>
      </c>
      <c r="C465">
        <v>6.9</v>
      </c>
      <c r="D465" t="s">
        <v>17</v>
      </c>
      <c r="E465">
        <v>8.5</v>
      </c>
      <c r="F465">
        <v>1.5</v>
      </c>
      <c r="G465">
        <v>3.55</v>
      </c>
      <c r="H465">
        <v>1.3</v>
      </c>
      <c r="I465" t="s">
        <v>15</v>
      </c>
      <c r="J465">
        <v>5</v>
      </c>
      <c r="K465">
        <v>6</v>
      </c>
      <c r="L465">
        <v>1</v>
      </c>
      <c r="M465">
        <v>0</v>
      </c>
      <c r="N465" t="str">
        <f t="shared" si="16"/>
        <v>16-19</v>
      </c>
      <c r="O465" t="str">
        <f t="shared" si="17"/>
        <v>healthy sleep</v>
      </c>
      <c r="P465" s="1" t="str" cm="1">
        <f t="array" ref="P465">_xlfn.IFS(L465&lt;=3,"low",L465&lt;=6,"medium",L465&gt;=7,"high")</f>
        <v>low</v>
      </c>
    </row>
    <row r="466" spans="1:16" x14ac:dyDescent="0.3">
      <c r="A466">
        <v>17</v>
      </c>
      <c r="B466" t="s">
        <v>16</v>
      </c>
      <c r="C466">
        <v>5.8</v>
      </c>
      <c r="D466" t="s">
        <v>14</v>
      </c>
      <c r="E466">
        <v>4.0999999999999996</v>
      </c>
      <c r="F466">
        <v>2.9</v>
      </c>
      <c r="G466">
        <v>2.33</v>
      </c>
      <c r="H466">
        <v>0.4</v>
      </c>
      <c r="I466" t="s">
        <v>18</v>
      </c>
      <c r="J466">
        <v>9</v>
      </c>
      <c r="K466">
        <v>6</v>
      </c>
      <c r="L466">
        <v>8</v>
      </c>
      <c r="M466">
        <v>0</v>
      </c>
      <c r="N466" t="str">
        <f t="shared" si="16"/>
        <v>16-19</v>
      </c>
      <c r="O466" t="str">
        <f t="shared" si="17"/>
        <v>low sleep</v>
      </c>
      <c r="P466" s="1" t="str" cm="1">
        <f t="array" ref="P466">_xlfn.IFS(L466&lt;=3,"low",L466&lt;=6,"medium",L466&gt;=7,"high")</f>
        <v>high</v>
      </c>
    </row>
    <row r="467" spans="1:16" x14ac:dyDescent="0.3">
      <c r="A467">
        <v>19</v>
      </c>
      <c r="B467" t="s">
        <v>13</v>
      </c>
      <c r="C467">
        <v>7</v>
      </c>
      <c r="D467" t="s">
        <v>14</v>
      </c>
      <c r="E467">
        <v>8.3000000000000007</v>
      </c>
      <c r="F467">
        <v>2.1</v>
      </c>
      <c r="G467">
        <v>3.09</v>
      </c>
      <c r="H467">
        <v>1.5</v>
      </c>
      <c r="I467" t="s">
        <v>15</v>
      </c>
      <c r="J467">
        <v>9</v>
      </c>
      <c r="K467">
        <v>7</v>
      </c>
      <c r="L467">
        <v>3</v>
      </c>
      <c r="M467">
        <v>0</v>
      </c>
      <c r="N467" t="str">
        <f t="shared" si="16"/>
        <v>16-19</v>
      </c>
      <c r="O467" t="str">
        <f t="shared" si="17"/>
        <v>healthy sleep</v>
      </c>
      <c r="P467" s="1" t="str" cm="1">
        <f t="array" ref="P467">_xlfn.IFS(L467&lt;=3,"low",L467&lt;=6,"medium",L467&gt;=7,"high")</f>
        <v>low</v>
      </c>
    </row>
    <row r="468" spans="1:16" x14ac:dyDescent="0.3">
      <c r="A468">
        <v>14</v>
      </c>
      <c r="B468" t="s">
        <v>16</v>
      </c>
      <c r="C468">
        <v>3</v>
      </c>
      <c r="D468" t="s">
        <v>17</v>
      </c>
      <c r="E468">
        <v>8.3000000000000007</v>
      </c>
      <c r="F468">
        <v>2.7</v>
      </c>
      <c r="G468">
        <v>3.9</v>
      </c>
      <c r="H468">
        <v>0.7</v>
      </c>
      <c r="I468" t="s">
        <v>18</v>
      </c>
      <c r="J468">
        <v>3</v>
      </c>
      <c r="K468">
        <v>1</v>
      </c>
      <c r="L468">
        <v>5</v>
      </c>
      <c r="M468">
        <v>0</v>
      </c>
      <c r="N468" t="str">
        <f t="shared" si="16"/>
        <v>13-15</v>
      </c>
      <c r="O468" t="str">
        <f t="shared" si="17"/>
        <v>healthy sleep</v>
      </c>
      <c r="P468" s="1" t="str" cm="1">
        <f t="array" ref="P468">_xlfn.IFS(L468&lt;=3,"low",L468&lt;=6,"medium",L468&gt;=7,"high")</f>
        <v>medium</v>
      </c>
    </row>
    <row r="469" spans="1:16" x14ac:dyDescent="0.3">
      <c r="A469">
        <v>18</v>
      </c>
      <c r="B469" t="s">
        <v>13</v>
      </c>
      <c r="C469">
        <v>6.3</v>
      </c>
      <c r="D469" t="s">
        <v>20</v>
      </c>
      <c r="E469">
        <v>7.9</v>
      </c>
      <c r="F469">
        <v>1.7</v>
      </c>
      <c r="G469">
        <v>2.85</v>
      </c>
      <c r="H469">
        <v>0.3</v>
      </c>
      <c r="I469" t="s">
        <v>19</v>
      </c>
      <c r="J469">
        <v>1</v>
      </c>
      <c r="K469">
        <v>1</v>
      </c>
      <c r="L469">
        <v>2</v>
      </c>
      <c r="M469">
        <v>0</v>
      </c>
      <c r="N469" t="str">
        <f t="shared" si="16"/>
        <v>16-19</v>
      </c>
      <c r="O469" t="str">
        <f t="shared" si="17"/>
        <v>healthy sleep</v>
      </c>
      <c r="P469" s="1" t="str" cm="1">
        <f t="array" ref="P469">_xlfn.IFS(L469&lt;=3,"low",L469&lt;=6,"medium",L469&gt;=7,"high")</f>
        <v>low</v>
      </c>
    </row>
    <row r="470" spans="1:16" x14ac:dyDescent="0.3">
      <c r="A470">
        <v>17</v>
      </c>
      <c r="B470" t="s">
        <v>16</v>
      </c>
      <c r="C470">
        <v>5.5</v>
      </c>
      <c r="D470" t="s">
        <v>14</v>
      </c>
      <c r="E470">
        <v>4.9000000000000004</v>
      </c>
      <c r="F470">
        <v>2.6</v>
      </c>
      <c r="G470">
        <v>3.64</v>
      </c>
      <c r="H470">
        <v>0.8</v>
      </c>
      <c r="I470" t="s">
        <v>19</v>
      </c>
      <c r="J470">
        <v>6</v>
      </c>
      <c r="K470">
        <v>8</v>
      </c>
      <c r="L470">
        <v>3</v>
      </c>
      <c r="M470">
        <v>0</v>
      </c>
      <c r="N470" t="str">
        <f t="shared" si="16"/>
        <v>16-19</v>
      </c>
      <c r="O470" t="str">
        <f t="shared" si="17"/>
        <v>low sleep</v>
      </c>
      <c r="P470" s="1" t="str" cm="1">
        <f t="array" ref="P470">_xlfn.IFS(L470&lt;=3,"low",L470&lt;=6,"medium",L470&gt;=7,"high")</f>
        <v>low</v>
      </c>
    </row>
    <row r="471" spans="1:16" x14ac:dyDescent="0.3">
      <c r="A471">
        <v>17</v>
      </c>
      <c r="B471" t="s">
        <v>16</v>
      </c>
      <c r="C471">
        <v>2.2000000000000002</v>
      </c>
      <c r="D471" t="s">
        <v>20</v>
      </c>
      <c r="E471">
        <v>7.5</v>
      </c>
      <c r="F471">
        <v>2.2000000000000002</v>
      </c>
      <c r="G471">
        <v>2.95</v>
      </c>
      <c r="H471">
        <v>1.6</v>
      </c>
      <c r="I471" t="s">
        <v>15</v>
      </c>
      <c r="J471">
        <v>9</v>
      </c>
      <c r="K471">
        <v>7</v>
      </c>
      <c r="L471">
        <v>4</v>
      </c>
      <c r="M471">
        <v>0</v>
      </c>
      <c r="N471" t="str">
        <f t="shared" si="16"/>
        <v>16-19</v>
      </c>
      <c r="O471" t="str">
        <f t="shared" si="17"/>
        <v>healthy sleep</v>
      </c>
      <c r="P471" s="1" t="str" cm="1">
        <f t="array" ref="P471">_xlfn.IFS(L471&lt;=3,"low",L471&lt;=6,"medium",L471&gt;=7,"high")</f>
        <v>medium</v>
      </c>
    </row>
    <row r="472" spans="1:16" x14ac:dyDescent="0.3">
      <c r="A472">
        <v>14</v>
      </c>
      <c r="B472" t="s">
        <v>13</v>
      </c>
      <c r="C472">
        <v>1.4</v>
      </c>
      <c r="D472" t="s">
        <v>20</v>
      </c>
      <c r="E472">
        <v>4.5</v>
      </c>
      <c r="F472">
        <v>1.4</v>
      </c>
      <c r="G472">
        <v>3.17</v>
      </c>
      <c r="H472">
        <v>1.7</v>
      </c>
      <c r="I472" t="s">
        <v>18</v>
      </c>
      <c r="J472">
        <v>9</v>
      </c>
      <c r="K472">
        <v>10</v>
      </c>
      <c r="L472">
        <v>9</v>
      </c>
      <c r="M472">
        <v>0</v>
      </c>
      <c r="N472" t="str">
        <f t="shared" si="16"/>
        <v>13-15</v>
      </c>
      <c r="O472" t="str">
        <f t="shared" si="17"/>
        <v>low sleep</v>
      </c>
      <c r="P472" s="1" t="str" cm="1">
        <f t="array" ref="P472">_xlfn.IFS(L472&lt;=3,"low",L472&lt;=6,"medium",L472&gt;=7,"high")</f>
        <v>high</v>
      </c>
    </row>
    <row r="473" spans="1:16" x14ac:dyDescent="0.3">
      <c r="A473">
        <v>18</v>
      </c>
      <c r="B473" t="s">
        <v>13</v>
      </c>
      <c r="C473">
        <v>4.5</v>
      </c>
      <c r="D473" t="s">
        <v>14</v>
      </c>
      <c r="E473">
        <v>4.4000000000000004</v>
      </c>
      <c r="F473">
        <v>1.9</v>
      </c>
      <c r="G473">
        <v>2.2599999999999998</v>
      </c>
      <c r="H473">
        <v>0</v>
      </c>
      <c r="I473" t="s">
        <v>15</v>
      </c>
      <c r="J473">
        <v>7</v>
      </c>
      <c r="K473">
        <v>8</v>
      </c>
      <c r="L473">
        <v>10</v>
      </c>
      <c r="M473">
        <v>0</v>
      </c>
      <c r="N473" t="str">
        <f t="shared" si="16"/>
        <v>16-19</v>
      </c>
      <c r="O473" t="str">
        <f t="shared" si="17"/>
        <v>low sleep</v>
      </c>
      <c r="P473" s="1" t="str" cm="1">
        <f t="array" ref="P473">_xlfn.IFS(L473&lt;=3,"low",L473&lt;=6,"medium",L473&gt;=7,"high")</f>
        <v>high</v>
      </c>
    </row>
    <row r="474" spans="1:16" x14ac:dyDescent="0.3">
      <c r="A474">
        <v>14</v>
      </c>
      <c r="B474" t="s">
        <v>16</v>
      </c>
      <c r="C474">
        <v>6.1</v>
      </c>
      <c r="D474" t="s">
        <v>14</v>
      </c>
      <c r="E474">
        <v>5.7</v>
      </c>
      <c r="F474">
        <v>2</v>
      </c>
      <c r="G474">
        <v>3.9</v>
      </c>
      <c r="H474">
        <v>1</v>
      </c>
      <c r="I474" t="s">
        <v>15</v>
      </c>
      <c r="J474">
        <v>8</v>
      </c>
      <c r="K474">
        <v>4</v>
      </c>
      <c r="L474">
        <v>6</v>
      </c>
      <c r="M474">
        <v>0</v>
      </c>
      <c r="N474" t="str">
        <f t="shared" si="16"/>
        <v>13-15</v>
      </c>
      <c r="O474" t="str">
        <f t="shared" si="17"/>
        <v>low sleep</v>
      </c>
      <c r="P474" s="1" t="str" cm="1">
        <f t="array" ref="P474">_xlfn.IFS(L474&lt;=3,"low",L474&lt;=6,"medium",L474&gt;=7,"high")</f>
        <v>medium</v>
      </c>
    </row>
    <row r="475" spans="1:16" x14ac:dyDescent="0.3">
      <c r="A475">
        <v>17</v>
      </c>
      <c r="B475" t="s">
        <v>13</v>
      </c>
      <c r="C475">
        <v>3.3</v>
      </c>
      <c r="D475" t="s">
        <v>17</v>
      </c>
      <c r="E475">
        <v>5.7</v>
      </c>
      <c r="F475">
        <v>2</v>
      </c>
      <c r="G475">
        <v>3.71</v>
      </c>
      <c r="H475">
        <v>0.1</v>
      </c>
      <c r="I475" t="s">
        <v>15</v>
      </c>
      <c r="J475">
        <v>6</v>
      </c>
      <c r="K475">
        <v>6</v>
      </c>
      <c r="L475">
        <v>8</v>
      </c>
      <c r="M475">
        <v>0</v>
      </c>
      <c r="N475" t="str">
        <f t="shared" si="16"/>
        <v>16-19</v>
      </c>
      <c r="O475" t="str">
        <f t="shared" si="17"/>
        <v>low sleep</v>
      </c>
      <c r="P475" s="1" t="str" cm="1">
        <f t="array" ref="P475">_xlfn.IFS(L475&lt;=3,"low",L475&lt;=6,"medium",L475&gt;=7,"high")</f>
        <v>high</v>
      </c>
    </row>
    <row r="476" spans="1:16" x14ac:dyDescent="0.3">
      <c r="A476">
        <v>15</v>
      </c>
      <c r="B476" t="s">
        <v>13</v>
      </c>
      <c r="C476">
        <v>5.2</v>
      </c>
      <c r="D476" t="s">
        <v>20</v>
      </c>
      <c r="E476">
        <v>5.6</v>
      </c>
      <c r="F476">
        <v>1.1000000000000001</v>
      </c>
      <c r="G476">
        <v>2.88</v>
      </c>
      <c r="H476">
        <v>0.1</v>
      </c>
      <c r="I476" t="s">
        <v>19</v>
      </c>
      <c r="J476">
        <v>4</v>
      </c>
      <c r="K476">
        <v>8</v>
      </c>
      <c r="L476">
        <v>7</v>
      </c>
      <c r="M476">
        <v>0</v>
      </c>
      <c r="N476" t="str">
        <f t="shared" si="16"/>
        <v>13-15</v>
      </c>
      <c r="O476" t="str">
        <f t="shared" si="17"/>
        <v>low sleep</v>
      </c>
      <c r="P476" s="1" t="str" cm="1">
        <f t="array" ref="P476">_xlfn.IFS(L476&lt;=3,"low",L476&lt;=6,"medium",L476&gt;=7,"high")</f>
        <v>high</v>
      </c>
    </row>
    <row r="477" spans="1:16" x14ac:dyDescent="0.3">
      <c r="A477">
        <v>18</v>
      </c>
      <c r="B477" t="s">
        <v>13</v>
      </c>
      <c r="C477">
        <v>5</v>
      </c>
      <c r="D477" t="s">
        <v>20</v>
      </c>
      <c r="E477">
        <v>5.8</v>
      </c>
      <c r="F477">
        <v>1.3</v>
      </c>
      <c r="G477">
        <v>2.12</v>
      </c>
      <c r="H477">
        <v>0.1</v>
      </c>
      <c r="I477" t="s">
        <v>15</v>
      </c>
      <c r="J477">
        <v>1</v>
      </c>
      <c r="K477">
        <v>9</v>
      </c>
      <c r="L477">
        <v>2</v>
      </c>
      <c r="M477">
        <v>0</v>
      </c>
      <c r="N477" t="str">
        <f t="shared" si="16"/>
        <v>16-19</v>
      </c>
      <c r="O477" t="str">
        <f t="shared" si="17"/>
        <v>low sleep</v>
      </c>
      <c r="P477" s="1" t="str" cm="1">
        <f t="array" ref="P477">_xlfn.IFS(L477&lt;=3,"low",L477&lt;=6,"medium",L477&gt;=7,"high")</f>
        <v>low</v>
      </c>
    </row>
    <row r="478" spans="1:16" x14ac:dyDescent="0.3">
      <c r="A478">
        <v>17</v>
      </c>
      <c r="B478" t="s">
        <v>16</v>
      </c>
      <c r="C478">
        <v>1.8</v>
      </c>
      <c r="D478" t="s">
        <v>17</v>
      </c>
      <c r="E478">
        <v>5.9</v>
      </c>
      <c r="F478">
        <v>1.9</v>
      </c>
      <c r="G478">
        <v>2.89</v>
      </c>
      <c r="H478">
        <v>0.6</v>
      </c>
      <c r="I478" t="s">
        <v>15</v>
      </c>
      <c r="J478">
        <v>8</v>
      </c>
      <c r="K478">
        <v>8</v>
      </c>
      <c r="L478">
        <v>5</v>
      </c>
      <c r="M478">
        <v>0</v>
      </c>
      <c r="N478" t="str">
        <f t="shared" si="16"/>
        <v>16-19</v>
      </c>
      <c r="O478" t="str">
        <f t="shared" si="17"/>
        <v>low sleep</v>
      </c>
      <c r="P478" s="1" t="str" cm="1">
        <f t="array" ref="P478">_xlfn.IFS(L478&lt;=3,"low",L478&lt;=6,"medium",L478&gt;=7,"high")</f>
        <v>medium</v>
      </c>
    </row>
    <row r="479" spans="1:16" x14ac:dyDescent="0.3">
      <c r="A479">
        <v>13</v>
      </c>
      <c r="B479" t="s">
        <v>13</v>
      </c>
      <c r="C479">
        <v>2.2999999999999998</v>
      </c>
      <c r="D479" t="s">
        <v>17</v>
      </c>
      <c r="E479">
        <v>4.5</v>
      </c>
      <c r="F479">
        <v>0.7</v>
      </c>
      <c r="G479">
        <v>2.71</v>
      </c>
      <c r="H479">
        <v>0.2</v>
      </c>
      <c r="I479" t="s">
        <v>15</v>
      </c>
      <c r="J479">
        <v>6</v>
      </c>
      <c r="K479">
        <v>3</v>
      </c>
      <c r="L479">
        <v>7</v>
      </c>
      <c r="M479">
        <v>0</v>
      </c>
      <c r="N479" t="str">
        <f t="shared" si="16"/>
        <v>13-15</v>
      </c>
      <c r="O479" t="str">
        <f t="shared" si="17"/>
        <v>low sleep</v>
      </c>
      <c r="P479" s="1" t="str" cm="1">
        <f t="array" ref="P479">_xlfn.IFS(L479&lt;=3,"low",L479&lt;=6,"medium",L479&gt;=7,"high")</f>
        <v>high</v>
      </c>
    </row>
    <row r="480" spans="1:16" x14ac:dyDescent="0.3">
      <c r="A480">
        <v>14</v>
      </c>
      <c r="B480" t="s">
        <v>13</v>
      </c>
      <c r="C480">
        <v>2.7</v>
      </c>
      <c r="D480" t="s">
        <v>20</v>
      </c>
      <c r="E480">
        <v>6.3</v>
      </c>
      <c r="F480">
        <v>0.6</v>
      </c>
      <c r="G480">
        <v>3.88</v>
      </c>
      <c r="H480">
        <v>0.3</v>
      </c>
      <c r="I480" t="s">
        <v>19</v>
      </c>
      <c r="J480">
        <v>6</v>
      </c>
      <c r="K480">
        <v>6</v>
      </c>
      <c r="L480">
        <v>6</v>
      </c>
      <c r="M480">
        <v>0</v>
      </c>
      <c r="N480" t="str">
        <f t="shared" si="16"/>
        <v>13-15</v>
      </c>
      <c r="O480" t="str">
        <f t="shared" si="17"/>
        <v>healthy sleep</v>
      </c>
      <c r="P480" s="1" t="str" cm="1">
        <f t="array" ref="P480">_xlfn.IFS(L480&lt;=3,"low",L480&lt;=6,"medium",L480&gt;=7,"high")</f>
        <v>medium</v>
      </c>
    </row>
    <row r="481" spans="1:16" x14ac:dyDescent="0.3">
      <c r="A481">
        <v>16</v>
      </c>
      <c r="B481" t="s">
        <v>13</v>
      </c>
      <c r="C481">
        <v>7.4</v>
      </c>
      <c r="D481" t="s">
        <v>17</v>
      </c>
      <c r="E481">
        <v>7.5</v>
      </c>
      <c r="F481">
        <v>1.7</v>
      </c>
      <c r="G481">
        <v>3.16</v>
      </c>
      <c r="H481">
        <v>1.8</v>
      </c>
      <c r="I481" t="s">
        <v>19</v>
      </c>
      <c r="J481">
        <v>2</v>
      </c>
      <c r="K481">
        <v>3</v>
      </c>
      <c r="L481">
        <v>2</v>
      </c>
      <c r="M481">
        <v>0</v>
      </c>
      <c r="N481" t="str">
        <f t="shared" si="16"/>
        <v>16-19</v>
      </c>
      <c r="O481" t="str">
        <f t="shared" si="17"/>
        <v>healthy sleep</v>
      </c>
      <c r="P481" s="1" t="str" cm="1">
        <f t="array" ref="P481">_xlfn.IFS(L481&lt;=3,"low",L481&lt;=6,"medium",L481&gt;=7,"high")</f>
        <v>low</v>
      </c>
    </row>
    <row r="482" spans="1:16" x14ac:dyDescent="0.3">
      <c r="A482">
        <v>15</v>
      </c>
      <c r="B482" t="s">
        <v>13</v>
      </c>
      <c r="C482">
        <v>6.2</v>
      </c>
      <c r="D482" t="s">
        <v>17</v>
      </c>
      <c r="E482">
        <v>4.5999999999999996</v>
      </c>
      <c r="F482">
        <v>1.1000000000000001</v>
      </c>
      <c r="G482">
        <v>2.94</v>
      </c>
      <c r="H482">
        <v>1.8</v>
      </c>
      <c r="I482" t="s">
        <v>18</v>
      </c>
      <c r="J482">
        <v>4</v>
      </c>
      <c r="K482">
        <v>2</v>
      </c>
      <c r="L482">
        <v>3</v>
      </c>
      <c r="M482">
        <v>0</v>
      </c>
      <c r="N482" t="str">
        <f t="shared" si="16"/>
        <v>13-15</v>
      </c>
      <c r="O482" t="str">
        <f t="shared" si="17"/>
        <v>low sleep</v>
      </c>
      <c r="P482" s="1" t="str" cm="1">
        <f t="array" ref="P482">_xlfn.IFS(L482&lt;=3,"low",L482&lt;=6,"medium",L482&gt;=7,"high")</f>
        <v>low</v>
      </c>
    </row>
    <row r="483" spans="1:16" x14ac:dyDescent="0.3">
      <c r="A483">
        <v>16</v>
      </c>
      <c r="B483" t="s">
        <v>13</v>
      </c>
      <c r="C483">
        <v>2.2999999999999998</v>
      </c>
      <c r="D483" t="s">
        <v>17</v>
      </c>
      <c r="E483">
        <v>8.8000000000000007</v>
      </c>
      <c r="F483">
        <v>1</v>
      </c>
      <c r="G483">
        <v>2.5099999999999998</v>
      </c>
      <c r="H483">
        <v>2</v>
      </c>
      <c r="I483" t="s">
        <v>19</v>
      </c>
      <c r="J483">
        <v>6</v>
      </c>
      <c r="K483">
        <v>10</v>
      </c>
      <c r="L483">
        <v>10</v>
      </c>
      <c r="M483">
        <v>0</v>
      </c>
      <c r="N483" t="str">
        <f t="shared" si="16"/>
        <v>16-19</v>
      </c>
      <c r="O483" t="str">
        <f t="shared" si="17"/>
        <v>healthy sleep</v>
      </c>
      <c r="P483" s="1" t="str" cm="1">
        <f t="array" ref="P483">_xlfn.IFS(L483&lt;=3,"low",L483&lt;=6,"medium",L483&gt;=7,"high")</f>
        <v>high</v>
      </c>
    </row>
    <row r="484" spans="1:16" x14ac:dyDescent="0.3">
      <c r="A484">
        <v>18</v>
      </c>
      <c r="B484" t="s">
        <v>13</v>
      </c>
      <c r="C484">
        <v>1.8</v>
      </c>
      <c r="D484" t="s">
        <v>17</v>
      </c>
      <c r="E484">
        <v>5.2</v>
      </c>
      <c r="F484">
        <v>1.4</v>
      </c>
      <c r="G484">
        <v>2.68</v>
      </c>
      <c r="H484">
        <v>0.1</v>
      </c>
      <c r="I484" t="s">
        <v>18</v>
      </c>
      <c r="J484">
        <v>6</v>
      </c>
      <c r="K484">
        <v>2</v>
      </c>
      <c r="L484">
        <v>10</v>
      </c>
      <c r="M484">
        <v>0</v>
      </c>
      <c r="N484" t="str">
        <f t="shared" si="16"/>
        <v>16-19</v>
      </c>
      <c r="O484" t="str">
        <f t="shared" si="17"/>
        <v>low sleep</v>
      </c>
      <c r="P484" s="1" t="str" cm="1">
        <f t="array" ref="P484">_xlfn.IFS(L484&lt;=3,"low",L484&lt;=6,"medium",L484&gt;=7,"high")</f>
        <v>high</v>
      </c>
    </row>
    <row r="485" spans="1:16" x14ac:dyDescent="0.3">
      <c r="A485">
        <v>16</v>
      </c>
      <c r="B485" t="s">
        <v>16</v>
      </c>
      <c r="C485">
        <v>1.3</v>
      </c>
      <c r="D485" t="s">
        <v>14</v>
      </c>
      <c r="E485">
        <v>4.9000000000000004</v>
      </c>
      <c r="F485">
        <v>2.6</v>
      </c>
      <c r="G485">
        <v>2.89</v>
      </c>
      <c r="H485">
        <v>0.2</v>
      </c>
      <c r="I485" t="s">
        <v>15</v>
      </c>
      <c r="J485">
        <v>2</v>
      </c>
      <c r="K485">
        <v>5</v>
      </c>
      <c r="L485">
        <v>2</v>
      </c>
      <c r="M485">
        <v>0</v>
      </c>
      <c r="N485" t="str">
        <f t="shared" si="16"/>
        <v>16-19</v>
      </c>
      <c r="O485" t="str">
        <f t="shared" si="17"/>
        <v>low sleep</v>
      </c>
      <c r="P485" s="1" t="str" cm="1">
        <f t="array" ref="P485">_xlfn.IFS(L485&lt;=3,"low",L485&lt;=6,"medium",L485&gt;=7,"high")</f>
        <v>low</v>
      </c>
    </row>
    <row r="486" spans="1:16" x14ac:dyDescent="0.3">
      <c r="A486">
        <v>15</v>
      </c>
      <c r="B486" t="s">
        <v>13</v>
      </c>
      <c r="C486">
        <v>2.1</v>
      </c>
      <c r="D486" t="s">
        <v>14</v>
      </c>
      <c r="E486">
        <v>4.4000000000000004</v>
      </c>
      <c r="F486">
        <v>2.1</v>
      </c>
      <c r="G486">
        <v>3.43</v>
      </c>
      <c r="H486">
        <v>1.9</v>
      </c>
      <c r="I486" t="s">
        <v>15</v>
      </c>
      <c r="J486">
        <v>6</v>
      </c>
      <c r="K486">
        <v>6</v>
      </c>
      <c r="L486">
        <v>7</v>
      </c>
      <c r="M486">
        <v>0</v>
      </c>
      <c r="N486" t="str">
        <f t="shared" si="16"/>
        <v>13-15</v>
      </c>
      <c r="O486" t="str">
        <f t="shared" si="17"/>
        <v>low sleep</v>
      </c>
      <c r="P486" s="1" t="str" cm="1">
        <f t="array" ref="P486">_xlfn.IFS(L486&lt;=3,"low",L486&lt;=6,"medium",L486&gt;=7,"high")</f>
        <v>high</v>
      </c>
    </row>
    <row r="487" spans="1:16" x14ac:dyDescent="0.3">
      <c r="A487">
        <v>14</v>
      </c>
      <c r="B487" t="s">
        <v>13</v>
      </c>
      <c r="C487">
        <v>3.9</v>
      </c>
      <c r="D487" t="s">
        <v>14</v>
      </c>
      <c r="E487">
        <v>7.7</v>
      </c>
      <c r="F487">
        <v>1.4</v>
      </c>
      <c r="G487">
        <v>2.86</v>
      </c>
      <c r="H487">
        <v>1.7</v>
      </c>
      <c r="I487" t="s">
        <v>18</v>
      </c>
      <c r="J487">
        <v>3</v>
      </c>
      <c r="K487">
        <v>5</v>
      </c>
      <c r="L487">
        <v>1</v>
      </c>
      <c r="M487">
        <v>0</v>
      </c>
      <c r="N487" t="str">
        <f t="shared" si="16"/>
        <v>13-15</v>
      </c>
      <c r="O487" t="str">
        <f t="shared" si="17"/>
        <v>healthy sleep</v>
      </c>
      <c r="P487" s="1" t="str" cm="1">
        <f t="array" ref="P487">_xlfn.IFS(L487&lt;=3,"low",L487&lt;=6,"medium",L487&gt;=7,"high")</f>
        <v>low</v>
      </c>
    </row>
    <row r="488" spans="1:16" x14ac:dyDescent="0.3">
      <c r="A488">
        <v>18</v>
      </c>
      <c r="B488" t="s">
        <v>16</v>
      </c>
      <c r="C488">
        <v>3.8</v>
      </c>
      <c r="D488" t="s">
        <v>20</v>
      </c>
      <c r="E488">
        <v>4.5</v>
      </c>
      <c r="F488">
        <v>1.3</v>
      </c>
      <c r="G488">
        <v>3.06</v>
      </c>
      <c r="H488">
        <v>0.3</v>
      </c>
      <c r="I488" t="s">
        <v>19</v>
      </c>
      <c r="J488">
        <v>7</v>
      </c>
      <c r="K488">
        <v>8</v>
      </c>
      <c r="L488">
        <v>1</v>
      </c>
      <c r="M488">
        <v>0</v>
      </c>
      <c r="N488" t="str">
        <f t="shared" si="16"/>
        <v>16-19</v>
      </c>
      <c r="O488" t="str">
        <f t="shared" si="17"/>
        <v>low sleep</v>
      </c>
      <c r="P488" s="1" t="str" cm="1">
        <f t="array" ref="P488">_xlfn.IFS(L488&lt;=3,"low",L488&lt;=6,"medium",L488&gt;=7,"high")</f>
        <v>low</v>
      </c>
    </row>
    <row r="489" spans="1:16" x14ac:dyDescent="0.3">
      <c r="A489">
        <v>15</v>
      </c>
      <c r="B489" t="s">
        <v>13</v>
      </c>
      <c r="C489">
        <v>6.4</v>
      </c>
      <c r="D489" t="s">
        <v>14</v>
      </c>
      <c r="E489">
        <v>7.8</v>
      </c>
      <c r="F489">
        <v>0.7</v>
      </c>
      <c r="G489">
        <v>2.6</v>
      </c>
      <c r="H489">
        <v>0.7</v>
      </c>
      <c r="I489" t="s">
        <v>18</v>
      </c>
      <c r="J489">
        <v>4</v>
      </c>
      <c r="K489">
        <v>4</v>
      </c>
      <c r="L489">
        <v>2</v>
      </c>
      <c r="M489">
        <v>0</v>
      </c>
      <c r="N489" t="str">
        <f t="shared" si="16"/>
        <v>13-15</v>
      </c>
      <c r="O489" t="str">
        <f t="shared" si="17"/>
        <v>healthy sleep</v>
      </c>
      <c r="P489" s="1" t="str" cm="1">
        <f t="array" ref="P489">_xlfn.IFS(L489&lt;=3,"low",L489&lt;=6,"medium",L489&gt;=7,"high")</f>
        <v>low</v>
      </c>
    </row>
    <row r="490" spans="1:16" x14ac:dyDescent="0.3">
      <c r="A490">
        <v>19</v>
      </c>
      <c r="B490" t="s">
        <v>13</v>
      </c>
      <c r="C490">
        <v>3.2</v>
      </c>
      <c r="D490" t="s">
        <v>14</v>
      </c>
      <c r="E490">
        <v>6.2</v>
      </c>
      <c r="F490">
        <v>2.6</v>
      </c>
      <c r="G490">
        <v>3.72</v>
      </c>
      <c r="H490">
        <v>1.9</v>
      </c>
      <c r="I490" t="s">
        <v>18</v>
      </c>
      <c r="J490">
        <v>9</v>
      </c>
      <c r="K490">
        <v>5</v>
      </c>
      <c r="L490">
        <v>7</v>
      </c>
      <c r="M490">
        <v>0</v>
      </c>
      <c r="N490" t="str">
        <f t="shared" si="16"/>
        <v>16-19</v>
      </c>
      <c r="O490" t="str">
        <f t="shared" si="17"/>
        <v>healthy sleep</v>
      </c>
      <c r="P490" s="1" t="str" cm="1">
        <f t="array" ref="P490">_xlfn.IFS(L490&lt;=3,"low",L490&lt;=6,"medium",L490&gt;=7,"high")</f>
        <v>high</v>
      </c>
    </row>
    <row r="491" spans="1:16" x14ac:dyDescent="0.3">
      <c r="A491">
        <v>13</v>
      </c>
      <c r="B491" t="s">
        <v>13</v>
      </c>
      <c r="C491">
        <v>4.4000000000000004</v>
      </c>
      <c r="D491" t="s">
        <v>20</v>
      </c>
      <c r="E491">
        <v>8.1999999999999993</v>
      </c>
      <c r="F491">
        <v>1.5</v>
      </c>
      <c r="G491">
        <v>3.98</v>
      </c>
      <c r="H491">
        <v>1.4</v>
      </c>
      <c r="I491" t="s">
        <v>18</v>
      </c>
      <c r="J491">
        <v>9</v>
      </c>
      <c r="K491">
        <v>6</v>
      </c>
      <c r="L491">
        <v>6</v>
      </c>
      <c r="M491">
        <v>0</v>
      </c>
      <c r="N491" t="str">
        <f t="shared" si="16"/>
        <v>13-15</v>
      </c>
      <c r="O491" t="str">
        <f t="shared" si="17"/>
        <v>healthy sleep</v>
      </c>
      <c r="P491" s="1" t="str" cm="1">
        <f t="array" ref="P491">_xlfn.IFS(L491&lt;=3,"low",L491&lt;=6,"medium",L491&gt;=7,"high")</f>
        <v>medium</v>
      </c>
    </row>
    <row r="492" spans="1:16" x14ac:dyDescent="0.3">
      <c r="A492">
        <v>15</v>
      </c>
      <c r="B492" t="s">
        <v>13</v>
      </c>
      <c r="C492">
        <v>1.3</v>
      </c>
      <c r="D492" t="s">
        <v>17</v>
      </c>
      <c r="E492">
        <v>7.5</v>
      </c>
      <c r="F492">
        <v>1.3</v>
      </c>
      <c r="G492">
        <v>2.99</v>
      </c>
      <c r="H492">
        <v>1.4</v>
      </c>
      <c r="I492" t="s">
        <v>15</v>
      </c>
      <c r="J492">
        <v>1</v>
      </c>
      <c r="K492">
        <v>5</v>
      </c>
      <c r="L492">
        <v>2</v>
      </c>
      <c r="M492">
        <v>0</v>
      </c>
      <c r="N492" t="str">
        <f t="shared" si="16"/>
        <v>13-15</v>
      </c>
      <c r="O492" t="str">
        <f t="shared" si="17"/>
        <v>healthy sleep</v>
      </c>
      <c r="P492" s="1" t="str" cm="1">
        <f t="array" ref="P492">_xlfn.IFS(L492&lt;=3,"low",L492&lt;=6,"medium",L492&gt;=7,"high")</f>
        <v>low</v>
      </c>
    </row>
    <row r="493" spans="1:16" x14ac:dyDescent="0.3">
      <c r="A493">
        <v>18</v>
      </c>
      <c r="B493" t="s">
        <v>16</v>
      </c>
      <c r="C493">
        <v>5.7</v>
      </c>
      <c r="D493" t="s">
        <v>17</v>
      </c>
      <c r="E493">
        <v>6.2</v>
      </c>
      <c r="F493">
        <v>0.5</v>
      </c>
      <c r="G493">
        <v>3.98</v>
      </c>
      <c r="H493">
        <v>1.7</v>
      </c>
      <c r="I493" t="s">
        <v>19</v>
      </c>
      <c r="J493">
        <v>7</v>
      </c>
      <c r="K493">
        <v>6</v>
      </c>
      <c r="L493">
        <v>3</v>
      </c>
      <c r="M493">
        <v>0</v>
      </c>
      <c r="N493" t="str">
        <f t="shared" si="16"/>
        <v>16-19</v>
      </c>
      <c r="O493" t="str">
        <f t="shared" si="17"/>
        <v>healthy sleep</v>
      </c>
      <c r="P493" s="1" t="str" cm="1">
        <f t="array" ref="P493">_xlfn.IFS(L493&lt;=3,"low",L493&lt;=6,"medium",L493&gt;=7,"high")</f>
        <v>low</v>
      </c>
    </row>
    <row r="494" spans="1:16" x14ac:dyDescent="0.3">
      <c r="A494">
        <v>13</v>
      </c>
      <c r="B494" t="s">
        <v>13</v>
      </c>
      <c r="C494">
        <v>4</v>
      </c>
      <c r="D494" t="s">
        <v>17</v>
      </c>
      <c r="E494">
        <v>5</v>
      </c>
      <c r="F494">
        <v>2.9</v>
      </c>
      <c r="G494">
        <v>3.84</v>
      </c>
      <c r="H494">
        <v>0.1</v>
      </c>
      <c r="I494" t="s">
        <v>15</v>
      </c>
      <c r="J494">
        <v>7</v>
      </c>
      <c r="K494">
        <v>8</v>
      </c>
      <c r="L494">
        <v>10</v>
      </c>
      <c r="M494">
        <v>0</v>
      </c>
      <c r="N494" t="str">
        <f t="shared" si="16"/>
        <v>13-15</v>
      </c>
      <c r="O494" t="str">
        <f t="shared" si="17"/>
        <v>low sleep</v>
      </c>
      <c r="P494" s="1" t="str" cm="1">
        <f t="array" ref="P494">_xlfn.IFS(L494&lt;=3,"low",L494&lt;=6,"medium",L494&gt;=7,"high")</f>
        <v>high</v>
      </c>
    </row>
    <row r="495" spans="1:16" x14ac:dyDescent="0.3">
      <c r="A495">
        <v>16</v>
      </c>
      <c r="B495" t="s">
        <v>16</v>
      </c>
      <c r="C495">
        <v>4.8</v>
      </c>
      <c r="D495" t="s">
        <v>14</v>
      </c>
      <c r="E495">
        <v>6.7</v>
      </c>
      <c r="F495">
        <v>1.4</v>
      </c>
      <c r="G495">
        <v>2.44</v>
      </c>
      <c r="H495">
        <v>0.3</v>
      </c>
      <c r="I495" t="s">
        <v>15</v>
      </c>
      <c r="J495">
        <v>1</v>
      </c>
      <c r="K495">
        <v>3</v>
      </c>
      <c r="L495">
        <v>1</v>
      </c>
      <c r="M495">
        <v>0</v>
      </c>
      <c r="N495" t="str">
        <f t="shared" si="16"/>
        <v>16-19</v>
      </c>
      <c r="O495" t="str">
        <f t="shared" si="17"/>
        <v>healthy sleep</v>
      </c>
      <c r="P495" s="1" t="str" cm="1">
        <f t="array" ref="P495">_xlfn.IFS(L495&lt;=3,"low",L495&lt;=6,"medium",L495&gt;=7,"high")</f>
        <v>low</v>
      </c>
    </row>
    <row r="496" spans="1:16" x14ac:dyDescent="0.3">
      <c r="A496">
        <v>19</v>
      </c>
      <c r="B496" t="s">
        <v>13</v>
      </c>
      <c r="C496">
        <v>5.8</v>
      </c>
      <c r="D496" t="s">
        <v>20</v>
      </c>
      <c r="E496">
        <v>7.5</v>
      </c>
      <c r="F496">
        <v>1.9</v>
      </c>
      <c r="G496">
        <v>2.08</v>
      </c>
      <c r="H496">
        <v>0.1</v>
      </c>
      <c r="I496" t="s">
        <v>18</v>
      </c>
      <c r="J496">
        <v>2</v>
      </c>
      <c r="K496">
        <v>1</v>
      </c>
      <c r="L496">
        <v>3</v>
      </c>
      <c r="M496">
        <v>0</v>
      </c>
      <c r="N496" t="str">
        <f t="shared" si="16"/>
        <v>16-19</v>
      </c>
      <c r="O496" t="str">
        <f t="shared" si="17"/>
        <v>healthy sleep</v>
      </c>
      <c r="P496" s="1" t="str" cm="1">
        <f t="array" ref="P496">_xlfn.IFS(L496&lt;=3,"low",L496&lt;=6,"medium",L496&gt;=7,"high")</f>
        <v>low</v>
      </c>
    </row>
    <row r="497" spans="1:16" x14ac:dyDescent="0.3">
      <c r="A497">
        <v>16</v>
      </c>
      <c r="B497" t="s">
        <v>13</v>
      </c>
      <c r="C497">
        <v>5.8</v>
      </c>
      <c r="D497" t="s">
        <v>20</v>
      </c>
      <c r="E497">
        <v>8.9</v>
      </c>
      <c r="F497">
        <v>1.1000000000000001</v>
      </c>
      <c r="G497">
        <v>2.08</v>
      </c>
      <c r="H497">
        <v>1.9</v>
      </c>
      <c r="I497" t="s">
        <v>19</v>
      </c>
      <c r="J497">
        <v>8</v>
      </c>
      <c r="K497">
        <v>5</v>
      </c>
      <c r="L497">
        <v>9</v>
      </c>
      <c r="M497">
        <v>0</v>
      </c>
      <c r="N497" t="str">
        <f t="shared" si="16"/>
        <v>16-19</v>
      </c>
      <c r="O497" t="str">
        <f t="shared" si="17"/>
        <v>healthy sleep</v>
      </c>
      <c r="P497" s="1" t="str" cm="1">
        <f t="array" ref="P497">_xlfn.IFS(L497&lt;=3,"low",L497&lt;=6,"medium",L497&gt;=7,"high")</f>
        <v>high</v>
      </c>
    </row>
    <row r="498" spans="1:16" x14ac:dyDescent="0.3">
      <c r="A498">
        <v>13</v>
      </c>
      <c r="B498" t="s">
        <v>13</v>
      </c>
      <c r="C498">
        <v>3.2</v>
      </c>
      <c r="D498" t="s">
        <v>17</v>
      </c>
      <c r="E498">
        <v>5.0999999999999996</v>
      </c>
      <c r="F498">
        <v>1.6</v>
      </c>
      <c r="G498">
        <v>2.87</v>
      </c>
      <c r="H498">
        <v>1.8</v>
      </c>
      <c r="I498" t="s">
        <v>19</v>
      </c>
      <c r="J498">
        <v>4</v>
      </c>
      <c r="K498">
        <v>9</v>
      </c>
      <c r="L498">
        <v>8</v>
      </c>
      <c r="M498">
        <v>0</v>
      </c>
      <c r="N498" t="str">
        <f t="shared" si="16"/>
        <v>13-15</v>
      </c>
      <c r="O498" t="str">
        <f t="shared" si="17"/>
        <v>low sleep</v>
      </c>
      <c r="P498" s="1" t="str" cm="1">
        <f t="array" ref="P498">_xlfn.IFS(L498&lt;=3,"low",L498&lt;=6,"medium",L498&gt;=7,"high")</f>
        <v>high</v>
      </c>
    </row>
    <row r="499" spans="1:16" x14ac:dyDescent="0.3">
      <c r="A499">
        <v>16</v>
      </c>
      <c r="B499" t="s">
        <v>16</v>
      </c>
      <c r="C499">
        <v>5.2</v>
      </c>
      <c r="D499" t="s">
        <v>20</v>
      </c>
      <c r="E499">
        <v>4</v>
      </c>
      <c r="F499">
        <v>2.4</v>
      </c>
      <c r="G499">
        <v>2.35</v>
      </c>
      <c r="H499">
        <v>1.6</v>
      </c>
      <c r="I499" t="s">
        <v>15</v>
      </c>
      <c r="J499">
        <v>10</v>
      </c>
      <c r="K499">
        <v>5</v>
      </c>
      <c r="L499">
        <v>2</v>
      </c>
      <c r="M499">
        <v>0</v>
      </c>
      <c r="N499" t="str">
        <f t="shared" si="16"/>
        <v>16-19</v>
      </c>
      <c r="O499" t="str">
        <f t="shared" si="17"/>
        <v>low sleep</v>
      </c>
      <c r="P499" s="1" t="str" cm="1">
        <f t="array" ref="P499">_xlfn.IFS(L499&lt;=3,"low",L499&lt;=6,"medium",L499&gt;=7,"high")</f>
        <v>low</v>
      </c>
    </row>
    <row r="500" spans="1:16" x14ac:dyDescent="0.3">
      <c r="A500">
        <v>17</v>
      </c>
      <c r="B500" t="s">
        <v>13</v>
      </c>
      <c r="C500">
        <v>2.4</v>
      </c>
      <c r="D500" t="s">
        <v>17</v>
      </c>
      <c r="E500">
        <v>6</v>
      </c>
      <c r="F500">
        <v>0.7</v>
      </c>
      <c r="G500">
        <v>3.67</v>
      </c>
      <c r="H500">
        <v>1.5</v>
      </c>
      <c r="I500" t="s">
        <v>15</v>
      </c>
      <c r="J500">
        <v>7</v>
      </c>
      <c r="K500">
        <v>9</v>
      </c>
      <c r="L500">
        <v>2</v>
      </c>
      <c r="M500">
        <v>0</v>
      </c>
      <c r="N500" t="str">
        <f t="shared" si="16"/>
        <v>16-19</v>
      </c>
      <c r="O500" t="str">
        <f t="shared" si="17"/>
        <v>low sleep</v>
      </c>
      <c r="P500" s="1" t="str" cm="1">
        <f t="array" ref="P500">_xlfn.IFS(L500&lt;=3,"low",L500&lt;=6,"medium",L500&gt;=7,"high")</f>
        <v>low</v>
      </c>
    </row>
    <row r="501" spans="1:16" x14ac:dyDescent="0.3">
      <c r="A501">
        <v>15</v>
      </c>
      <c r="B501" t="s">
        <v>13</v>
      </c>
      <c r="C501">
        <v>7.4</v>
      </c>
      <c r="D501" t="s">
        <v>20</v>
      </c>
      <c r="E501">
        <v>5.9</v>
      </c>
      <c r="F501">
        <v>2.6</v>
      </c>
      <c r="G501">
        <v>2.89</v>
      </c>
      <c r="H501">
        <v>1.9</v>
      </c>
      <c r="I501" t="s">
        <v>19</v>
      </c>
      <c r="J501">
        <v>7</v>
      </c>
      <c r="K501">
        <v>3</v>
      </c>
      <c r="L501">
        <v>8</v>
      </c>
      <c r="M501">
        <v>0</v>
      </c>
      <c r="N501" t="str">
        <f t="shared" si="16"/>
        <v>13-15</v>
      </c>
      <c r="O501" t="str">
        <f t="shared" si="17"/>
        <v>low sleep</v>
      </c>
      <c r="P501" s="1" t="str" cm="1">
        <f t="array" ref="P501">_xlfn.IFS(L501&lt;=3,"low",L501&lt;=6,"medium",L501&gt;=7,"high")</f>
        <v>high</v>
      </c>
    </row>
    <row r="502" spans="1:16" x14ac:dyDescent="0.3">
      <c r="A502">
        <v>18</v>
      </c>
      <c r="B502" t="s">
        <v>16</v>
      </c>
      <c r="C502">
        <v>7.1</v>
      </c>
      <c r="D502" t="s">
        <v>14</v>
      </c>
      <c r="E502">
        <v>4.8</v>
      </c>
      <c r="F502">
        <v>2.1</v>
      </c>
      <c r="G502">
        <v>2.5099999999999998</v>
      </c>
      <c r="H502">
        <v>0.9</v>
      </c>
      <c r="I502" t="s">
        <v>18</v>
      </c>
      <c r="J502">
        <v>1</v>
      </c>
      <c r="K502">
        <v>1</v>
      </c>
      <c r="L502">
        <v>10</v>
      </c>
      <c r="M502">
        <v>0</v>
      </c>
      <c r="N502" t="str">
        <f t="shared" si="16"/>
        <v>16-19</v>
      </c>
      <c r="O502" t="str">
        <f t="shared" si="17"/>
        <v>low sleep</v>
      </c>
      <c r="P502" s="1" t="str" cm="1">
        <f t="array" ref="P502">_xlfn.IFS(L502&lt;=3,"low",L502&lt;=6,"medium",L502&gt;=7,"high")</f>
        <v>high</v>
      </c>
    </row>
    <row r="503" spans="1:16" x14ac:dyDescent="0.3">
      <c r="A503">
        <v>16</v>
      </c>
      <c r="B503" t="s">
        <v>13</v>
      </c>
      <c r="C503">
        <v>6.5</v>
      </c>
      <c r="D503" t="s">
        <v>17</v>
      </c>
      <c r="E503">
        <v>7.4</v>
      </c>
      <c r="F503">
        <v>1.9</v>
      </c>
      <c r="G503">
        <v>2.2200000000000002</v>
      </c>
      <c r="H503">
        <v>1.1000000000000001</v>
      </c>
      <c r="I503" t="s">
        <v>19</v>
      </c>
      <c r="J503">
        <v>10</v>
      </c>
      <c r="K503">
        <v>10</v>
      </c>
      <c r="L503">
        <v>2</v>
      </c>
      <c r="M503">
        <v>0</v>
      </c>
      <c r="N503" t="str">
        <f t="shared" si="16"/>
        <v>16-19</v>
      </c>
      <c r="O503" t="str">
        <f t="shared" si="17"/>
        <v>healthy sleep</v>
      </c>
      <c r="P503" s="1" t="str" cm="1">
        <f t="array" ref="P503">_xlfn.IFS(L503&lt;=3,"low",L503&lt;=6,"medium",L503&gt;=7,"high")</f>
        <v>low</v>
      </c>
    </row>
    <row r="504" spans="1:16" x14ac:dyDescent="0.3">
      <c r="A504">
        <v>13</v>
      </c>
      <c r="B504" t="s">
        <v>13</v>
      </c>
      <c r="C504">
        <v>7.4</v>
      </c>
      <c r="D504" t="s">
        <v>20</v>
      </c>
      <c r="E504">
        <v>7</v>
      </c>
      <c r="F504">
        <v>1.8</v>
      </c>
      <c r="G504">
        <v>2.17</v>
      </c>
      <c r="H504">
        <v>1.4</v>
      </c>
      <c r="I504" t="s">
        <v>19</v>
      </c>
      <c r="J504">
        <v>9</v>
      </c>
      <c r="K504">
        <v>10</v>
      </c>
      <c r="L504">
        <v>5</v>
      </c>
      <c r="M504">
        <v>0</v>
      </c>
      <c r="N504" t="str">
        <f t="shared" si="16"/>
        <v>13-15</v>
      </c>
      <c r="O504" t="str">
        <f t="shared" si="17"/>
        <v>healthy sleep</v>
      </c>
      <c r="P504" s="1" t="str" cm="1">
        <f t="array" ref="P504">_xlfn.IFS(L504&lt;=3,"low",L504&lt;=6,"medium",L504&gt;=7,"high")</f>
        <v>medium</v>
      </c>
    </row>
    <row r="505" spans="1:16" x14ac:dyDescent="0.3">
      <c r="A505">
        <v>15</v>
      </c>
      <c r="B505" t="s">
        <v>16</v>
      </c>
      <c r="C505">
        <v>3.9</v>
      </c>
      <c r="D505" t="s">
        <v>14</v>
      </c>
      <c r="E505">
        <v>6.4</v>
      </c>
      <c r="F505">
        <v>1.7</v>
      </c>
      <c r="G505">
        <v>2.87</v>
      </c>
      <c r="H505">
        <v>1.8</v>
      </c>
      <c r="I505" t="s">
        <v>18</v>
      </c>
      <c r="J505">
        <v>6</v>
      </c>
      <c r="K505">
        <v>6</v>
      </c>
      <c r="L505">
        <v>6</v>
      </c>
      <c r="M505">
        <v>0</v>
      </c>
      <c r="N505" t="str">
        <f t="shared" si="16"/>
        <v>13-15</v>
      </c>
      <c r="O505" t="str">
        <f t="shared" si="17"/>
        <v>healthy sleep</v>
      </c>
      <c r="P505" s="1" t="str" cm="1">
        <f t="array" ref="P505">_xlfn.IFS(L505&lt;=3,"low",L505&lt;=6,"medium",L505&gt;=7,"high")</f>
        <v>medium</v>
      </c>
    </row>
    <row r="506" spans="1:16" x14ac:dyDescent="0.3">
      <c r="A506">
        <v>15</v>
      </c>
      <c r="B506" t="s">
        <v>16</v>
      </c>
      <c r="C506">
        <v>4.5999999999999996</v>
      </c>
      <c r="D506" t="s">
        <v>20</v>
      </c>
      <c r="E506">
        <v>8.6</v>
      </c>
      <c r="F506">
        <v>2</v>
      </c>
      <c r="G506">
        <v>3.01</v>
      </c>
      <c r="H506">
        <v>0</v>
      </c>
      <c r="I506" t="s">
        <v>15</v>
      </c>
      <c r="J506">
        <v>1</v>
      </c>
      <c r="K506">
        <v>8</v>
      </c>
      <c r="L506">
        <v>3</v>
      </c>
      <c r="M506">
        <v>0</v>
      </c>
      <c r="N506" t="str">
        <f t="shared" si="16"/>
        <v>13-15</v>
      </c>
      <c r="O506" t="str">
        <f t="shared" si="17"/>
        <v>healthy sleep</v>
      </c>
      <c r="P506" s="1" t="str" cm="1">
        <f t="array" ref="P506">_xlfn.IFS(L506&lt;=3,"low",L506&lt;=6,"medium",L506&gt;=7,"high")</f>
        <v>low</v>
      </c>
    </row>
    <row r="507" spans="1:16" x14ac:dyDescent="0.3">
      <c r="A507">
        <v>19</v>
      </c>
      <c r="B507" t="s">
        <v>13</v>
      </c>
      <c r="C507">
        <v>1.5</v>
      </c>
      <c r="D507" t="s">
        <v>17</v>
      </c>
      <c r="E507">
        <v>6.7</v>
      </c>
      <c r="F507">
        <v>1</v>
      </c>
      <c r="G507">
        <v>3.9</v>
      </c>
      <c r="H507">
        <v>0.4</v>
      </c>
      <c r="I507" t="s">
        <v>15</v>
      </c>
      <c r="J507">
        <v>4</v>
      </c>
      <c r="K507">
        <v>3</v>
      </c>
      <c r="L507">
        <v>3</v>
      </c>
      <c r="M507">
        <v>0</v>
      </c>
      <c r="N507" t="str">
        <f t="shared" si="16"/>
        <v>16-19</v>
      </c>
      <c r="O507" t="str">
        <f t="shared" si="17"/>
        <v>healthy sleep</v>
      </c>
      <c r="P507" s="1" t="str" cm="1">
        <f t="array" ref="P507">_xlfn.IFS(L507&lt;=3,"low",L507&lt;=6,"medium",L507&gt;=7,"high")</f>
        <v>low</v>
      </c>
    </row>
    <row r="508" spans="1:16" x14ac:dyDescent="0.3">
      <c r="A508">
        <v>15</v>
      </c>
      <c r="B508" t="s">
        <v>16</v>
      </c>
      <c r="C508">
        <v>5.8</v>
      </c>
      <c r="D508" t="s">
        <v>14</v>
      </c>
      <c r="E508">
        <v>7.1</v>
      </c>
      <c r="F508">
        <v>1.1000000000000001</v>
      </c>
      <c r="G508">
        <v>3.72</v>
      </c>
      <c r="H508">
        <v>1.5</v>
      </c>
      <c r="I508" t="s">
        <v>15</v>
      </c>
      <c r="J508">
        <v>9</v>
      </c>
      <c r="K508">
        <v>6</v>
      </c>
      <c r="L508">
        <v>6</v>
      </c>
      <c r="M508">
        <v>0</v>
      </c>
      <c r="N508" t="str">
        <f t="shared" si="16"/>
        <v>13-15</v>
      </c>
      <c r="O508" t="str">
        <f t="shared" si="17"/>
        <v>healthy sleep</v>
      </c>
      <c r="P508" s="1" t="str" cm="1">
        <f t="array" ref="P508">_xlfn.IFS(L508&lt;=3,"low",L508&lt;=6,"medium",L508&gt;=7,"high")</f>
        <v>medium</v>
      </c>
    </row>
    <row r="509" spans="1:16" x14ac:dyDescent="0.3">
      <c r="A509">
        <v>17</v>
      </c>
      <c r="B509" t="s">
        <v>16</v>
      </c>
      <c r="C509">
        <v>6.4</v>
      </c>
      <c r="D509" t="s">
        <v>17</v>
      </c>
      <c r="E509">
        <v>4.9000000000000004</v>
      </c>
      <c r="F509">
        <v>2.1</v>
      </c>
      <c r="G509">
        <v>2.78</v>
      </c>
      <c r="H509">
        <v>1</v>
      </c>
      <c r="I509" t="s">
        <v>18</v>
      </c>
      <c r="J509">
        <v>2</v>
      </c>
      <c r="K509">
        <v>2</v>
      </c>
      <c r="L509">
        <v>6</v>
      </c>
      <c r="M509">
        <v>0</v>
      </c>
      <c r="N509" t="str">
        <f t="shared" si="16"/>
        <v>16-19</v>
      </c>
      <c r="O509" t="str">
        <f t="shared" si="17"/>
        <v>low sleep</v>
      </c>
      <c r="P509" s="1" t="str" cm="1">
        <f t="array" ref="P509">_xlfn.IFS(L509&lt;=3,"low",L509&lt;=6,"medium",L509&gt;=7,"high")</f>
        <v>medium</v>
      </c>
    </row>
    <row r="510" spans="1:16" x14ac:dyDescent="0.3">
      <c r="A510">
        <v>16</v>
      </c>
      <c r="B510" t="s">
        <v>16</v>
      </c>
      <c r="C510">
        <v>2.1</v>
      </c>
      <c r="D510" t="s">
        <v>17</v>
      </c>
      <c r="E510">
        <v>8.1999999999999993</v>
      </c>
      <c r="F510">
        <v>2.4</v>
      </c>
      <c r="G510">
        <v>3.25</v>
      </c>
      <c r="H510">
        <v>0.1</v>
      </c>
      <c r="I510" t="s">
        <v>18</v>
      </c>
      <c r="J510">
        <v>1</v>
      </c>
      <c r="K510">
        <v>1</v>
      </c>
      <c r="L510">
        <v>8</v>
      </c>
      <c r="M510">
        <v>0</v>
      </c>
      <c r="N510" t="str">
        <f t="shared" si="16"/>
        <v>16-19</v>
      </c>
      <c r="O510" t="str">
        <f t="shared" si="17"/>
        <v>healthy sleep</v>
      </c>
      <c r="P510" s="1" t="str" cm="1">
        <f t="array" ref="P510">_xlfn.IFS(L510&lt;=3,"low",L510&lt;=6,"medium",L510&gt;=7,"high")</f>
        <v>high</v>
      </c>
    </row>
    <row r="511" spans="1:16" x14ac:dyDescent="0.3">
      <c r="A511">
        <v>17</v>
      </c>
      <c r="B511" t="s">
        <v>16</v>
      </c>
      <c r="C511">
        <v>2.2000000000000002</v>
      </c>
      <c r="D511" t="s">
        <v>17</v>
      </c>
      <c r="E511">
        <v>6.5</v>
      </c>
      <c r="F511">
        <v>3</v>
      </c>
      <c r="G511">
        <v>2.4900000000000002</v>
      </c>
      <c r="H511">
        <v>0.2</v>
      </c>
      <c r="I511" t="s">
        <v>19</v>
      </c>
      <c r="J511">
        <v>5</v>
      </c>
      <c r="K511">
        <v>8</v>
      </c>
      <c r="L511">
        <v>4</v>
      </c>
      <c r="M511">
        <v>0</v>
      </c>
      <c r="N511" t="str">
        <f t="shared" si="16"/>
        <v>16-19</v>
      </c>
      <c r="O511" t="str">
        <f t="shared" si="17"/>
        <v>healthy sleep</v>
      </c>
      <c r="P511" s="1" t="str" cm="1">
        <f t="array" ref="P511">_xlfn.IFS(L511&lt;=3,"low",L511&lt;=6,"medium",L511&gt;=7,"high")</f>
        <v>medium</v>
      </c>
    </row>
    <row r="512" spans="1:16" x14ac:dyDescent="0.3">
      <c r="A512">
        <v>14</v>
      </c>
      <c r="B512" t="s">
        <v>13</v>
      </c>
      <c r="C512">
        <v>5.5</v>
      </c>
      <c r="D512" t="s">
        <v>17</v>
      </c>
      <c r="E512">
        <v>7.4</v>
      </c>
      <c r="F512">
        <v>2.9</v>
      </c>
      <c r="G512">
        <v>3.54</v>
      </c>
      <c r="H512">
        <v>1.1000000000000001</v>
      </c>
      <c r="I512" t="s">
        <v>18</v>
      </c>
      <c r="J512">
        <v>8</v>
      </c>
      <c r="K512">
        <v>4</v>
      </c>
      <c r="L512">
        <v>10</v>
      </c>
      <c r="M512">
        <v>0</v>
      </c>
      <c r="N512" t="str">
        <f t="shared" si="16"/>
        <v>13-15</v>
      </c>
      <c r="O512" t="str">
        <f t="shared" si="17"/>
        <v>healthy sleep</v>
      </c>
      <c r="P512" s="1" t="str" cm="1">
        <f t="array" ref="P512">_xlfn.IFS(L512&lt;=3,"low",L512&lt;=6,"medium",L512&gt;=7,"high")</f>
        <v>high</v>
      </c>
    </row>
    <row r="513" spans="1:16" x14ac:dyDescent="0.3">
      <c r="A513">
        <v>17</v>
      </c>
      <c r="B513" t="s">
        <v>16</v>
      </c>
      <c r="C513">
        <v>6.6</v>
      </c>
      <c r="D513" t="s">
        <v>20</v>
      </c>
      <c r="E513">
        <v>7.4</v>
      </c>
      <c r="F513">
        <v>2.2000000000000002</v>
      </c>
      <c r="G513">
        <v>2.63</v>
      </c>
      <c r="H513">
        <v>0.6</v>
      </c>
      <c r="I513" t="s">
        <v>18</v>
      </c>
      <c r="J513">
        <v>7</v>
      </c>
      <c r="K513">
        <v>4</v>
      </c>
      <c r="L513">
        <v>9</v>
      </c>
      <c r="M513">
        <v>0</v>
      </c>
      <c r="N513" t="str">
        <f t="shared" si="16"/>
        <v>16-19</v>
      </c>
      <c r="O513" t="str">
        <f t="shared" si="17"/>
        <v>healthy sleep</v>
      </c>
      <c r="P513" s="1" t="str" cm="1">
        <f t="array" ref="P513">_xlfn.IFS(L513&lt;=3,"low",L513&lt;=6,"medium",L513&gt;=7,"high")</f>
        <v>high</v>
      </c>
    </row>
    <row r="514" spans="1:16" x14ac:dyDescent="0.3">
      <c r="A514">
        <v>19</v>
      </c>
      <c r="B514" t="s">
        <v>16</v>
      </c>
      <c r="C514">
        <v>5.2</v>
      </c>
      <c r="D514" t="s">
        <v>14</v>
      </c>
      <c r="E514">
        <v>6.6</v>
      </c>
      <c r="F514">
        <v>1.6</v>
      </c>
      <c r="G514">
        <v>2.36</v>
      </c>
      <c r="H514">
        <v>1.4</v>
      </c>
      <c r="I514" t="s">
        <v>15</v>
      </c>
      <c r="J514">
        <v>2</v>
      </c>
      <c r="K514">
        <v>6</v>
      </c>
      <c r="L514">
        <v>10</v>
      </c>
      <c r="M514">
        <v>0</v>
      </c>
      <c r="N514" t="str">
        <f t="shared" si="16"/>
        <v>16-19</v>
      </c>
      <c r="O514" t="str">
        <f t="shared" si="17"/>
        <v>healthy sleep</v>
      </c>
      <c r="P514" s="1" t="str" cm="1">
        <f t="array" ref="P514">_xlfn.IFS(L514&lt;=3,"low",L514&lt;=6,"medium",L514&gt;=7,"high")</f>
        <v>high</v>
      </c>
    </row>
    <row r="515" spans="1:16" x14ac:dyDescent="0.3">
      <c r="A515">
        <v>17</v>
      </c>
      <c r="B515" t="s">
        <v>13</v>
      </c>
      <c r="C515">
        <v>4.7</v>
      </c>
      <c r="D515" t="s">
        <v>17</v>
      </c>
      <c r="E515">
        <v>5.0999999999999996</v>
      </c>
      <c r="F515">
        <v>2</v>
      </c>
      <c r="G515">
        <v>2.35</v>
      </c>
      <c r="H515">
        <v>1.8</v>
      </c>
      <c r="I515" t="s">
        <v>15</v>
      </c>
      <c r="J515">
        <v>8</v>
      </c>
      <c r="K515">
        <v>9</v>
      </c>
      <c r="L515">
        <v>1</v>
      </c>
      <c r="M515">
        <v>0</v>
      </c>
      <c r="N515" t="str">
        <f t="shared" ref="N515:N578" si="18">IF(A515&lt;=15,"13-15","16-19")</f>
        <v>16-19</v>
      </c>
      <c r="O515" t="str">
        <f t="shared" ref="O515:O578" si="19">IF(E515&lt;=6,"low sleep","healthy sleep")</f>
        <v>low sleep</v>
      </c>
      <c r="P515" s="1" t="str" cm="1">
        <f t="array" ref="P515">_xlfn.IFS(L515&lt;=3,"low",L515&lt;=6,"medium",L515&gt;=7,"high")</f>
        <v>low</v>
      </c>
    </row>
    <row r="516" spans="1:16" x14ac:dyDescent="0.3">
      <c r="A516">
        <v>19</v>
      </c>
      <c r="B516" t="s">
        <v>16</v>
      </c>
      <c r="C516">
        <v>7.1</v>
      </c>
      <c r="D516" t="s">
        <v>20</v>
      </c>
      <c r="E516">
        <v>6.3</v>
      </c>
      <c r="F516">
        <v>2.2000000000000002</v>
      </c>
      <c r="G516">
        <v>3.88</v>
      </c>
      <c r="H516">
        <v>0.8</v>
      </c>
      <c r="I516" t="s">
        <v>18</v>
      </c>
      <c r="J516">
        <v>10</v>
      </c>
      <c r="K516">
        <v>4</v>
      </c>
      <c r="L516">
        <v>9</v>
      </c>
      <c r="M516">
        <v>0</v>
      </c>
      <c r="N516" t="str">
        <f t="shared" si="18"/>
        <v>16-19</v>
      </c>
      <c r="O516" t="str">
        <f t="shared" si="19"/>
        <v>healthy sleep</v>
      </c>
      <c r="P516" s="1" t="str" cm="1">
        <f t="array" ref="P516">_xlfn.IFS(L516&lt;=3,"low",L516&lt;=6,"medium",L516&gt;=7,"high")</f>
        <v>high</v>
      </c>
    </row>
    <row r="517" spans="1:16" x14ac:dyDescent="0.3">
      <c r="A517">
        <v>19</v>
      </c>
      <c r="B517" t="s">
        <v>16</v>
      </c>
      <c r="C517">
        <v>4.2</v>
      </c>
      <c r="D517" t="s">
        <v>20</v>
      </c>
      <c r="E517">
        <v>8.1</v>
      </c>
      <c r="F517">
        <v>1.4</v>
      </c>
      <c r="G517">
        <v>2.66</v>
      </c>
      <c r="H517">
        <v>1.9</v>
      </c>
      <c r="I517" t="s">
        <v>15</v>
      </c>
      <c r="J517">
        <v>9</v>
      </c>
      <c r="K517">
        <v>4</v>
      </c>
      <c r="L517">
        <v>2</v>
      </c>
      <c r="M517">
        <v>0</v>
      </c>
      <c r="N517" t="str">
        <f t="shared" si="18"/>
        <v>16-19</v>
      </c>
      <c r="O517" t="str">
        <f t="shared" si="19"/>
        <v>healthy sleep</v>
      </c>
      <c r="P517" s="1" t="str" cm="1">
        <f t="array" ref="P517">_xlfn.IFS(L517&lt;=3,"low",L517&lt;=6,"medium",L517&gt;=7,"high")</f>
        <v>low</v>
      </c>
    </row>
    <row r="518" spans="1:16" x14ac:dyDescent="0.3">
      <c r="A518">
        <v>17</v>
      </c>
      <c r="B518" t="s">
        <v>16</v>
      </c>
      <c r="C518">
        <v>1.3</v>
      </c>
      <c r="D518" t="s">
        <v>14</v>
      </c>
      <c r="E518">
        <v>5.0999999999999996</v>
      </c>
      <c r="F518">
        <v>2.2000000000000002</v>
      </c>
      <c r="G518">
        <v>3.44</v>
      </c>
      <c r="H518">
        <v>0.6</v>
      </c>
      <c r="I518" t="s">
        <v>18</v>
      </c>
      <c r="J518">
        <v>7</v>
      </c>
      <c r="K518">
        <v>8</v>
      </c>
      <c r="L518">
        <v>6</v>
      </c>
      <c r="M518">
        <v>0</v>
      </c>
      <c r="N518" t="str">
        <f t="shared" si="18"/>
        <v>16-19</v>
      </c>
      <c r="O518" t="str">
        <f t="shared" si="19"/>
        <v>low sleep</v>
      </c>
      <c r="P518" s="1" t="str" cm="1">
        <f t="array" ref="P518">_xlfn.IFS(L518&lt;=3,"low",L518&lt;=6,"medium",L518&gt;=7,"high")</f>
        <v>medium</v>
      </c>
    </row>
    <row r="519" spans="1:16" x14ac:dyDescent="0.3">
      <c r="A519">
        <v>18</v>
      </c>
      <c r="B519" t="s">
        <v>13</v>
      </c>
      <c r="C519">
        <v>2.6</v>
      </c>
      <c r="D519" t="s">
        <v>20</v>
      </c>
      <c r="E519">
        <v>7.8</v>
      </c>
      <c r="F519">
        <v>1.9</v>
      </c>
      <c r="G519">
        <v>3.15</v>
      </c>
      <c r="H519">
        <v>0.4</v>
      </c>
      <c r="I519" t="s">
        <v>19</v>
      </c>
      <c r="J519">
        <v>8</v>
      </c>
      <c r="K519">
        <v>3</v>
      </c>
      <c r="L519">
        <v>2</v>
      </c>
      <c r="M519">
        <v>0</v>
      </c>
      <c r="N519" t="str">
        <f t="shared" si="18"/>
        <v>16-19</v>
      </c>
      <c r="O519" t="str">
        <f t="shared" si="19"/>
        <v>healthy sleep</v>
      </c>
      <c r="P519" s="1" t="str" cm="1">
        <f t="array" ref="P519">_xlfn.IFS(L519&lt;=3,"low",L519&lt;=6,"medium",L519&gt;=7,"high")</f>
        <v>low</v>
      </c>
    </row>
    <row r="520" spans="1:16" x14ac:dyDescent="0.3">
      <c r="A520">
        <v>15</v>
      </c>
      <c r="B520" t="s">
        <v>13</v>
      </c>
      <c r="C520">
        <v>6.2</v>
      </c>
      <c r="D520" t="s">
        <v>14</v>
      </c>
      <c r="E520">
        <v>8.1</v>
      </c>
      <c r="F520">
        <v>2.2999999999999998</v>
      </c>
      <c r="G520">
        <v>3.46</v>
      </c>
      <c r="H520">
        <v>1.3</v>
      </c>
      <c r="I520" t="s">
        <v>15</v>
      </c>
      <c r="J520">
        <v>5</v>
      </c>
      <c r="K520">
        <v>4</v>
      </c>
      <c r="L520">
        <v>9</v>
      </c>
      <c r="M520">
        <v>0</v>
      </c>
      <c r="N520" t="str">
        <f t="shared" si="18"/>
        <v>13-15</v>
      </c>
      <c r="O520" t="str">
        <f t="shared" si="19"/>
        <v>healthy sleep</v>
      </c>
      <c r="P520" s="1" t="str" cm="1">
        <f t="array" ref="P520">_xlfn.IFS(L520&lt;=3,"low",L520&lt;=6,"medium",L520&gt;=7,"high")</f>
        <v>high</v>
      </c>
    </row>
    <row r="521" spans="1:16" x14ac:dyDescent="0.3">
      <c r="A521">
        <v>14</v>
      </c>
      <c r="B521" t="s">
        <v>16</v>
      </c>
      <c r="C521">
        <v>6.2</v>
      </c>
      <c r="D521" t="s">
        <v>17</v>
      </c>
      <c r="E521">
        <v>5.0999999999999996</v>
      </c>
      <c r="F521">
        <v>1.5</v>
      </c>
      <c r="G521">
        <v>3.85</v>
      </c>
      <c r="H521">
        <v>0.2</v>
      </c>
      <c r="I521" t="s">
        <v>18</v>
      </c>
      <c r="J521">
        <v>3</v>
      </c>
      <c r="K521">
        <v>4</v>
      </c>
      <c r="L521">
        <v>10</v>
      </c>
      <c r="M521">
        <v>0</v>
      </c>
      <c r="N521" t="str">
        <f t="shared" si="18"/>
        <v>13-15</v>
      </c>
      <c r="O521" t="str">
        <f t="shared" si="19"/>
        <v>low sleep</v>
      </c>
      <c r="P521" s="1" t="str" cm="1">
        <f t="array" ref="P521">_xlfn.IFS(L521&lt;=3,"low",L521&lt;=6,"medium",L521&gt;=7,"high")</f>
        <v>high</v>
      </c>
    </row>
    <row r="522" spans="1:16" x14ac:dyDescent="0.3">
      <c r="A522">
        <v>18</v>
      </c>
      <c r="B522" t="s">
        <v>13</v>
      </c>
      <c r="C522">
        <v>4.8</v>
      </c>
      <c r="D522" t="s">
        <v>17</v>
      </c>
      <c r="E522">
        <v>8.5</v>
      </c>
      <c r="F522">
        <v>2.8</v>
      </c>
      <c r="G522">
        <v>3.77</v>
      </c>
      <c r="H522">
        <v>1.3</v>
      </c>
      <c r="I522" t="s">
        <v>15</v>
      </c>
      <c r="J522">
        <v>5</v>
      </c>
      <c r="K522">
        <v>4</v>
      </c>
      <c r="L522">
        <v>3</v>
      </c>
      <c r="M522">
        <v>0</v>
      </c>
      <c r="N522" t="str">
        <f t="shared" si="18"/>
        <v>16-19</v>
      </c>
      <c r="O522" t="str">
        <f t="shared" si="19"/>
        <v>healthy sleep</v>
      </c>
      <c r="P522" s="1" t="str" cm="1">
        <f t="array" ref="P522">_xlfn.IFS(L522&lt;=3,"low",L522&lt;=6,"medium",L522&gt;=7,"high")</f>
        <v>low</v>
      </c>
    </row>
    <row r="523" spans="1:16" x14ac:dyDescent="0.3">
      <c r="A523">
        <v>18</v>
      </c>
      <c r="B523" t="s">
        <v>16</v>
      </c>
      <c r="C523">
        <v>3</v>
      </c>
      <c r="D523" t="s">
        <v>20</v>
      </c>
      <c r="E523">
        <v>4.5999999999999996</v>
      </c>
      <c r="F523">
        <v>2</v>
      </c>
      <c r="G523">
        <v>2.2400000000000002</v>
      </c>
      <c r="H523">
        <v>1.5</v>
      </c>
      <c r="I523" t="s">
        <v>19</v>
      </c>
      <c r="J523">
        <v>10</v>
      </c>
      <c r="K523">
        <v>2</v>
      </c>
      <c r="L523">
        <v>5</v>
      </c>
      <c r="M523">
        <v>0</v>
      </c>
      <c r="N523" t="str">
        <f t="shared" si="18"/>
        <v>16-19</v>
      </c>
      <c r="O523" t="str">
        <f t="shared" si="19"/>
        <v>low sleep</v>
      </c>
      <c r="P523" s="1" t="str" cm="1">
        <f t="array" ref="P523">_xlfn.IFS(L523&lt;=3,"low",L523&lt;=6,"medium",L523&gt;=7,"high")</f>
        <v>medium</v>
      </c>
    </row>
    <row r="524" spans="1:16" x14ac:dyDescent="0.3">
      <c r="A524">
        <v>16</v>
      </c>
      <c r="B524" t="s">
        <v>13</v>
      </c>
      <c r="C524">
        <v>4.7</v>
      </c>
      <c r="D524" t="s">
        <v>14</v>
      </c>
      <c r="E524">
        <v>8.1999999999999993</v>
      </c>
      <c r="F524">
        <v>2.7</v>
      </c>
      <c r="G524">
        <v>3.04</v>
      </c>
      <c r="H524">
        <v>0.3</v>
      </c>
      <c r="I524" t="s">
        <v>18</v>
      </c>
      <c r="J524">
        <v>1</v>
      </c>
      <c r="K524">
        <v>3</v>
      </c>
      <c r="L524">
        <v>4</v>
      </c>
      <c r="M524">
        <v>0</v>
      </c>
      <c r="N524" t="str">
        <f t="shared" si="18"/>
        <v>16-19</v>
      </c>
      <c r="O524" t="str">
        <f t="shared" si="19"/>
        <v>healthy sleep</v>
      </c>
      <c r="P524" s="1" t="str" cm="1">
        <f t="array" ref="P524">_xlfn.IFS(L524&lt;=3,"low",L524&lt;=6,"medium",L524&gt;=7,"high")</f>
        <v>medium</v>
      </c>
    </row>
    <row r="525" spans="1:16" x14ac:dyDescent="0.3">
      <c r="A525">
        <v>18</v>
      </c>
      <c r="B525" t="s">
        <v>16</v>
      </c>
      <c r="C525">
        <v>4.4000000000000004</v>
      </c>
      <c r="D525" t="s">
        <v>20</v>
      </c>
      <c r="E525">
        <v>5.0999999999999996</v>
      </c>
      <c r="F525">
        <v>1.4</v>
      </c>
      <c r="G525">
        <v>2.33</v>
      </c>
      <c r="H525">
        <v>0.6</v>
      </c>
      <c r="I525" t="s">
        <v>15</v>
      </c>
      <c r="J525">
        <v>2</v>
      </c>
      <c r="K525">
        <v>7</v>
      </c>
      <c r="L525">
        <v>4</v>
      </c>
      <c r="M525">
        <v>0</v>
      </c>
      <c r="N525" t="str">
        <f t="shared" si="18"/>
        <v>16-19</v>
      </c>
      <c r="O525" t="str">
        <f t="shared" si="19"/>
        <v>low sleep</v>
      </c>
      <c r="P525" s="1" t="str" cm="1">
        <f t="array" ref="P525">_xlfn.IFS(L525&lt;=3,"low",L525&lt;=6,"medium",L525&gt;=7,"high")</f>
        <v>medium</v>
      </c>
    </row>
    <row r="526" spans="1:16" x14ac:dyDescent="0.3">
      <c r="A526">
        <v>14</v>
      </c>
      <c r="B526" t="s">
        <v>16</v>
      </c>
      <c r="C526">
        <v>2.2999999999999998</v>
      </c>
      <c r="D526" t="s">
        <v>17</v>
      </c>
      <c r="E526">
        <v>7.3</v>
      </c>
      <c r="F526">
        <v>2.2999999999999998</v>
      </c>
      <c r="G526">
        <v>2.8</v>
      </c>
      <c r="H526">
        <v>1.5</v>
      </c>
      <c r="I526" t="s">
        <v>19</v>
      </c>
      <c r="J526">
        <v>4</v>
      </c>
      <c r="K526">
        <v>6</v>
      </c>
      <c r="L526">
        <v>5</v>
      </c>
      <c r="M526">
        <v>0</v>
      </c>
      <c r="N526" t="str">
        <f t="shared" si="18"/>
        <v>13-15</v>
      </c>
      <c r="O526" t="str">
        <f t="shared" si="19"/>
        <v>healthy sleep</v>
      </c>
      <c r="P526" s="1" t="str" cm="1">
        <f t="array" ref="P526">_xlfn.IFS(L526&lt;=3,"low",L526&lt;=6,"medium",L526&gt;=7,"high")</f>
        <v>medium</v>
      </c>
    </row>
    <row r="527" spans="1:16" x14ac:dyDescent="0.3">
      <c r="A527">
        <v>14</v>
      </c>
      <c r="B527" t="s">
        <v>16</v>
      </c>
      <c r="C527">
        <v>3.1</v>
      </c>
      <c r="D527" t="s">
        <v>14</v>
      </c>
      <c r="E527">
        <v>6.9</v>
      </c>
      <c r="F527">
        <v>1.9</v>
      </c>
      <c r="G527">
        <v>2.2000000000000002</v>
      </c>
      <c r="H527">
        <v>1.2</v>
      </c>
      <c r="I527" t="s">
        <v>19</v>
      </c>
      <c r="J527">
        <v>3</v>
      </c>
      <c r="K527">
        <v>4</v>
      </c>
      <c r="L527">
        <v>2</v>
      </c>
      <c r="M527">
        <v>0</v>
      </c>
      <c r="N527" t="str">
        <f t="shared" si="18"/>
        <v>13-15</v>
      </c>
      <c r="O527" t="str">
        <f t="shared" si="19"/>
        <v>healthy sleep</v>
      </c>
      <c r="P527" s="1" t="str" cm="1">
        <f t="array" ref="P527">_xlfn.IFS(L527&lt;=3,"low",L527&lt;=6,"medium",L527&gt;=7,"high")</f>
        <v>low</v>
      </c>
    </row>
    <row r="528" spans="1:16" x14ac:dyDescent="0.3">
      <c r="A528">
        <v>18</v>
      </c>
      <c r="B528" t="s">
        <v>13</v>
      </c>
      <c r="C528">
        <v>2.9</v>
      </c>
      <c r="D528" t="s">
        <v>17</v>
      </c>
      <c r="E528">
        <v>7.5</v>
      </c>
      <c r="F528">
        <v>0.6</v>
      </c>
      <c r="G528">
        <v>2.25</v>
      </c>
      <c r="H528">
        <v>1</v>
      </c>
      <c r="I528" t="s">
        <v>18</v>
      </c>
      <c r="J528">
        <v>4</v>
      </c>
      <c r="K528">
        <v>7</v>
      </c>
      <c r="L528">
        <v>4</v>
      </c>
      <c r="M528">
        <v>0</v>
      </c>
      <c r="N528" t="str">
        <f t="shared" si="18"/>
        <v>16-19</v>
      </c>
      <c r="O528" t="str">
        <f t="shared" si="19"/>
        <v>healthy sleep</v>
      </c>
      <c r="P528" s="1" t="str" cm="1">
        <f t="array" ref="P528">_xlfn.IFS(L528&lt;=3,"low",L528&lt;=6,"medium",L528&gt;=7,"high")</f>
        <v>medium</v>
      </c>
    </row>
    <row r="529" spans="1:16" x14ac:dyDescent="0.3">
      <c r="A529">
        <v>13</v>
      </c>
      <c r="B529" t="s">
        <v>13</v>
      </c>
      <c r="C529">
        <v>1.8</v>
      </c>
      <c r="D529" t="s">
        <v>14</v>
      </c>
      <c r="E529">
        <v>4.4000000000000004</v>
      </c>
      <c r="F529">
        <v>0.6</v>
      </c>
      <c r="G529">
        <v>3.48</v>
      </c>
      <c r="H529">
        <v>1.7</v>
      </c>
      <c r="I529" t="s">
        <v>19</v>
      </c>
      <c r="J529">
        <v>3</v>
      </c>
      <c r="K529">
        <v>1</v>
      </c>
      <c r="L529">
        <v>10</v>
      </c>
      <c r="M529">
        <v>0</v>
      </c>
      <c r="N529" t="str">
        <f t="shared" si="18"/>
        <v>13-15</v>
      </c>
      <c r="O529" t="str">
        <f t="shared" si="19"/>
        <v>low sleep</v>
      </c>
      <c r="P529" s="1" t="str" cm="1">
        <f t="array" ref="P529">_xlfn.IFS(L529&lt;=3,"low",L529&lt;=6,"medium",L529&gt;=7,"high")</f>
        <v>high</v>
      </c>
    </row>
    <row r="530" spans="1:16" x14ac:dyDescent="0.3">
      <c r="A530">
        <v>15</v>
      </c>
      <c r="B530" t="s">
        <v>16</v>
      </c>
      <c r="C530">
        <v>2</v>
      </c>
      <c r="D530" t="s">
        <v>14</v>
      </c>
      <c r="E530">
        <v>4.7</v>
      </c>
      <c r="F530">
        <v>1.3</v>
      </c>
      <c r="G530">
        <v>3.55</v>
      </c>
      <c r="H530">
        <v>1.3</v>
      </c>
      <c r="I530" t="s">
        <v>15</v>
      </c>
      <c r="J530">
        <v>2</v>
      </c>
      <c r="K530">
        <v>6</v>
      </c>
      <c r="L530">
        <v>5</v>
      </c>
      <c r="M530">
        <v>0</v>
      </c>
      <c r="N530" t="str">
        <f t="shared" si="18"/>
        <v>13-15</v>
      </c>
      <c r="O530" t="str">
        <f t="shared" si="19"/>
        <v>low sleep</v>
      </c>
      <c r="P530" s="1" t="str" cm="1">
        <f t="array" ref="P530">_xlfn.IFS(L530&lt;=3,"low",L530&lt;=6,"medium",L530&gt;=7,"high")</f>
        <v>medium</v>
      </c>
    </row>
    <row r="531" spans="1:16" x14ac:dyDescent="0.3">
      <c r="A531">
        <v>13</v>
      </c>
      <c r="B531" t="s">
        <v>16</v>
      </c>
      <c r="C531">
        <v>4.2</v>
      </c>
      <c r="D531" t="s">
        <v>14</v>
      </c>
      <c r="E531">
        <v>7.9</v>
      </c>
      <c r="F531">
        <v>2.7</v>
      </c>
      <c r="G531">
        <v>3.76</v>
      </c>
      <c r="H531">
        <v>0.1</v>
      </c>
      <c r="I531" t="s">
        <v>19</v>
      </c>
      <c r="J531">
        <v>10</v>
      </c>
      <c r="K531">
        <v>7</v>
      </c>
      <c r="L531">
        <v>2</v>
      </c>
      <c r="M531">
        <v>0</v>
      </c>
      <c r="N531" t="str">
        <f t="shared" si="18"/>
        <v>13-15</v>
      </c>
      <c r="O531" t="str">
        <f t="shared" si="19"/>
        <v>healthy sleep</v>
      </c>
      <c r="P531" s="1" t="str" cm="1">
        <f t="array" ref="P531">_xlfn.IFS(L531&lt;=3,"low",L531&lt;=6,"medium",L531&gt;=7,"high")</f>
        <v>low</v>
      </c>
    </row>
    <row r="532" spans="1:16" x14ac:dyDescent="0.3">
      <c r="A532">
        <v>17</v>
      </c>
      <c r="B532" t="s">
        <v>16</v>
      </c>
      <c r="C532">
        <v>6.7</v>
      </c>
      <c r="D532" t="s">
        <v>20</v>
      </c>
      <c r="E532">
        <v>7.9</v>
      </c>
      <c r="F532">
        <v>1.4</v>
      </c>
      <c r="G532">
        <v>3.91</v>
      </c>
      <c r="H532">
        <v>0.4</v>
      </c>
      <c r="I532" t="s">
        <v>18</v>
      </c>
      <c r="J532">
        <v>3</v>
      </c>
      <c r="K532">
        <v>3</v>
      </c>
      <c r="L532">
        <v>1</v>
      </c>
      <c r="M532">
        <v>0</v>
      </c>
      <c r="N532" t="str">
        <f t="shared" si="18"/>
        <v>16-19</v>
      </c>
      <c r="O532" t="str">
        <f t="shared" si="19"/>
        <v>healthy sleep</v>
      </c>
      <c r="P532" s="1" t="str" cm="1">
        <f t="array" ref="P532">_xlfn.IFS(L532&lt;=3,"low",L532&lt;=6,"medium",L532&gt;=7,"high")</f>
        <v>low</v>
      </c>
    </row>
    <row r="533" spans="1:16" x14ac:dyDescent="0.3">
      <c r="A533">
        <v>17</v>
      </c>
      <c r="B533" t="s">
        <v>16</v>
      </c>
      <c r="C533">
        <v>2.2000000000000002</v>
      </c>
      <c r="D533" t="s">
        <v>20</v>
      </c>
      <c r="E533">
        <v>7.2</v>
      </c>
      <c r="F533">
        <v>0.5</v>
      </c>
      <c r="G533">
        <v>2.38</v>
      </c>
      <c r="H533">
        <v>1.2</v>
      </c>
      <c r="I533" t="s">
        <v>19</v>
      </c>
      <c r="J533">
        <v>10</v>
      </c>
      <c r="K533">
        <v>4</v>
      </c>
      <c r="L533">
        <v>8</v>
      </c>
      <c r="M533">
        <v>0</v>
      </c>
      <c r="N533" t="str">
        <f t="shared" si="18"/>
        <v>16-19</v>
      </c>
      <c r="O533" t="str">
        <f t="shared" si="19"/>
        <v>healthy sleep</v>
      </c>
      <c r="P533" s="1" t="str" cm="1">
        <f t="array" ref="P533">_xlfn.IFS(L533&lt;=3,"low",L533&lt;=6,"medium",L533&gt;=7,"high")</f>
        <v>high</v>
      </c>
    </row>
    <row r="534" spans="1:16" x14ac:dyDescent="0.3">
      <c r="A534">
        <v>17</v>
      </c>
      <c r="B534" t="s">
        <v>16</v>
      </c>
      <c r="C534">
        <v>1.1000000000000001</v>
      </c>
      <c r="D534" t="s">
        <v>17</v>
      </c>
      <c r="E534">
        <v>6.8</v>
      </c>
      <c r="F534">
        <v>0.6</v>
      </c>
      <c r="G534">
        <v>2.2799999999999998</v>
      </c>
      <c r="H534">
        <v>1.6</v>
      </c>
      <c r="I534" t="s">
        <v>19</v>
      </c>
      <c r="J534">
        <v>9</v>
      </c>
      <c r="K534">
        <v>3</v>
      </c>
      <c r="L534">
        <v>7</v>
      </c>
      <c r="M534">
        <v>0</v>
      </c>
      <c r="N534" t="str">
        <f t="shared" si="18"/>
        <v>16-19</v>
      </c>
      <c r="O534" t="str">
        <f t="shared" si="19"/>
        <v>healthy sleep</v>
      </c>
      <c r="P534" s="1" t="str" cm="1">
        <f t="array" ref="P534">_xlfn.IFS(L534&lt;=3,"low",L534&lt;=6,"medium",L534&gt;=7,"high")</f>
        <v>high</v>
      </c>
    </row>
    <row r="535" spans="1:16" x14ac:dyDescent="0.3">
      <c r="A535">
        <v>16</v>
      </c>
      <c r="B535" t="s">
        <v>16</v>
      </c>
      <c r="C535">
        <v>6.4</v>
      </c>
      <c r="D535" t="s">
        <v>17</v>
      </c>
      <c r="E535">
        <v>5.9</v>
      </c>
      <c r="F535">
        <v>2.8</v>
      </c>
      <c r="G535">
        <v>3.81</v>
      </c>
      <c r="H535">
        <v>1.3</v>
      </c>
      <c r="I535" t="s">
        <v>18</v>
      </c>
      <c r="J535">
        <v>1</v>
      </c>
      <c r="K535">
        <v>3</v>
      </c>
      <c r="L535">
        <v>7</v>
      </c>
      <c r="M535">
        <v>0</v>
      </c>
      <c r="N535" t="str">
        <f t="shared" si="18"/>
        <v>16-19</v>
      </c>
      <c r="O535" t="str">
        <f t="shared" si="19"/>
        <v>low sleep</v>
      </c>
      <c r="P535" s="1" t="str" cm="1">
        <f t="array" ref="P535">_xlfn.IFS(L535&lt;=3,"low",L535&lt;=6,"medium",L535&gt;=7,"high")</f>
        <v>high</v>
      </c>
    </row>
    <row r="536" spans="1:16" x14ac:dyDescent="0.3">
      <c r="A536">
        <v>19</v>
      </c>
      <c r="B536" t="s">
        <v>16</v>
      </c>
      <c r="C536">
        <v>2.8</v>
      </c>
      <c r="D536" t="s">
        <v>14</v>
      </c>
      <c r="E536">
        <v>5.9</v>
      </c>
      <c r="F536">
        <v>1.5</v>
      </c>
      <c r="G536">
        <v>2.85</v>
      </c>
      <c r="H536">
        <v>0.6</v>
      </c>
      <c r="I536" t="s">
        <v>18</v>
      </c>
      <c r="J536">
        <v>10</v>
      </c>
      <c r="K536">
        <v>9</v>
      </c>
      <c r="L536">
        <v>4</v>
      </c>
      <c r="M536">
        <v>0</v>
      </c>
      <c r="N536" t="str">
        <f t="shared" si="18"/>
        <v>16-19</v>
      </c>
      <c r="O536" t="str">
        <f t="shared" si="19"/>
        <v>low sleep</v>
      </c>
      <c r="P536" s="1" t="str" cm="1">
        <f t="array" ref="P536">_xlfn.IFS(L536&lt;=3,"low",L536&lt;=6,"medium",L536&gt;=7,"high")</f>
        <v>medium</v>
      </c>
    </row>
    <row r="537" spans="1:16" x14ac:dyDescent="0.3">
      <c r="A537">
        <v>13</v>
      </c>
      <c r="B537" t="s">
        <v>13</v>
      </c>
      <c r="C537">
        <v>2.2000000000000002</v>
      </c>
      <c r="D537" t="s">
        <v>20</v>
      </c>
      <c r="E537">
        <v>5.8</v>
      </c>
      <c r="F537">
        <v>2</v>
      </c>
      <c r="G537">
        <v>3.63</v>
      </c>
      <c r="H537">
        <v>1.9</v>
      </c>
      <c r="I537" t="s">
        <v>15</v>
      </c>
      <c r="J537">
        <v>4</v>
      </c>
      <c r="K537">
        <v>4</v>
      </c>
      <c r="L537">
        <v>10</v>
      </c>
      <c r="M537">
        <v>0</v>
      </c>
      <c r="N537" t="str">
        <f t="shared" si="18"/>
        <v>13-15</v>
      </c>
      <c r="O537" t="str">
        <f t="shared" si="19"/>
        <v>low sleep</v>
      </c>
      <c r="P537" s="1" t="str" cm="1">
        <f t="array" ref="P537">_xlfn.IFS(L537&lt;=3,"low",L537&lt;=6,"medium",L537&gt;=7,"high")</f>
        <v>high</v>
      </c>
    </row>
    <row r="538" spans="1:16" x14ac:dyDescent="0.3">
      <c r="A538">
        <v>19</v>
      </c>
      <c r="B538" t="s">
        <v>13</v>
      </c>
      <c r="C538">
        <v>5.7</v>
      </c>
      <c r="D538" t="s">
        <v>14</v>
      </c>
      <c r="E538">
        <v>4.8</v>
      </c>
      <c r="F538">
        <v>2.2000000000000002</v>
      </c>
      <c r="G538">
        <v>3.66</v>
      </c>
      <c r="H538">
        <v>0.9</v>
      </c>
      <c r="I538" t="s">
        <v>15</v>
      </c>
      <c r="J538">
        <v>3</v>
      </c>
      <c r="K538">
        <v>7</v>
      </c>
      <c r="L538">
        <v>5</v>
      </c>
      <c r="M538">
        <v>0</v>
      </c>
      <c r="N538" t="str">
        <f t="shared" si="18"/>
        <v>16-19</v>
      </c>
      <c r="O538" t="str">
        <f t="shared" si="19"/>
        <v>low sleep</v>
      </c>
      <c r="P538" s="1" t="str" cm="1">
        <f t="array" ref="P538">_xlfn.IFS(L538&lt;=3,"low",L538&lt;=6,"medium",L538&gt;=7,"high")</f>
        <v>medium</v>
      </c>
    </row>
    <row r="539" spans="1:16" x14ac:dyDescent="0.3">
      <c r="A539">
        <v>15</v>
      </c>
      <c r="B539" t="s">
        <v>13</v>
      </c>
      <c r="C539">
        <v>5.3</v>
      </c>
      <c r="D539" t="s">
        <v>20</v>
      </c>
      <c r="E539">
        <v>7.3</v>
      </c>
      <c r="F539">
        <v>1.9</v>
      </c>
      <c r="G539">
        <v>2.5099999999999998</v>
      </c>
      <c r="H539">
        <v>1.4</v>
      </c>
      <c r="I539" t="s">
        <v>18</v>
      </c>
      <c r="J539">
        <v>10</v>
      </c>
      <c r="K539">
        <v>4</v>
      </c>
      <c r="L539">
        <v>2</v>
      </c>
      <c r="M539">
        <v>0</v>
      </c>
      <c r="N539" t="str">
        <f t="shared" si="18"/>
        <v>13-15</v>
      </c>
      <c r="O539" t="str">
        <f t="shared" si="19"/>
        <v>healthy sleep</v>
      </c>
      <c r="P539" s="1" t="str" cm="1">
        <f t="array" ref="P539">_xlfn.IFS(L539&lt;=3,"low",L539&lt;=6,"medium",L539&gt;=7,"high")</f>
        <v>low</v>
      </c>
    </row>
    <row r="540" spans="1:16" x14ac:dyDescent="0.3">
      <c r="A540">
        <v>14</v>
      </c>
      <c r="B540" t="s">
        <v>13</v>
      </c>
      <c r="C540">
        <v>3.1</v>
      </c>
      <c r="D540" t="s">
        <v>17</v>
      </c>
      <c r="E540">
        <v>8.8000000000000007</v>
      </c>
      <c r="F540">
        <v>1.5</v>
      </c>
      <c r="G540">
        <v>3.91</v>
      </c>
      <c r="H540">
        <v>0.6</v>
      </c>
      <c r="I540" t="s">
        <v>19</v>
      </c>
      <c r="J540">
        <v>4</v>
      </c>
      <c r="K540">
        <v>9</v>
      </c>
      <c r="L540">
        <v>6</v>
      </c>
      <c r="M540">
        <v>0</v>
      </c>
      <c r="N540" t="str">
        <f t="shared" si="18"/>
        <v>13-15</v>
      </c>
      <c r="O540" t="str">
        <f t="shared" si="19"/>
        <v>healthy sleep</v>
      </c>
      <c r="P540" s="1" t="str" cm="1">
        <f t="array" ref="P540">_xlfn.IFS(L540&lt;=3,"low",L540&lt;=6,"medium",L540&gt;=7,"high")</f>
        <v>medium</v>
      </c>
    </row>
    <row r="541" spans="1:16" x14ac:dyDescent="0.3">
      <c r="A541">
        <v>16</v>
      </c>
      <c r="B541" t="s">
        <v>13</v>
      </c>
      <c r="C541">
        <v>1.7</v>
      </c>
      <c r="D541" t="s">
        <v>17</v>
      </c>
      <c r="E541">
        <v>4.9000000000000004</v>
      </c>
      <c r="F541">
        <v>0.6</v>
      </c>
      <c r="G541">
        <v>3.38</v>
      </c>
      <c r="H541">
        <v>1.1000000000000001</v>
      </c>
      <c r="I541" t="s">
        <v>19</v>
      </c>
      <c r="J541">
        <v>10</v>
      </c>
      <c r="K541">
        <v>4</v>
      </c>
      <c r="L541">
        <v>6</v>
      </c>
      <c r="M541">
        <v>0</v>
      </c>
      <c r="N541" t="str">
        <f t="shared" si="18"/>
        <v>16-19</v>
      </c>
      <c r="O541" t="str">
        <f t="shared" si="19"/>
        <v>low sleep</v>
      </c>
      <c r="P541" s="1" t="str" cm="1">
        <f t="array" ref="P541">_xlfn.IFS(L541&lt;=3,"low",L541&lt;=6,"medium",L541&gt;=7,"high")</f>
        <v>medium</v>
      </c>
    </row>
    <row r="542" spans="1:16" x14ac:dyDescent="0.3">
      <c r="A542">
        <v>19</v>
      </c>
      <c r="B542" t="s">
        <v>16</v>
      </c>
      <c r="C542">
        <v>6.7</v>
      </c>
      <c r="D542" t="s">
        <v>14</v>
      </c>
      <c r="E542">
        <v>7.3</v>
      </c>
      <c r="F542">
        <v>2.8</v>
      </c>
      <c r="G542">
        <v>2.2599999999999998</v>
      </c>
      <c r="H542">
        <v>1.4</v>
      </c>
      <c r="I542" t="s">
        <v>18</v>
      </c>
      <c r="J542">
        <v>7</v>
      </c>
      <c r="K542">
        <v>6</v>
      </c>
      <c r="L542">
        <v>8</v>
      </c>
      <c r="M542">
        <v>0</v>
      </c>
      <c r="N542" t="str">
        <f t="shared" si="18"/>
        <v>16-19</v>
      </c>
      <c r="O542" t="str">
        <f t="shared" si="19"/>
        <v>healthy sleep</v>
      </c>
      <c r="P542" s="1" t="str" cm="1">
        <f t="array" ref="P542">_xlfn.IFS(L542&lt;=3,"low",L542&lt;=6,"medium",L542&gt;=7,"high")</f>
        <v>high</v>
      </c>
    </row>
    <row r="543" spans="1:16" x14ac:dyDescent="0.3">
      <c r="A543">
        <v>13</v>
      </c>
      <c r="B543" t="s">
        <v>16</v>
      </c>
      <c r="C543">
        <v>7.8</v>
      </c>
      <c r="D543" t="s">
        <v>14</v>
      </c>
      <c r="E543">
        <v>7.4</v>
      </c>
      <c r="F543">
        <v>1.7</v>
      </c>
      <c r="G543">
        <v>2.76</v>
      </c>
      <c r="H543">
        <v>1.1000000000000001</v>
      </c>
      <c r="I543" t="s">
        <v>15</v>
      </c>
      <c r="J543">
        <v>10</v>
      </c>
      <c r="K543">
        <v>1</v>
      </c>
      <c r="L543">
        <v>4</v>
      </c>
      <c r="M543">
        <v>0</v>
      </c>
      <c r="N543" t="str">
        <f t="shared" si="18"/>
        <v>13-15</v>
      </c>
      <c r="O543" t="str">
        <f t="shared" si="19"/>
        <v>healthy sleep</v>
      </c>
      <c r="P543" s="1" t="str" cm="1">
        <f t="array" ref="P543">_xlfn.IFS(L543&lt;=3,"low",L543&lt;=6,"medium",L543&gt;=7,"high")</f>
        <v>medium</v>
      </c>
    </row>
    <row r="544" spans="1:16" x14ac:dyDescent="0.3">
      <c r="A544">
        <v>18</v>
      </c>
      <c r="B544" t="s">
        <v>16</v>
      </c>
      <c r="C544">
        <v>2.1</v>
      </c>
      <c r="D544" t="s">
        <v>20</v>
      </c>
      <c r="E544">
        <v>6.7</v>
      </c>
      <c r="F544">
        <v>0.9</v>
      </c>
      <c r="G544">
        <v>3.73</v>
      </c>
      <c r="H544">
        <v>0.7</v>
      </c>
      <c r="I544" t="s">
        <v>15</v>
      </c>
      <c r="J544">
        <v>3</v>
      </c>
      <c r="K544">
        <v>5</v>
      </c>
      <c r="L544">
        <v>7</v>
      </c>
      <c r="M544">
        <v>0</v>
      </c>
      <c r="N544" t="str">
        <f t="shared" si="18"/>
        <v>16-19</v>
      </c>
      <c r="O544" t="str">
        <f t="shared" si="19"/>
        <v>healthy sleep</v>
      </c>
      <c r="P544" s="1" t="str" cm="1">
        <f t="array" ref="P544">_xlfn.IFS(L544&lt;=3,"low",L544&lt;=6,"medium",L544&gt;=7,"high")</f>
        <v>high</v>
      </c>
    </row>
    <row r="545" spans="1:16" x14ac:dyDescent="0.3">
      <c r="A545">
        <v>17</v>
      </c>
      <c r="B545" t="s">
        <v>16</v>
      </c>
      <c r="C545">
        <v>5.0999999999999996</v>
      </c>
      <c r="D545" t="s">
        <v>17</v>
      </c>
      <c r="E545">
        <v>8.6</v>
      </c>
      <c r="F545">
        <v>1.9</v>
      </c>
      <c r="G545">
        <v>3.33</v>
      </c>
      <c r="H545">
        <v>1.1000000000000001</v>
      </c>
      <c r="I545" t="s">
        <v>15</v>
      </c>
      <c r="J545">
        <v>1</v>
      </c>
      <c r="K545">
        <v>7</v>
      </c>
      <c r="L545">
        <v>8</v>
      </c>
      <c r="M545">
        <v>0</v>
      </c>
      <c r="N545" t="str">
        <f t="shared" si="18"/>
        <v>16-19</v>
      </c>
      <c r="O545" t="str">
        <f t="shared" si="19"/>
        <v>healthy sleep</v>
      </c>
      <c r="P545" s="1" t="str" cm="1">
        <f t="array" ref="P545">_xlfn.IFS(L545&lt;=3,"low",L545&lt;=6,"medium",L545&gt;=7,"high")</f>
        <v>high</v>
      </c>
    </row>
    <row r="546" spans="1:16" x14ac:dyDescent="0.3">
      <c r="A546">
        <v>18</v>
      </c>
      <c r="B546" t="s">
        <v>16</v>
      </c>
      <c r="C546">
        <v>3.6</v>
      </c>
      <c r="D546" t="s">
        <v>14</v>
      </c>
      <c r="E546">
        <v>5.4</v>
      </c>
      <c r="F546">
        <v>0.9</v>
      </c>
      <c r="G546">
        <v>3.45</v>
      </c>
      <c r="H546">
        <v>0.5</v>
      </c>
      <c r="I546" t="s">
        <v>19</v>
      </c>
      <c r="J546">
        <v>1</v>
      </c>
      <c r="K546">
        <v>10</v>
      </c>
      <c r="L546">
        <v>2</v>
      </c>
      <c r="M546">
        <v>0</v>
      </c>
      <c r="N546" t="str">
        <f t="shared" si="18"/>
        <v>16-19</v>
      </c>
      <c r="O546" t="str">
        <f t="shared" si="19"/>
        <v>low sleep</v>
      </c>
      <c r="P546" s="1" t="str" cm="1">
        <f t="array" ref="P546">_xlfn.IFS(L546&lt;=3,"low",L546&lt;=6,"medium",L546&gt;=7,"high")</f>
        <v>low</v>
      </c>
    </row>
    <row r="547" spans="1:16" x14ac:dyDescent="0.3">
      <c r="A547">
        <v>18</v>
      </c>
      <c r="B547" t="s">
        <v>13</v>
      </c>
      <c r="C547">
        <v>5</v>
      </c>
      <c r="D547" t="s">
        <v>20</v>
      </c>
      <c r="E547">
        <v>7.6</v>
      </c>
      <c r="F547">
        <v>2</v>
      </c>
      <c r="G547">
        <v>3.94</v>
      </c>
      <c r="H547">
        <v>0.5</v>
      </c>
      <c r="I547" t="s">
        <v>15</v>
      </c>
      <c r="J547">
        <v>4</v>
      </c>
      <c r="K547">
        <v>3</v>
      </c>
      <c r="L547">
        <v>3</v>
      </c>
      <c r="M547">
        <v>0</v>
      </c>
      <c r="N547" t="str">
        <f t="shared" si="18"/>
        <v>16-19</v>
      </c>
      <c r="O547" t="str">
        <f t="shared" si="19"/>
        <v>healthy sleep</v>
      </c>
      <c r="P547" s="1" t="str" cm="1">
        <f t="array" ref="P547">_xlfn.IFS(L547&lt;=3,"low",L547&lt;=6,"medium",L547&gt;=7,"high")</f>
        <v>low</v>
      </c>
    </row>
    <row r="548" spans="1:16" x14ac:dyDescent="0.3">
      <c r="A548">
        <v>17</v>
      </c>
      <c r="B548" t="s">
        <v>13</v>
      </c>
      <c r="C548">
        <v>1.7</v>
      </c>
      <c r="D548" t="s">
        <v>20</v>
      </c>
      <c r="E548">
        <v>8.6</v>
      </c>
      <c r="F548">
        <v>0.9</v>
      </c>
      <c r="G548">
        <v>2.36</v>
      </c>
      <c r="H548">
        <v>1.7</v>
      </c>
      <c r="I548" t="s">
        <v>15</v>
      </c>
      <c r="J548">
        <v>9</v>
      </c>
      <c r="K548">
        <v>1</v>
      </c>
      <c r="L548">
        <v>3</v>
      </c>
      <c r="M548">
        <v>0</v>
      </c>
      <c r="N548" t="str">
        <f t="shared" si="18"/>
        <v>16-19</v>
      </c>
      <c r="O548" t="str">
        <f t="shared" si="19"/>
        <v>healthy sleep</v>
      </c>
      <c r="P548" s="1" t="str" cm="1">
        <f t="array" ref="P548">_xlfn.IFS(L548&lt;=3,"low",L548&lt;=6,"medium",L548&gt;=7,"high")</f>
        <v>low</v>
      </c>
    </row>
    <row r="549" spans="1:16" x14ac:dyDescent="0.3">
      <c r="A549">
        <v>17</v>
      </c>
      <c r="B549" t="s">
        <v>13</v>
      </c>
      <c r="C549">
        <v>6.8</v>
      </c>
      <c r="D549" t="s">
        <v>14</v>
      </c>
      <c r="E549">
        <v>4.7</v>
      </c>
      <c r="F549">
        <v>0.6</v>
      </c>
      <c r="G549">
        <v>3.4</v>
      </c>
      <c r="H549">
        <v>0.9</v>
      </c>
      <c r="I549" t="s">
        <v>15</v>
      </c>
      <c r="J549">
        <v>3</v>
      </c>
      <c r="K549">
        <v>9</v>
      </c>
      <c r="L549">
        <v>7</v>
      </c>
      <c r="M549">
        <v>0</v>
      </c>
      <c r="N549" t="str">
        <f t="shared" si="18"/>
        <v>16-19</v>
      </c>
      <c r="O549" t="str">
        <f t="shared" si="19"/>
        <v>low sleep</v>
      </c>
      <c r="P549" s="1" t="str" cm="1">
        <f t="array" ref="P549">_xlfn.IFS(L549&lt;=3,"low",L549&lt;=6,"medium",L549&gt;=7,"high")</f>
        <v>high</v>
      </c>
    </row>
    <row r="550" spans="1:16" x14ac:dyDescent="0.3">
      <c r="A550">
        <v>14</v>
      </c>
      <c r="B550" t="s">
        <v>13</v>
      </c>
      <c r="C550">
        <v>3.8</v>
      </c>
      <c r="D550" t="s">
        <v>20</v>
      </c>
      <c r="E550">
        <v>7.5</v>
      </c>
      <c r="F550">
        <v>0.5</v>
      </c>
      <c r="G550">
        <v>2.1800000000000002</v>
      </c>
      <c r="H550">
        <v>1</v>
      </c>
      <c r="I550" t="s">
        <v>19</v>
      </c>
      <c r="J550">
        <v>5</v>
      </c>
      <c r="K550">
        <v>2</v>
      </c>
      <c r="L550">
        <v>2</v>
      </c>
      <c r="M550">
        <v>0</v>
      </c>
      <c r="N550" t="str">
        <f t="shared" si="18"/>
        <v>13-15</v>
      </c>
      <c r="O550" t="str">
        <f t="shared" si="19"/>
        <v>healthy sleep</v>
      </c>
      <c r="P550" s="1" t="str" cm="1">
        <f t="array" ref="P550">_xlfn.IFS(L550&lt;=3,"low",L550&lt;=6,"medium",L550&gt;=7,"high")</f>
        <v>low</v>
      </c>
    </row>
    <row r="551" spans="1:16" x14ac:dyDescent="0.3">
      <c r="A551">
        <v>16</v>
      </c>
      <c r="B551" t="s">
        <v>13</v>
      </c>
      <c r="C551">
        <v>2.1</v>
      </c>
      <c r="D551" t="s">
        <v>14</v>
      </c>
      <c r="E551">
        <v>7.7</v>
      </c>
      <c r="F551">
        <v>1.1000000000000001</v>
      </c>
      <c r="G551">
        <v>2.27</v>
      </c>
      <c r="H551">
        <v>1.1000000000000001</v>
      </c>
      <c r="I551" t="s">
        <v>19</v>
      </c>
      <c r="J551">
        <v>3</v>
      </c>
      <c r="K551">
        <v>2</v>
      </c>
      <c r="L551">
        <v>4</v>
      </c>
      <c r="M551">
        <v>0</v>
      </c>
      <c r="N551" t="str">
        <f t="shared" si="18"/>
        <v>16-19</v>
      </c>
      <c r="O551" t="str">
        <f t="shared" si="19"/>
        <v>healthy sleep</v>
      </c>
      <c r="P551" s="1" t="str" cm="1">
        <f t="array" ref="P551">_xlfn.IFS(L551&lt;=3,"low",L551&lt;=6,"medium",L551&gt;=7,"high")</f>
        <v>medium</v>
      </c>
    </row>
    <row r="552" spans="1:16" x14ac:dyDescent="0.3">
      <c r="A552">
        <v>15</v>
      </c>
      <c r="B552" t="s">
        <v>16</v>
      </c>
      <c r="C552">
        <v>3.2</v>
      </c>
      <c r="D552" t="s">
        <v>14</v>
      </c>
      <c r="E552">
        <v>4</v>
      </c>
      <c r="F552">
        <v>2</v>
      </c>
      <c r="G552">
        <v>3.25</v>
      </c>
      <c r="H552">
        <v>0.7</v>
      </c>
      <c r="I552" t="s">
        <v>15</v>
      </c>
      <c r="J552">
        <v>8</v>
      </c>
      <c r="K552">
        <v>4</v>
      </c>
      <c r="L552">
        <v>8</v>
      </c>
      <c r="M552">
        <v>0</v>
      </c>
      <c r="N552" t="str">
        <f t="shared" si="18"/>
        <v>13-15</v>
      </c>
      <c r="O552" t="str">
        <f t="shared" si="19"/>
        <v>low sleep</v>
      </c>
      <c r="P552" s="1" t="str" cm="1">
        <f t="array" ref="P552">_xlfn.IFS(L552&lt;=3,"low",L552&lt;=6,"medium",L552&gt;=7,"high")</f>
        <v>high</v>
      </c>
    </row>
    <row r="553" spans="1:16" x14ac:dyDescent="0.3">
      <c r="A553">
        <v>18</v>
      </c>
      <c r="B553" t="s">
        <v>13</v>
      </c>
      <c r="C553">
        <v>1.9</v>
      </c>
      <c r="D553" t="s">
        <v>14</v>
      </c>
      <c r="E553">
        <v>5.6</v>
      </c>
      <c r="F553">
        <v>2.2999999999999998</v>
      </c>
      <c r="G553">
        <v>2.8</v>
      </c>
      <c r="H553">
        <v>1.9</v>
      </c>
      <c r="I553" t="s">
        <v>19</v>
      </c>
      <c r="J553">
        <v>8</v>
      </c>
      <c r="K553">
        <v>1</v>
      </c>
      <c r="L553">
        <v>8</v>
      </c>
      <c r="M553">
        <v>0</v>
      </c>
      <c r="N553" t="str">
        <f t="shared" si="18"/>
        <v>16-19</v>
      </c>
      <c r="O553" t="str">
        <f t="shared" si="19"/>
        <v>low sleep</v>
      </c>
      <c r="P553" s="1" t="str" cm="1">
        <f t="array" ref="P553">_xlfn.IFS(L553&lt;=3,"low",L553&lt;=6,"medium",L553&gt;=7,"high")</f>
        <v>high</v>
      </c>
    </row>
    <row r="554" spans="1:16" x14ac:dyDescent="0.3">
      <c r="A554">
        <v>13</v>
      </c>
      <c r="B554" t="s">
        <v>16</v>
      </c>
      <c r="C554">
        <v>3.5</v>
      </c>
      <c r="D554" t="s">
        <v>14</v>
      </c>
      <c r="E554">
        <v>6.8</v>
      </c>
      <c r="F554">
        <v>1.5</v>
      </c>
      <c r="G554">
        <v>2.35</v>
      </c>
      <c r="H554">
        <v>1.8</v>
      </c>
      <c r="I554" t="s">
        <v>19</v>
      </c>
      <c r="J554">
        <v>7</v>
      </c>
      <c r="K554">
        <v>3</v>
      </c>
      <c r="L554">
        <v>2</v>
      </c>
      <c r="M554">
        <v>0</v>
      </c>
      <c r="N554" t="str">
        <f t="shared" si="18"/>
        <v>13-15</v>
      </c>
      <c r="O554" t="str">
        <f t="shared" si="19"/>
        <v>healthy sleep</v>
      </c>
      <c r="P554" s="1" t="str" cm="1">
        <f t="array" ref="P554">_xlfn.IFS(L554&lt;=3,"low",L554&lt;=6,"medium",L554&gt;=7,"high")</f>
        <v>low</v>
      </c>
    </row>
    <row r="555" spans="1:16" x14ac:dyDescent="0.3">
      <c r="A555">
        <v>15</v>
      </c>
      <c r="B555" t="s">
        <v>16</v>
      </c>
      <c r="C555">
        <v>4.5</v>
      </c>
      <c r="D555" t="s">
        <v>14</v>
      </c>
      <c r="E555">
        <v>7.7</v>
      </c>
      <c r="F555">
        <v>0.9</v>
      </c>
      <c r="G555">
        <v>2.61</v>
      </c>
      <c r="H555">
        <v>1.1000000000000001</v>
      </c>
      <c r="I555" t="s">
        <v>19</v>
      </c>
      <c r="J555">
        <v>9</v>
      </c>
      <c r="K555">
        <v>10</v>
      </c>
      <c r="L555">
        <v>4</v>
      </c>
      <c r="M555">
        <v>0</v>
      </c>
      <c r="N555" t="str">
        <f t="shared" si="18"/>
        <v>13-15</v>
      </c>
      <c r="O555" t="str">
        <f t="shared" si="19"/>
        <v>healthy sleep</v>
      </c>
      <c r="P555" s="1" t="str" cm="1">
        <f t="array" ref="P555">_xlfn.IFS(L555&lt;=3,"low",L555&lt;=6,"medium",L555&gt;=7,"high")</f>
        <v>medium</v>
      </c>
    </row>
    <row r="556" spans="1:16" x14ac:dyDescent="0.3">
      <c r="A556">
        <v>13</v>
      </c>
      <c r="B556" t="s">
        <v>16</v>
      </c>
      <c r="C556">
        <v>6</v>
      </c>
      <c r="D556" t="s">
        <v>17</v>
      </c>
      <c r="E556">
        <v>5</v>
      </c>
      <c r="F556">
        <v>2.5</v>
      </c>
      <c r="G556">
        <v>2.5499999999999998</v>
      </c>
      <c r="H556">
        <v>1.8</v>
      </c>
      <c r="I556" t="s">
        <v>18</v>
      </c>
      <c r="J556">
        <v>4</v>
      </c>
      <c r="K556">
        <v>9</v>
      </c>
      <c r="L556">
        <v>2</v>
      </c>
      <c r="M556">
        <v>0</v>
      </c>
      <c r="N556" t="str">
        <f t="shared" si="18"/>
        <v>13-15</v>
      </c>
      <c r="O556" t="str">
        <f t="shared" si="19"/>
        <v>low sleep</v>
      </c>
      <c r="P556" s="1" t="str" cm="1">
        <f t="array" ref="P556">_xlfn.IFS(L556&lt;=3,"low",L556&lt;=6,"medium",L556&gt;=7,"high")</f>
        <v>low</v>
      </c>
    </row>
    <row r="557" spans="1:16" x14ac:dyDescent="0.3">
      <c r="A557">
        <v>13</v>
      </c>
      <c r="B557" t="s">
        <v>16</v>
      </c>
      <c r="C557">
        <v>3.6</v>
      </c>
      <c r="D557" t="s">
        <v>17</v>
      </c>
      <c r="E557">
        <v>4.8</v>
      </c>
      <c r="F557">
        <v>2.2000000000000002</v>
      </c>
      <c r="G557">
        <v>3.58</v>
      </c>
      <c r="H557">
        <v>1.2</v>
      </c>
      <c r="I557" t="s">
        <v>19</v>
      </c>
      <c r="J557">
        <v>4</v>
      </c>
      <c r="K557">
        <v>4</v>
      </c>
      <c r="L557">
        <v>7</v>
      </c>
      <c r="M557">
        <v>0</v>
      </c>
      <c r="N557" t="str">
        <f t="shared" si="18"/>
        <v>13-15</v>
      </c>
      <c r="O557" t="str">
        <f t="shared" si="19"/>
        <v>low sleep</v>
      </c>
      <c r="P557" s="1" t="str" cm="1">
        <f t="array" ref="P557">_xlfn.IFS(L557&lt;=3,"low",L557&lt;=6,"medium",L557&gt;=7,"high")</f>
        <v>high</v>
      </c>
    </row>
    <row r="558" spans="1:16" x14ac:dyDescent="0.3">
      <c r="A558">
        <v>19</v>
      </c>
      <c r="B558" t="s">
        <v>13</v>
      </c>
      <c r="C558">
        <v>5.2</v>
      </c>
      <c r="D558" t="s">
        <v>17</v>
      </c>
      <c r="E558">
        <v>6.9</v>
      </c>
      <c r="F558">
        <v>2.2999999999999998</v>
      </c>
      <c r="G558">
        <v>2.09</v>
      </c>
      <c r="H558">
        <v>0.2</v>
      </c>
      <c r="I558" t="s">
        <v>18</v>
      </c>
      <c r="J558">
        <v>6</v>
      </c>
      <c r="K558">
        <v>4</v>
      </c>
      <c r="L558">
        <v>8</v>
      </c>
      <c r="M558">
        <v>0</v>
      </c>
      <c r="N558" t="str">
        <f t="shared" si="18"/>
        <v>16-19</v>
      </c>
      <c r="O558" t="str">
        <f t="shared" si="19"/>
        <v>healthy sleep</v>
      </c>
      <c r="P558" s="1" t="str" cm="1">
        <f t="array" ref="P558">_xlfn.IFS(L558&lt;=3,"low",L558&lt;=6,"medium",L558&gt;=7,"high")</f>
        <v>high</v>
      </c>
    </row>
    <row r="559" spans="1:16" x14ac:dyDescent="0.3">
      <c r="A559">
        <v>13</v>
      </c>
      <c r="B559" t="s">
        <v>13</v>
      </c>
      <c r="C559">
        <v>2.7</v>
      </c>
      <c r="D559" t="s">
        <v>20</v>
      </c>
      <c r="E559">
        <v>6.9</v>
      </c>
      <c r="F559">
        <v>1.4</v>
      </c>
      <c r="G559">
        <v>2.87</v>
      </c>
      <c r="H559">
        <v>1.5</v>
      </c>
      <c r="I559" t="s">
        <v>15</v>
      </c>
      <c r="J559">
        <v>2</v>
      </c>
      <c r="K559">
        <v>6</v>
      </c>
      <c r="L559">
        <v>3</v>
      </c>
      <c r="M559">
        <v>0</v>
      </c>
      <c r="N559" t="str">
        <f t="shared" si="18"/>
        <v>13-15</v>
      </c>
      <c r="O559" t="str">
        <f t="shared" si="19"/>
        <v>healthy sleep</v>
      </c>
      <c r="P559" s="1" t="str" cm="1">
        <f t="array" ref="P559">_xlfn.IFS(L559&lt;=3,"low",L559&lt;=6,"medium",L559&gt;=7,"high")</f>
        <v>low</v>
      </c>
    </row>
    <row r="560" spans="1:16" x14ac:dyDescent="0.3">
      <c r="A560">
        <v>16</v>
      </c>
      <c r="B560" t="s">
        <v>16</v>
      </c>
      <c r="C560">
        <v>2.8</v>
      </c>
      <c r="D560" t="s">
        <v>17</v>
      </c>
      <c r="E560">
        <v>7.1</v>
      </c>
      <c r="F560">
        <v>1.4</v>
      </c>
      <c r="G560">
        <v>3.85</v>
      </c>
      <c r="H560">
        <v>0.4</v>
      </c>
      <c r="I560" t="s">
        <v>18</v>
      </c>
      <c r="J560">
        <v>7</v>
      </c>
      <c r="K560">
        <v>9</v>
      </c>
      <c r="L560">
        <v>8</v>
      </c>
      <c r="M560">
        <v>0</v>
      </c>
      <c r="N560" t="str">
        <f t="shared" si="18"/>
        <v>16-19</v>
      </c>
      <c r="O560" t="str">
        <f t="shared" si="19"/>
        <v>healthy sleep</v>
      </c>
      <c r="P560" s="1" t="str" cm="1">
        <f t="array" ref="P560">_xlfn.IFS(L560&lt;=3,"low",L560&lt;=6,"medium",L560&gt;=7,"high")</f>
        <v>high</v>
      </c>
    </row>
    <row r="561" spans="1:16" x14ac:dyDescent="0.3">
      <c r="A561">
        <v>14</v>
      </c>
      <c r="B561" t="s">
        <v>13</v>
      </c>
      <c r="C561">
        <v>5.6</v>
      </c>
      <c r="D561" t="s">
        <v>14</v>
      </c>
      <c r="E561">
        <v>7</v>
      </c>
      <c r="F561">
        <v>1.9</v>
      </c>
      <c r="G561">
        <v>2.58</v>
      </c>
      <c r="H561">
        <v>0.4</v>
      </c>
      <c r="I561" t="s">
        <v>15</v>
      </c>
      <c r="J561">
        <v>5</v>
      </c>
      <c r="K561">
        <v>7</v>
      </c>
      <c r="L561">
        <v>3</v>
      </c>
      <c r="M561">
        <v>0</v>
      </c>
      <c r="N561" t="str">
        <f t="shared" si="18"/>
        <v>13-15</v>
      </c>
      <c r="O561" t="str">
        <f t="shared" si="19"/>
        <v>healthy sleep</v>
      </c>
      <c r="P561" s="1" t="str" cm="1">
        <f t="array" ref="P561">_xlfn.IFS(L561&lt;=3,"low",L561&lt;=6,"medium",L561&gt;=7,"high")</f>
        <v>low</v>
      </c>
    </row>
    <row r="562" spans="1:16" x14ac:dyDescent="0.3">
      <c r="A562">
        <v>16</v>
      </c>
      <c r="B562" t="s">
        <v>13</v>
      </c>
      <c r="C562">
        <v>2.7</v>
      </c>
      <c r="D562" t="s">
        <v>20</v>
      </c>
      <c r="E562">
        <v>7.2</v>
      </c>
      <c r="F562">
        <v>0.6</v>
      </c>
      <c r="G562">
        <v>3.98</v>
      </c>
      <c r="H562">
        <v>1.7</v>
      </c>
      <c r="I562" t="s">
        <v>15</v>
      </c>
      <c r="J562">
        <v>6</v>
      </c>
      <c r="K562">
        <v>1</v>
      </c>
      <c r="L562">
        <v>5</v>
      </c>
      <c r="M562">
        <v>0</v>
      </c>
      <c r="N562" t="str">
        <f t="shared" si="18"/>
        <v>16-19</v>
      </c>
      <c r="O562" t="str">
        <f t="shared" si="19"/>
        <v>healthy sleep</v>
      </c>
      <c r="P562" s="1" t="str" cm="1">
        <f t="array" ref="P562">_xlfn.IFS(L562&lt;=3,"low",L562&lt;=6,"medium",L562&gt;=7,"high")</f>
        <v>medium</v>
      </c>
    </row>
    <row r="563" spans="1:16" x14ac:dyDescent="0.3">
      <c r="A563">
        <v>14</v>
      </c>
      <c r="B563" t="s">
        <v>13</v>
      </c>
      <c r="C563">
        <v>4.2</v>
      </c>
      <c r="D563" t="s">
        <v>20</v>
      </c>
      <c r="E563">
        <v>7</v>
      </c>
      <c r="F563">
        <v>1.1000000000000001</v>
      </c>
      <c r="G563">
        <v>2.12</v>
      </c>
      <c r="H563">
        <v>0.9</v>
      </c>
      <c r="I563" t="s">
        <v>18</v>
      </c>
      <c r="J563">
        <v>4</v>
      </c>
      <c r="K563">
        <v>8</v>
      </c>
      <c r="L563">
        <v>1</v>
      </c>
      <c r="M563">
        <v>0</v>
      </c>
      <c r="N563" t="str">
        <f t="shared" si="18"/>
        <v>13-15</v>
      </c>
      <c r="O563" t="str">
        <f t="shared" si="19"/>
        <v>healthy sleep</v>
      </c>
      <c r="P563" s="1" t="str" cm="1">
        <f t="array" ref="P563">_xlfn.IFS(L563&lt;=3,"low",L563&lt;=6,"medium",L563&gt;=7,"high")</f>
        <v>low</v>
      </c>
    </row>
    <row r="564" spans="1:16" x14ac:dyDescent="0.3">
      <c r="A564">
        <v>18</v>
      </c>
      <c r="B564" t="s">
        <v>16</v>
      </c>
      <c r="C564">
        <v>5.0999999999999996</v>
      </c>
      <c r="D564" t="s">
        <v>17</v>
      </c>
      <c r="E564">
        <v>8.1999999999999993</v>
      </c>
      <c r="F564">
        <v>2.8</v>
      </c>
      <c r="G564">
        <v>2.1800000000000002</v>
      </c>
      <c r="H564">
        <v>0.5</v>
      </c>
      <c r="I564" t="s">
        <v>18</v>
      </c>
      <c r="J564">
        <v>8</v>
      </c>
      <c r="K564">
        <v>8</v>
      </c>
      <c r="L564">
        <v>8</v>
      </c>
      <c r="M564">
        <v>0</v>
      </c>
      <c r="N564" t="str">
        <f t="shared" si="18"/>
        <v>16-19</v>
      </c>
      <c r="O564" t="str">
        <f t="shared" si="19"/>
        <v>healthy sleep</v>
      </c>
      <c r="P564" s="1" t="str" cm="1">
        <f t="array" ref="P564">_xlfn.IFS(L564&lt;=3,"low",L564&lt;=6,"medium",L564&gt;=7,"high")</f>
        <v>high</v>
      </c>
    </row>
    <row r="565" spans="1:16" x14ac:dyDescent="0.3">
      <c r="A565">
        <v>15</v>
      </c>
      <c r="B565" t="s">
        <v>16</v>
      </c>
      <c r="C565">
        <v>5.7</v>
      </c>
      <c r="D565" t="s">
        <v>14</v>
      </c>
      <c r="E565">
        <v>6.1</v>
      </c>
      <c r="F565">
        <v>0.7</v>
      </c>
      <c r="G565">
        <v>3.08</v>
      </c>
      <c r="H565">
        <v>0.6</v>
      </c>
      <c r="I565" t="s">
        <v>19</v>
      </c>
      <c r="J565">
        <v>5</v>
      </c>
      <c r="K565">
        <v>9</v>
      </c>
      <c r="L565">
        <v>7</v>
      </c>
      <c r="M565">
        <v>0</v>
      </c>
      <c r="N565" t="str">
        <f t="shared" si="18"/>
        <v>13-15</v>
      </c>
      <c r="O565" t="str">
        <f t="shared" si="19"/>
        <v>healthy sleep</v>
      </c>
      <c r="P565" s="1" t="str" cm="1">
        <f t="array" ref="P565">_xlfn.IFS(L565&lt;=3,"low",L565&lt;=6,"medium",L565&gt;=7,"high")</f>
        <v>high</v>
      </c>
    </row>
    <row r="566" spans="1:16" x14ac:dyDescent="0.3">
      <c r="A566">
        <v>13</v>
      </c>
      <c r="B566" t="s">
        <v>16</v>
      </c>
      <c r="C566">
        <v>1.5</v>
      </c>
      <c r="D566" t="s">
        <v>20</v>
      </c>
      <c r="E566">
        <v>7.9</v>
      </c>
      <c r="F566">
        <v>1.8</v>
      </c>
      <c r="G566">
        <v>2.85</v>
      </c>
      <c r="H566">
        <v>1.1000000000000001</v>
      </c>
      <c r="I566" t="s">
        <v>19</v>
      </c>
      <c r="J566">
        <v>5</v>
      </c>
      <c r="K566">
        <v>7</v>
      </c>
      <c r="L566">
        <v>1</v>
      </c>
      <c r="M566">
        <v>0</v>
      </c>
      <c r="N566" t="str">
        <f t="shared" si="18"/>
        <v>13-15</v>
      </c>
      <c r="O566" t="str">
        <f t="shared" si="19"/>
        <v>healthy sleep</v>
      </c>
      <c r="P566" s="1" t="str" cm="1">
        <f t="array" ref="P566">_xlfn.IFS(L566&lt;=3,"low",L566&lt;=6,"medium",L566&gt;=7,"high")</f>
        <v>low</v>
      </c>
    </row>
    <row r="567" spans="1:16" x14ac:dyDescent="0.3">
      <c r="A567">
        <v>15</v>
      </c>
      <c r="B567" t="s">
        <v>16</v>
      </c>
      <c r="C567">
        <v>6.9</v>
      </c>
      <c r="D567" t="s">
        <v>17</v>
      </c>
      <c r="E567">
        <v>8.3000000000000007</v>
      </c>
      <c r="F567">
        <v>2.4</v>
      </c>
      <c r="G567">
        <v>3.34</v>
      </c>
      <c r="H567">
        <v>1.2</v>
      </c>
      <c r="I567" t="s">
        <v>18</v>
      </c>
      <c r="J567">
        <v>2</v>
      </c>
      <c r="K567">
        <v>4</v>
      </c>
      <c r="L567">
        <v>9</v>
      </c>
      <c r="M567">
        <v>0</v>
      </c>
      <c r="N567" t="str">
        <f t="shared" si="18"/>
        <v>13-15</v>
      </c>
      <c r="O567" t="str">
        <f t="shared" si="19"/>
        <v>healthy sleep</v>
      </c>
      <c r="P567" s="1" t="str" cm="1">
        <f t="array" ref="P567">_xlfn.IFS(L567&lt;=3,"low",L567&lt;=6,"medium",L567&gt;=7,"high")</f>
        <v>high</v>
      </c>
    </row>
    <row r="568" spans="1:16" x14ac:dyDescent="0.3">
      <c r="A568">
        <v>14</v>
      </c>
      <c r="B568" t="s">
        <v>13</v>
      </c>
      <c r="C568">
        <v>4.7</v>
      </c>
      <c r="D568" t="s">
        <v>17</v>
      </c>
      <c r="E568">
        <v>7.9</v>
      </c>
      <c r="F568">
        <v>2.9</v>
      </c>
      <c r="G568">
        <v>2.54</v>
      </c>
      <c r="H568">
        <v>0.7</v>
      </c>
      <c r="I568" t="s">
        <v>18</v>
      </c>
      <c r="J568">
        <v>5</v>
      </c>
      <c r="K568">
        <v>8</v>
      </c>
      <c r="L568">
        <v>7</v>
      </c>
      <c r="M568">
        <v>0</v>
      </c>
      <c r="N568" t="str">
        <f t="shared" si="18"/>
        <v>13-15</v>
      </c>
      <c r="O568" t="str">
        <f t="shared" si="19"/>
        <v>healthy sleep</v>
      </c>
      <c r="P568" s="1" t="str" cm="1">
        <f t="array" ref="P568">_xlfn.IFS(L568&lt;=3,"low",L568&lt;=6,"medium",L568&gt;=7,"high")</f>
        <v>high</v>
      </c>
    </row>
    <row r="569" spans="1:16" x14ac:dyDescent="0.3">
      <c r="A569">
        <v>15</v>
      </c>
      <c r="B569" t="s">
        <v>16</v>
      </c>
      <c r="C569">
        <v>2.7</v>
      </c>
      <c r="D569" t="s">
        <v>20</v>
      </c>
      <c r="E569">
        <v>8.5</v>
      </c>
      <c r="F569">
        <v>0.8</v>
      </c>
      <c r="G569">
        <v>2.91</v>
      </c>
      <c r="H569">
        <v>1.3</v>
      </c>
      <c r="I569" t="s">
        <v>15</v>
      </c>
      <c r="J569">
        <v>6</v>
      </c>
      <c r="K569">
        <v>3</v>
      </c>
      <c r="L569">
        <v>1</v>
      </c>
      <c r="M569">
        <v>0</v>
      </c>
      <c r="N569" t="str">
        <f t="shared" si="18"/>
        <v>13-15</v>
      </c>
      <c r="O569" t="str">
        <f t="shared" si="19"/>
        <v>healthy sleep</v>
      </c>
      <c r="P569" s="1" t="str" cm="1">
        <f t="array" ref="P569">_xlfn.IFS(L569&lt;=3,"low",L569&lt;=6,"medium",L569&gt;=7,"high")</f>
        <v>low</v>
      </c>
    </row>
    <row r="570" spans="1:16" x14ac:dyDescent="0.3">
      <c r="A570">
        <v>13</v>
      </c>
      <c r="B570" t="s">
        <v>16</v>
      </c>
      <c r="C570">
        <v>6.1</v>
      </c>
      <c r="D570" t="s">
        <v>20</v>
      </c>
      <c r="E570">
        <v>6.4</v>
      </c>
      <c r="F570">
        <v>2.8</v>
      </c>
      <c r="G570">
        <v>2.5099999999999998</v>
      </c>
      <c r="H570">
        <v>1.9</v>
      </c>
      <c r="I570" t="s">
        <v>15</v>
      </c>
      <c r="J570">
        <v>6</v>
      </c>
      <c r="K570">
        <v>1</v>
      </c>
      <c r="L570">
        <v>9</v>
      </c>
      <c r="M570">
        <v>0</v>
      </c>
      <c r="N570" t="str">
        <f t="shared" si="18"/>
        <v>13-15</v>
      </c>
      <c r="O570" t="str">
        <f t="shared" si="19"/>
        <v>healthy sleep</v>
      </c>
      <c r="P570" s="1" t="str" cm="1">
        <f t="array" ref="P570">_xlfn.IFS(L570&lt;=3,"low",L570&lt;=6,"medium",L570&gt;=7,"high")</f>
        <v>high</v>
      </c>
    </row>
    <row r="571" spans="1:16" x14ac:dyDescent="0.3">
      <c r="A571">
        <v>17</v>
      </c>
      <c r="B571" t="s">
        <v>16</v>
      </c>
      <c r="C571">
        <v>5</v>
      </c>
      <c r="D571" t="s">
        <v>17</v>
      </c>
      <c r="E571">
        <v>7.3</v>
      </c>
      <c r="F571">
        <v>1.9</v>
      </c>
      <c r="G571">
        <v>3.83</v>
      </c>
      <c r="H571">
        <v>0.4</v>
      </c>
      <c r="I571" t="s">
        <v>18</v>
      </c>
      <c r="J571">
        <v>8</v>
      </c>
      <c r="K571">
        <v>9</v>
      </c>
      <c r="L571">
        <v>9</v>
      </c>
      <c r="M571">
        <v>0</v>
      </c>
      <c r="N571" t="str">
        <f t="shared" si="18"/>
        <v>16-19</v>
      </c>
      <c r="O571" t="str">
        <f t="shared" si="19"/>
        <v>healthy sleep</v>
      </c>
      <c r="P571" s="1" t="str" cm="1">
        <f t="array" ref="P571">_xlfn.IFS(L571&lt;=3,"low",L571&lt;=6,"medium",L571&gt;=7,"high")</f>
        <v>high</v>
      </c>
    </row>
    <row r="572" spans="1:16" x14ac:dyDescent="0.3">
      <c r="A572">
        <v>17</v>
      </c>
      <c r="B572" t="s">
        <v>16</v>
      </c>
      <c r="C572">
        <v>5.3</v>
      </c>
      <c r="D572" t="s">
        <v>20</v>
      </c>
      <c r="E572">
        <v>6.8</v>
      </c>
      <c r="F572">
        <v>1.9</v>
      </c>
      <c r="G572">
        <v>3.39</v>
      </c>
      <c r="H572">
        <v>1.6</v>
      </c>
      <c r="I572" t="s">
        <v>15</v>
      </c>
      <c r="J572">
        <v>10</v>
      </c>
      <c r="K572">
        <v>6</v>
      </c>
      <c r="L572">
        <v>8</v>
      </c>
      <c r="M572">
        <v>0</v>
      </c>
      <c r="N572" t="str">
        <f t="shared" si="18"/>
        <v>16-19</v>
      </c>
      <c r="O572" t="str">
        <f t="shared" si="19"/>
        <v>healthy sleep</v>
      </c>
      <c r="P572" s="1" t="str" cm="1">
        <f t="array" ref="P572">_xlfn.IFS(L572&lt;=3,"low",L572&lt;=6,"medium",L572&gt;=7,"high")</f>
        <v>high</v>
      </c>
    </row>
    <row r="573" spans="1:16" x14ac:dyDescent="0.3">
      <c r="A573">
        <v>19</v>
      </c>
      <c r="B573" t="s">
        <v>13</v>
      </c>
      <c r="C573">
        <v>7.2</v>
      </c>
      <c r="D573" t="s">
        <v>17</v>
      </c>
      <c r="E573">
        <v>6.6</v>
      </c>
      <c r="F573">
        <v>2.9</v>
      </c>
      <c r="G573">
        <v>2.74</v>
      </c>
      <c r="H573">
        <v>0.3</v>
      </c>
      <c r="I573" t="s">
        <v>19</v>
      </c>
      <c r="J573">
        <v>1</v>
      </c>
      <c r="K573">
        <v>10</v>
      </c>
      <c r="L573">
        <v>9</v>
      </c>
      <c r="M573">
        <v>0</v>
      </c>
      <c r="N573" t="str">
        <f t="shared" si="18"/>
        <v>16-19</v>
      </c>
      <c r="O573" t="str">
        <f t="shared" si="19"/>
        <v>healthy sleep</v>
      </c>
      <c r="P573" s="1" t="str" cm="1">
        <f t="array" ref="P573">_xlfn.IFS(L573&lt;=3,"low",L573&lt;=6,"medium",L573&gt;=7,"high")</f>
        <v>high</v>
      </c>
    </row>
    <row r="574" spans="1:16" x14ac:dyDescent="0.3">
      <c r="A574">
        <v>15</v>
      </c>
      <c r="B574" t="s">
        <v>13</v>
      </c>
      <c r="C574">
        <v>2.2999999999999998</v>
      </c>
      <c r="D574" t="s">
        <v>20</v>
      </c>
      <c r="E574">
        <v>5.7</v>
      </c>
      <c r="F574">
        <v>2.8</v>
      </c>
      <c r="G574">
        <v>2.79</v>
      </c>
      <c r="H574">
        <v>1.9</v>
      </c>
      <c r="I574" t="s">
        <v>19</v>
      </c>
      <c r="J574">
        <v>4</v>
      </c>
      <c r="K574">
        <v>1</v>
      </c>
      <c r="L574">
        <v>4</v>
      </c>
      <c r="M574">
        <v>0</v>
      </c>
      <c r="N574" t="str">
        <f t="shared" si="18"/>
        <v>13-15</v>
      </c>
      <c r="O574" t="str">
        <f t="shared" si="19"/>
        <v>low sleep</v>
      </c>
      <c r="P574" s="1" t="str" cm="1">
        <f t="array" ref="P574">_xlfn.IFS(L574&lt;=3,"low",L574&lt;=6,"medium",L574&gt;=7,"high")</f>
        <v>medium</v>
      </c>
    </row>
    <row r="575" spans="1:16" x14ac:dyDescent="0.3">
      <c r="A575">
        <v>17</v>
      </c>
      <c r="B575" t="s">
        <v>16</v>
      </c>
      <c r="C575">
        <v>7.3</v>
      </c>
      <c r="D575" t="s">
        <v>20</v>
      </c>
      <c r="E575">
        <v>7.8</v>
      </c>
      <c r="F575">
        <v>1.1000000000000001</v>
      </c>
      <c r="G575">
        <v>2.0299999999999998</v>
      </c>
      <c r="H575">
        <v>1.1000000000000001</v>
      </c>
      <c r="I575" t="s">
        <v>15</v>
      </c>
      <c r="J575">
        <v>3</v>
      </c>
      <c r="K575">
        <v>10</v>
      </c>
      <c r="L575">
        <v>6</v>
      </c>
      <c r="M575">
        <v>0</v>
      </c>
      <c r="N575" t="str">
        <f t="shared" si="18"/>
        <v>16-19</v>
      </c>
      <c r="O575" t="str">
        <f t="shared" si="19"/>
        <v>healthy sleep</v>
      </c>
      <c r="P575" s="1" t="str" cm="1">
        <f t="array" ref="P575">_xlfn.IFS(L575&lt;=3,"low",L575&lt;=6,"medium",L575&gt;=7,"high")</f>
        <v>medium</v>
      </c>
    </row>
    <row r="576" spans="1:16" x14ac:dyDescent="0.3">
      <c r="A576">
        <v>16</v>
      </c>
      <c r="B576" t="s">
        <v>16</v>
      </c>
      <c r="C576">
        <v>1.5</v>
      </c>
      <c r="D576" t="s">
        <v>14</v>
      </c>
      <c r="E576">
        <v>8</v>
      </c>
      <c r="F576">
        <v>0.7</v>
      </c>
      <c r="G576">
        <v>2.1800000000000002</v>
      </c>
      <c r="H576">
        <v>0.6</v>
      </c>
      <c r="I576" t="s">
        <v>19</v>
      </c>
      <c r="J576">
        <v>4</v>
      </c>
      <c r="K576">
        <v>7</v>
      </c>
      <c r="L576">
        <v>5</v>
      </c>
      <c r="M576">
        <v>0</v>
      </c>
      <c r="N576" t="str">
        <f t="shared" si="18"/>
        <v>16-19</v>
      </c>
      <c r="O576" t="str">
        <f t="shared" si="19"/>
        <v>healthy sleep</v>
      </c>
      <c r="P576" s="1" t="str" cm="1">
        <f t="array" ref="P576">_xlfn.IFS(L576&lt;=3,"low",L576&lt;=6,"medium",L576&gt;=7,"high")</f>
        <v>medium</v>
      </c>
    </row>
    <row r="577" spans="1:16" x14ac:dyDescent="0.3">
      <c r="A577">
        <v>18</v>
      </c>
      <c r="B577" t="s">
        <v>16</v>
      </c>
      <c r="C577">
        <v>2.2000000000000002</v>
      </c>
      <c r="D577" t="s">
        <v>14</v>
      </c>
      <c r="E577">
        <v>6.5</v>
      </c>
      <c r="F577">
        <v>1.9</v>
      </c>
      <c r="G577">
        <v>3.79</v>
      </c>
      <c r="H577">
        <v>0.2</v>
      </c>
      <c r="I577" t="s">
        <v>15</v>
      </c>
      <c r="J577">
        <v>1</v>
      </c>
      <c r="K577">
        <v>6</v>
      </c>
      <c r="L577">
        <v>2</v>
      </c>
      <c r="M577">
        <v>0</v>
      </c>
      <c r="N577" t="str">
        <f t="shared" si="18"/>
        <v>16-19</v>
      </c>
      <c r="O577" t="str">
        <f t="shared" si="19"/>
        <v>healthy sleep</v>
      </c>
      <c r="P577" s="1" t="str" cm="1">
        <f t="array" ref="P577">_xlfn.IFS(L577&lt;=3,"low",L577&lt;=6,"medium",L577&gt;=7,"high")</f>
        <v>low</v>
      </c>
    </row>
    <row r="578" spans="1:16" x14ac:dyDescent="0.3">
      <c r="A578">
        <v>13</v>
      </c>
      <c r="B578" t="s">
        <v>16</v>
      </c>
      <c r="C578">
        <v>5.5</v>
      </c>
      <c r="D578" t="s">
        <v>20</v>
      </c>
      <c r="E578">
        <v>6.7</v>
      </c>
      <c r="F578">
        <v>1.6</v>
      </c>
      <c r="G578">
        <v>3.09</v>
      </c>
      <c r="H578">
        <v>1.7</v>
      </c>
      <c r="I578" t="s">
        <v>18</v>
      </c>
      <c r="J578">
        <v>10</v>
      </c>
      <c r="K578">
        <v>1</v>
      </c>
      <c r="L578">
        <v>6</v>
      </c>
      <c r="M578">
        <v>0</v>
      </c>
      <c r="N578" t="str">
        <f t="shared" si="18"/>
        <v>13-15</v>
      </c>
      <c r="O578" t="str">
        <f t="shared" si="19"/>
        <v>healthy sleep</v>
      </c>
      <c r="P578" s="1" t="str" cm="1">
        <f t="array" ref="P578">_xlfn.IFS(L578&lt;=3,"low",L578&lt;=6,"medium",L578&gt;=7,"high")</f>
        <v>medium</v>
      </c>
    </row>
    <row r="579" spans="1:16" x14ac:dyDescent="0.3">
      <c r="A579">
        <v>19</v>
      </c>
      <c r="B579" t="s">
        <v>13</v>
      </c>
      <c r="C579">
        <v>2.1</v>
      </c>
      <c r="D579" t="s">
        <v>17</v>
      </c>
      <c r="E579">
        <v>5.2</v>
      </c>
      <c r="F579">
        <v>2.5</v>
      </c>
      <c r="G579">
        <v>3.1</v>
      </c>
      <c r="H579">
        <v>0.3</v>
      </c>
      <c r="I579" t="s">
        <v>15</v>
      </c>
      <c r="J579">
        <v>9</v>
      </c>
      <c r="K579">
        <v>9</v>
      </c>
      <c r="L579">
        <v>3</v>
      </c>
      <c r="M579">
        <v>0</v>
      </c>
      <c r="N579" t="str">
        <f t="shared" ref="N579:N642" si="20">IF(A579&lt;=15,"13-15","16-19")</f>
        <v>16-19</v>
      </c>
      <c r="O579" t="str">
        <f t="shared" ref="O579:O642" si="21">IF(E579&lt;=6,"low sleep","healthy sleep")</f>
        <v>low sleep</v>
      </c>
      <c r="P579" s="1" t="str" cm="1">
        <f t="array" ref="P579">_xlfn.IFS(L579&lt;=3,"low",L579&lt;=6,"medium",L579&gt;=7,"high")</f>
        <v>low</v>
      </c>
    </row>
    <row r="580" spans="1:16" x14ac:dyDescent="0.3">
      <c r="A580">
        <v>15</v>
      </c>
      <c r="B580" t="s">
        <v>16</v>
      </c>
      <c r="C580">
        <v>4.5</v>
      </c>
      <c r="D580" t="s">
        <v>20</v>
      </c>
      <c r="E580">
        <v>5.4</v>
      </c>
      <c r="F580">
        <v>1.2</v>
      </c>
      <c r="G580">
        <v>3.76</v>
      </c>
      <c r="H580">
        <v>1.7</v>
      </c>
      <c r="I580" t="s">
        <v>18</v>
      </c>
      <c r="J580">
        <v>1</v>
      </c>
      <c r="K580">
        <v>8</v>
      </c>
      <c r="L580">
        <v>7</v>
      </c>
      <c r="M580">
        <v>0</v>
      </c>
      <c r="N580" t="str">
        <f t="shared" si="20"/>
        <v>13-15</v>
      </c>
      <c r="O580" t="str">
        <f t="shared" si="21"/>
        <v>low sleep</v>
      </c>
      <c r="P580" s="1" t="str" cm="1">
        <f t="array" ref="P580">_xlfn.IFS(L580&lt;=3,"low",L580&lt;=6,"medium",L580&gt;=7,"high")</f>
        <v>high</v>
      </c>
    </row>
    <row r="581" spans="1:16" x14ac:dyDescent="0.3">
      <c r="A581">
        <v>13</v>
      </c>
      <c r="B581" t="s">
        <v>13</v>
      </c>
      <c r="C581">
        <v>3.9</v>
      </c>
      <c r="D581" t="s">
        <v>20</v>
      </c>
      <c r="E581">
        <v>5.8</v>
      </c>
      <c r="F581">
        <v>0.7</v>
      </c>
      <c r="G581">
        <v>2.77</v>
      </c>
      <c r="H581">
        <v>1.3</v>
      </c>
      <c r="I581" t="s">
        <v>19</v>
      </c>
      <c r="J581">
        <v>10</v>
      </c>
      <c r="K581">
        <v>3</v>
      </c>
      <c r="L581">
        <v>1</v>
      </c>
      <c r="M581">
        <v>0</v>
      </c>
      <c r="N581" t="str">
        <f t="shared" si="20"/>
        <v>13-15</v>
      </c>
      <c r="O581" t="str">
        <f t="shared" si="21"/>
        <v>low sleep</v>
      </c>
      <c r="P581" s="1" t="str" cm="1">
        <f t="array" ref="P581">_xlfn.IFS(L581&lt;=3,"low",L581&lt;=6,"medium",L581&gt;=7,"high")</f>
        <v>low</v>
      </c>
    </row>
    <row r="582" spans="1:16" x14ac:dyDescent="0.3">
      <c r="A582">
        <v>14</v>
      </c>
      <c r="B582" t="s">
        <v>13</v>
      </c>
      <c r="C582">
        <v>5.8</v>
      </c>
      <c r="D582" t="s">
        <v>14</v>
      </c>
      <c r="E582">
        <v>5.0999999999999996</v>
      </c>
      <c r="F582">
        <v>2.6</v>
      </c>
      <c r="G582">
        <v>2.06</v>
      </c>
      <c r="H582">
        <v>1.5</v>
      </c>
      <c r="I582" t="s">
        <v>19</v>
      </c>
      <c r="J582">
        <v>7</v>
      </c>
      <c r="K582">
        <v>5</v>
      </c>
      <c r="L582">
        <v>2</v>
      </c>
      <c r="M582">
        <v>0</v>
      </c>
      <c r="N582" t="str">
        <f t="shared" si="20"/>
        <v>13-15</v>
      </c>
      <c r="O582" t="str">
        <f t="shared" si="21"/>
        <v>low sleep</v>
      </c>
      <c r="P582" s="1" t="str" cm="1">
        <f t="array" ref="P582">_xlfn.IFS(L582&lt;=3,"low",L582&lt;=6,"medium",L582&gt;=7,"high")</f>
        <v>low</v>
      </c>
    </row>
    <row r="583" spans="1:16" x14ac:dyDescent="0.3">
      <c r="A583">
        <v>13</v>
      </c>
      <c r="B583" t="s">
        <v>16</v>
      </c>
      <c r="C583">
        <v>7.2</v>
      </c>
      <c r="D583" t="s">
        <v>20</v>
      </c>
      <c r="E583">
        <v>4.2</v>
      </c>
      <c r="F583">
        <v>2.5</v>
      </c>
      <c r="G583">
        <v>2.65</v>
      </c>
      <c r="H583">
        <v>1.6</v>
      </c>
      <c r="I583" t="s">
        <v>15</v>
      </c>
      <c r="J583">
        <v>10</v>
      </c>
      <c r="K583">
        <v>9</v>
      </c>
      <c r="L583">
        <v>3</v>
      </c>
      <c r="M583">
        <v>1</v>
      </c>
      <c r="N583" t="str">
        <f t="shared" si="20"/>
        <v>13-15</v>
      </c>
      <c r="O583" t="str">
        <f t="shared" si="21"/>
        <v>low sleep</v>
      </c>
      <c r="P583" s="1" t="str" cm="1">
        <f t="array" ref="P583">_xlfn.IFS(L583&lt;=3,"low",L583&lt;=6,"medium",L583&gt;=7,"high")</f>
        <v>low</v>
      </c>
    </row>
    <row r="584" spans="1:16" x14ac:dyDescent="0.3">
      <c r="A584">
        <v>17</v>
      </c>
      <c r="B584" t="s">
        <v>16</v>
      </c>
      <c r="C584">
        <v>2.9</v>
      </c>
      <c r="D584" t="s">
        <v>20</v>
      </c>
      <c r="E584">
        <v>7.5</v>
      </c>
      <c r="F584">
        <v>1.4</v>
      </c>
      <c r="G584">
        <v>3.42</v>
      </c>
      <c r="H584">
        <v>1.7</v>
      </c>
      <c r="I584" t="s">
        <v>15</v>
      </c>
      <c r="J584">
        <v>5</v>
      </c>
      <c r="K584">
        <v>6</v>
      </c>
      <c r="L584">
        <v>3</v>
      </c>
      <c r="M584">
        <v>0</v>
      </c>
      <c r="N584" t="str">
        <f t="shared" si="20"/>
        <v>16-19</v>
      </c>
      <c r="O584" t="str">
        <f t="shared" si="21"/>
        <v>healthy sleep</v>
      </c>
      <c r="P584" s="1" t="str" cm="1">
        <f t="array" ref="P584">_xlfn.IFS(L584&lt;=3,"low",L584&lt;=6,"medium",L584&gt;=7,"high")</f>
        <v>low</v>
      </c>
    </row>
    <row r="585" spans="1:16" x14ac:dyDescent="0.3">
      <c r="A585">
        <v>17</v>
      </c>
      <c r="B585" t="s">
        <v>13</v>
      </c>
      <c r="C585">
        <v>6.2</v>
      </c>
      <c r="D585" t="s">
        <v>14</v>
      </c>
      <c r="E585">
        <v>7.4</v>
      </c>
      <c r="F585">
        <v>0.6</v>
      </c>
      <c r="G585">
        <v>3.38</v>
      </c>
      <c r="H585">
        <v>1.5</v>
      </c>
      <c r="I585" t="s">
        <v>15</v>
      </c>
      <c r="J585">
        <v>4</v>
      </c>
      <c r="K585">
        <v>7</v>
      </c>
      <c r="L585">
        <v>9</v>
      </c>
      <c r="M585">
        <v>0</v>
      </c>
      <c r="N585" t="str">
        <f t="shared" si="20"/>
        <v>16-19</v>
      </c>
      <c r="O585" t="str">
        <f t="shared" si="21"/>
        <v>healthy sleep</v>
      </c>
      <c r="P585" s="1" t="str" cm="1">
        <f t="array" ref="P585">_xlfn.IFS(L585&lt;=3,"low",L585&lt;=6,"medium",L585&gt;=7,"high")</f>
        <v>high</v>
      </c>
    </row>
    <row r="586" spans="1:16" x14ac:dyDescent="0.3">
      <c r="A586">
        <v>18</v>
      </c>
      <c r="B586" t="s">
        <v>16</v>
      </c>
      <c r="C586">
        <v>1.1000000000000001</v>
      </c>
      <c r="D586" t="s">
        <v>20</v>
      </c>
      <c r="E586">
        <v>4.9000000000000004</v>
      </c>
      <c r="F586">
        <v>2.6</v>
      </c>
      <c r="G586">
        <v>2.4300000000000002</v>
      </c>
      <c r="H586">
        <v>1.3</v>
      </c>
      <c r="I586" t="s">
        <v>18</v>
      </c>
      <c r="J586">
        <v>9</v>
      </c>
      <c r="K586">
        <v>7</v>
      </c>
      <c r="L586">
        <v>6</v>
      </c>
      <c r="M586">
        <v>0</v>
      </c>
      <c r="N586" t="str">
        <f t="shared" si="20"/>
        <v>16-19</v>
      </c>
      <c r="O586" t="str">
        <f t="shared" si="21"/>
        <v>low sleep</v>
      </c>
      <c r="P586" s="1" t="str" cm="1">
        <f t="array" ref="P586">_xlfn.IFS(L586&lt;=3,"low",L586&lt;=6,"medium",L586&gt;=7,"high")</f>
        <v>medium</v>
      </c>
    </row>
    <row r="587" spans="1:16" x14ac:dyDescent="0.3">
      <c r="A587">
        <v>19</v>
      </c>
      <c r="B587" t="s">
        <v>13</v>
      </c>
      <c r="C587">
        <v>5.2</v>
      </c>
      <c r="D587" t="s">
        <v>14</v>
      </c>
      <c r="E587">
        <v>4.3</v>
      </c>
      <c r="F587">
        <v>1.3</v>
      </c>
      <c r="G587">
        <v>2.29</v>
      </c>
      <c r="H587">
        <v>1.3</v>
      </c>
      <c r="I587" t="s">
        <v>19</v>
      </c>
      <c r="J587">
        <v>10</v>
      </c>
      <c r="K587">
        <v>8</v>
      </c>
      <c r="L587">
        <v>10</v>
      </c>
      <c r="M587">
        <v>1</v>
      </c>
      <c r="N587" t="str">
        <f t="shared" si="20"/>
        <v>16-19</v>
      </c>
      <c r="O587" t="str">
        <f t="shared" si="21"/>
        <v>low sleep</v>
      </c>
      <c r="P587" s="1" t="str" cm="1">
        <f t="array" ref="P587">_xlfn.IFS(L587&lt;=3,"low",L587&lt;=6,"medium",L587&gt;=7,"high")</f>
        <v>high</v>
      </c>
    </row>
    <row r="588" spans="1:16" x14ac:dyDescent="0.3">
      <c r="A588">
        <v>15</v>
      </c>
      <c r="B588" t="s">
        <v>16</v>
      </c>
      <c r="C588">
        <v>5</v>
      </c>
      <c r="D588" t="s">
        <v>14</v>
      </c>
      <c r="E588">
        <v>7.6</v>
      </c>
      <c r="F588">
        <v>1.8</v>
      </c>
      <c r="G588">
        <v>2.52</v>
      </c>
      <c r="H588">
        <v>1.4</v>
      </c>
      <c r="I588" t="s">
        <v>18</v>
      </c>
      <c r="J588">
        <v>1</v>
      </c>
      <c r="K588">
        <v>4</v>
      </c>
      <c r="L588">
        <v>3</v>
      </c>
      <c r="M588">
        <v>0</v>
      </c>
      <c r="N588" t="str">
        <f t="shared" si="20"/>
        <v>13-15</v>
      </c>
      <c r="O588" t="str">
        <f t="shared" si="21"/>
        <v>healthy sleep</v>
      </c>
      <c r="P588" s="1" t="str" cm="1">
        <f t="array" ref="P588">_xlfn.IFS(L588&lt;=3,"low",L588&lt;=6,"medium",L588&gt;=7,"high")</f>
        <v>low</v>
      </c>
    </row>
    <row r="589" spans="1:16" x14ac:dyDescent="0.3">
      <c r="A589">
        <v>13</v>
      </c>
      <c r="B589" t="s">
        <v>16</v>
      </c>
      <c r="C589">
        <v>2.2999999999999998</v>
      </c>
      <c r="D589" t="s">
        <v>17</v>
      </c>
      <c r="E589">
        <v>8.6999999999999993</v>
      </c>
      <c r="F589">
        <v>1.2</v>
      </c>
      <c r="G589">
        <v>3.25</v>
      </c>
      <c r="H589">
        <v>1.5</v>
      </c>
      <c r="I589" t="s">
        <v>18</v>
      </c>
      <c r="J589">
        <v>9</v>
      </c>
      <c r="K589">
        <v>9</v>
      </c>
      <c r="L589">
        <v>1</v>
      </c>
      <c r="M589">
        <v>0</v>
      </c>
      <c r="N589" t="str">
        <f t="shared" si="20"/>
        <v>13-15</v>
      </c>
      <c r="O589" t="str">
        <f t="shared" si="21"/>
        <v>healthy sleep</v>
      </c>
      <c r="P589" s="1" t="str" cm="1">
        <f t="array" ref="P589">_xlfn.IFS(L589&lt;=3,"low",L589&lt;=6,"medium",L589&gt;=7,"high")</f>
        <v>low</v>
      </c>
    </row>
    <row r="590" spans="1:16" x14ac:dyDescent="0.3">
      <c r="A590">
        <v>15</v>
      </c>
      <c r="B590" t="s">
        <v>16</v>
      </c>
      <c r="C590">
        <v>5.2</v>
      </c>
      <c r="D590" t="s">
        <v>17</v>
      </c>
      <c r="E590">
        <v>5.6</v>
      </c>
      <c r="F590">
        <v>1.5</v>
      </c>
      <c r="G590">
        <v>3.13</v>
      </c>
      <c r="H590">
        <v>0.1</v>
      </c>
      <c r="I590" t="s">
        <v>15</v>
      </c>
      <c r="J590">
        <v>7</v>
      </c>
      <c r="K590">
        <v>9</v>
      </c>
      <c r="L590">
        <v>4</v>
      </c>
      <c r="M590">
        <v>1</v>
      </c>
      <c r="N590" t="str">
        <f t="shared" si="20"/>
        <v>13-15</v>
      </c>
      <c r="O590" t="str">
        <f t="shared" si="21"/>
        <v>low sleep</v>
      </c>
      <c r="P590" s="1" t="str" cm="1">
        <f t="array" ref="P590">_xlfn.IFS(L590&lt;=3,"low",L590&lt;=6,"medium",L590&gt;=7,"high")</f>
        <v>medium</v>
      </c>
    </row>
    <row r="591" spans="1:16" x14ac:dyDescent="0.3">
      <c r="A591">
        <v>13</v>
      </c>
      <c r="B591" t="s">
        <v>16</v>
      </c>
      <c r="C591">
        <v>3.5</v>
      </c>
      <c r="D591" t="s">
        <v>20</v>
      </c>
      <c r="E591">
        <v>8.6999999999999993</v>
      </c>
      <c r="F591">
        <v>1.4</v>
      </c>
      <c r="G591">
        <v>3.5</v>
      </c>
      <c r="H591">
        <v>1.3</v>
      </c>
      <c r="I591" t="s">
        <v>18</v>
      </c>
      <c r="J591">
        <v>9</v>
      </c>
      <c r="K591">
        <v>4</v>
      </c>
      <c r="L591">
        <v>5</v>
      </c>
      <c r="M591">
        <v>0</v>
      </c>
      <c r="N591" t="str">
        <f t="shared" si="20"/>
        <v>13-15</v>
      </c>
      <c r="O591" t="str">
        <f t="shared" si="21"/>
        <v>healthy sleep</v>
      </c>
      <c r="P591" s="1" t="str" cm="1">
        <f t="array" ref="P591">_xlfn.IFS(L591&lt;=3,"low",L591&lt;=6,"medium",L591&gt;=7,"high")</f>
        <v>medium</v>
      </c>
    </row>
    <row r="592" spans="1:16" x14ac:dyDescent="0.3">
      <c r="A592">
        <v>16</v>
      </c>
      <c r="B592" t="s">
        <v>16</v>
      </c>
      <c r="C592">
        <v>3.5</v>
      </c>
      <c r="D592" t="s">
        <v>20</v>
      </c>
      <c r="E592">
        <v>4.2</v>
      </c>
      <c r="F592">
        <v>1.5</v>
      </c>
      <c r="G592">
        <v>3.98</v>
      </c>
      <c r="H592">
        <v>0.4</v>
      </c>
      <c r="I592" t="s">
        <v>19</v>
      </c>
      <c r="J592">
        <v>1</v>
      </c>
      <c r="K592">
        <v>7</v>
      </c>
      <c r="L592">
        <v>2</v>
      </c>
      <c r="M592">
        <v>0</v>
      </c>
      <c r="N592" t="str">
        <f t="shared" si="20"/>
        <v>16-19</v>
      </c>
      <c r="O592" t="str">
        <f t="shared" si="21"/>
        <v>low sleep</v>
      </c>
      <c r="P592" s="1" t="str" cm="1">
        <f t="array" ref="P592">_xlfn.IFS(L592&lt;=3,"low",L592&lt;=6,"medium",L592&gt;=7,"high")</f>
        <v>low</v>
      </c>
    </row>
    <row r="593" spans="1:16" x14ac:dyDescent="0.3">
      <c r="A593">
        <v>19</v>
      </c>
      <c r="B593" t="s">
        <v>13</v>
      </c>
      <c r="C593">
        <v>7.7</v>
      </c>
      <c r="D593" t="s">
        <v>14</v>
      </c>
      <c r="E593">
        <v>4.2</v>
      </c>
      <c r="F593">
        <v>2.6</v>
      </c>
      <c r="G593">
        <v>2.2000000000000002</v>
      </c>
      <c r="H593">
        <v>1.8</v>
      </c>
      <c r="I593" t="s">
        <v>15</v>
      </c>
      <c r="J593">
        <v>8</v>
      </c>
      <c r="K593">
        <v>9</v>
      </c>
      <c r="L593">
        <v>4</v>
      </c>
      <c r="M593">
        <v>1</v>
      </c>
      <c r="N593" t="str">
        <f t="shared" si="20"/>
        <v>16-19</v>
      </c>
      <c r="O593" t="str">
        <f t="shared" si="21"/>
        <v>low sleep</v>
      </c>
      <c r="P593" s="1" t="str" cm="1">
        <f t="array" ref="P593">_xlfn.IFS(L593&lt;=3,"low",L593&lt;=6,"medium",L593&gt;=7,"high")</f>
        <v>medium</v>
      </c>
    </row>
    <row r="594" spans="1:16" x14ac:dyDescent="0.3">
      <c r="A594">
        <v>18</v>
      </c>
      <c r="B594" t="s">
        <v>16</v>
      </c>
      <c r="C594">
        <v>2</v>
      </c>
      <c r="D594" t="s">
        <v>20</v>
      </c>
      <c r="E594">
        <v>8.6</v>
      </c>
      <c r="F594">
        <v>2.2000000000000002</v>
      </c>
      <c r="G594">
        <v>3.53</v>
      </c>
      <c r="H594">
        <v>1.9</v>
      </c>
      <c r="I594" t="s">
        <v>15</v>
      </c>
      <c r="J594">
        <v>2</v>
      </c>
      <c r="K594">
        <v>5</v>
      </c>
      <c r="L594">
        <v>8</v>
      </c>
      <c r="M594">
        <v>0</v>
      </c>
      <c r="N594" t="str">
        <f t="shared" si="20"/>
        <v>16-19</v>
      </c>
      <c r="O594" t="str">
        <f t="shared" si="21"/>
        <v>healthy sleep</v>
      </c>
      <c r="P594" s="1" t="str" cm="1">
        <f t="array" ref="P594">_xlfn.IFS(L594&lt;=3,"low",L594&lt;=6,"medium",L594&gt;=7,"high")</f>
        <v>high</v>
      </c>
    </row>
    <row r="595" spans="1:16" x14ac:dyDescent="0.3">
      <c r="A595">
        <v>13</v>
      </c>
      <c r="B595" t="s">
        <v>16</v>
      </c>
      <c r="C595">
        <v>5.0999999999999996</v>
      </c>
      <c r="D595" t="s">
        <v>17</v>
      </c>
      <c r="E595">
        <v>4.5</v>
      </c>
      <c r="F595">
        <v>2.7</v>
      </c>
      <c r="G595">
        <v>2.54</v>
      </c>
      <c r="H595">
        <v>1.4</v>
      </c>
      <c r="I595" t="s">
        <v>18</v>
      </c>
      <c r="J595">
        <v>2</v>
      </c>
      <c r="K595">
        <v>3</v>
      </c>
      <c r="L595">
        <v>10</v>
      </c>
      <c r="M595">
        <v>0</v>
      </c>
      <c r="N595" t="str">
        <f t="shared" si="20"/>
        <v>13-15</v>
      </c>
      <c r="O595" t="str">
        <f t="shared" si="21"/>
        <v>low sleep</v>
      </c>
      <c r="P595" s="1" t="str" cm="1">
        <f t="array" ref="P595">_xlfn.IFS(L595&lt;=3,"low",L595&lt;=6,"medium",L595&gt;=7,"high")</f>
        <v>high</v>
      </c>
    </row>
    <row r="596" spans="1:16" x14ac:dyDescent="0.3">
      <c r="A596">
        <v>16</v>
      </c>
      <c r="B596" t="s">
        <v>13</v>
      </c>
      <c r="C596">
        <v>2</v>
      </c>
      <c r="D596" t="s">
        <v>14</v>
      </c>
      <c r="E596">
        <v>7.9</v>
      </c>
      <c r="F596">
        <v>2.4</v>
      </c>
      <c r="G596">
        <v>2.81</v>
      </c>
      <c r="H596">
        <v>1.9</v>
      </c>
      <c r="I596" t="s">
        <v>15</v>
      </c>
      <c r="J596">
        <v>10</v>
      </c>
      <c r="K596">
        <v>6</v>
      </c>
      <c r="L596">
        <v>6</v>
      </c>
      <c r="M596">
        <v>0</v>
      </c>
      <c r="N596" t="str">
        <f t="shared" si="20"/>
        <v>16-19</v>
      </c>
      <c r="O596" t="str">
        <f t="shared" si="21"/>
        <v>healthy sleep</v>
      </c>
      <c r="P596" s="1" t="str" cm="1">
        <f t="array" ref="P596">_xlfn.IFS(L596&lt;=3,"low",L596&lt;=6,"medium",L596&gt;=7,"high")</f>
        <v>medium</v>
      </c>
    </row>
    <row r="597" spans="1:16" x14ac:dyDescent="0.3">
      <c r="A597">
        <v>15</v>
      </c>
      <c r="B597" t="s">
        <v>13</v>
      </c>
      <c r="C597">
        <v>4.7</v>
      </c>
      <c r="D597" t="s">
        <v>14</v>
      </c>
      <c r="E597">
        <v>8.4</v>
      </c>
      <c r="F597">
        <v>1.9</v>
      </c>
      <c r="G597">
        <v>3.9</v>
      </c>
      <c r="H597">
        <v>1</v>
      </c>
      <c r="I597" t="s">
        <v>18</v>
      </c>
      <c r="J597">
        <v>4</v>
      </c>
      <c r="K597">
        <v>10</v>
      </c>
      <c r="L597">
        <v>6</v>
      </c>
      <c r="M597">
        <v>0</v>
      </c>
      <c r="N597" t="str">
        <f t="shared" si="20"/>
        <v>13-15</v>
      </c>
      <c r="O597" t="str">
        <f t="shared" si="21"/>
        <v>healthy sleep</v>
      </c>
      <c r="P597" s="1" t="str" cm="1">
        <f t="array" ref="P597">_xlfn.IFS(L597&lt;=3,"low",L597&lt;=6,"medium",L597&gt;=7,"high")</f>
        <v>medium</v>
      </c>
    </row>
    <row r="598" spans="1:16" x14ac:dyDescent="0.3">
      <c r="A598">
        <v>17</v>
      </c>
      <c r="B598" t="s">
        <v>16</v>
      </c>
      <c r="C598">
        <v>6.9</v>
      </c>
      <c r="D598" t="s">
        <v>17</v>
      </c>
      <c r="E598">
        <v>6.1</v>
      </c>
      <c r="F598">
        <v>2.4</v>
      </c>
      <c r="G598">
        <v>3.77</v>
      </c>
      <c r="H598">
        <v>1.1000000000000001</v>
      </c>
      <c r="I598" t="s">
        <v>19</v>
      </c>
      <c r="J598">
        <v>9</v>
      </c>
      <c r="K598">
        <v>4</v>
      </c>
      <c r="L598">
        <v>9</v>
      </c>
      <c r="M598">
        <v>0</v>
      </c>
      <c r="N598" t="str">
        <f t="shared" si="20"/>
        <v>16-19</v>
      </c>
      <c r="O598" t="str">
        <f t="shared" si="21"/>
        <v>healthy sleep</v>
      </c>
      <c r="P598" s="1" t="str" cm="1">
        <f t="array" ref="P598">_xlfn.IFS(L598&lt;=3,"low",L598&lt;=6,"medium",L598&gt;=7,"high")</f>
        <v>high</v>
      </c>
    </row>
    <row r="599" spans="1:16" x14ac:dyDescent="0.3">
      <c r="A599">
        <v>18</v>
      </c>
      <c r="B599" t="s">
        <v>13</v>
      </c>
      <c r="C599">
        <v>5.9</v>
      </c>
      <c r="D599" t="s">
        <v>14</v>
      </c>
      <c r="E599">
        <v>4.4000000000000004</v>
      </c>
      <c r="F599">
        <v>2.7</v>
      </c>
      <c r="G599">
        <v>2.09</v>
      </c>
      <c r="H599">
        <v>1.8</v>
      </c>
      <c r="I599" t="s">
        <v>18</v>
      </c>
      <c r="J599">
        <v>1</v>
      </c>
      <c r="K599">
        <v>6</v>
      </c>
      <c r="L599">
        <v>6</v>
      </c>
      <c r="M599">
        <v>0</v>
      </c>
      <c r="N599" t="str">
        <f t="shared" si="20"/>
        <v>16-19</v>
      </c>
      <c r="O599" t="str">
        <f t="shared" si="21"/>
        <v>low sleep</v>
      </c>
      <c r="P599" s="1" t="str" cm="1">
        <f t="array" ref="P599">_xlfn.IFS(L599&lt;=3,"low",L599&lt;=6,"medium",L599&gt;=7,"high")</f>
        <v>medium</v>
      </c>
    </row>
    <row r="600" spans="1:16" x14ac:dyDescent="0.3">
      <c r="A600">
        <v>19</v>
      </c>
      <c r="B600" t="s">
        <v>13</v>
      </c>
      <c r="C600">
        <v>2.7</v>
      </c>
      <c r="D600" t="s">
        <v>14</v>
      </c>
      <c r="E600">
        <v>6.3</v>
      </c>
      <c r="F600">
        <v>1.3</v>
      </c>
      <c r="G600">
        <v>3.91</v>
      </c>
      <c r="H600">
        <v>1.2</v>
      </c>
      <c r="I600" t="s">
        <v>18</v>
      </c>
      <c r="J600">
        <v>7</v>
      </c>
      <c r="K600">
        <v>5</v>
      </c>
      <c r="L600">
        <v>7</v>
      </c>
      <c r="M600">
        <v>0</v>
      </c>
      <c r="N600" t="str">
        <f t="shared" si="20"/>
        <v>16-19</v>
      </c>
      <c r="O600" t="str">
        <f t="shared" si="21"/>
        <v>healthy sleep</v>
      </c>
      <c r="P600" s="1" t="str" cm="1">
        <f t="array" ref="P600">_xlfn.IFS(L600&lt;=3,"low",L600&lt;=6,"medium",L600&gt;=7,"high")</f>
        <v>high</v>
      </c>
    </row>
    <row r="601" spans="1:16" x14ac:dyDescent="0.3">
      <c r="A601">
        <v>16</v>
      </c>
      <c r="B601" t="s">
        <v>13</v>
      </c>
      <c r="C601">
        <v>7.9</v>
      </c>
      <c r="D601" t="s">
        <v>17</v>
      </c>
      <c r="E601">
        <v>8</v>
      </c>
      <c r="F601">
        <v>1.6</v>
      </c>
      <c r="G601">
        <v>3.47</v>
      </c>
      <c r="H601">
        <v>1.5</v>
      </c>
      <c r="I601" t="s">
        <v>18</v>
      </c>
      <c r="J601">
        <v>3</v>
      </c>
      <c r="K601">
        <v>5</v>
      </c>
      <c r="L601">
        <v>6</v>
      </c>
      <c r="M601">
        <v>0</v>
      </c>
      <c r="N601" t="str">
        <f t="shared" si="20"/>
        <v>16-19</v>
      </c>
      <c r="O601" t="str">
        <f t="shared" si="21"/>
        <v>healthy sleep</v>
      </c>
      <c r="P601" s="1" t="str" cm="1">
        <f t="array" ref="P601">_xlfn.IFS(L601&lt;=3,"low",L601&lt;=6,"medium",L601&gt;=7,"high")</f>
        <v>medium</v>
      </c>
    </row>
    <row r="602" spans="1:16" x14ac:dyDescent="0.3">
      <c r="A602">
        <v>16</v>
      </c>
      <c r="B602" t="s">
        <v>16</v>
      </c>
      <c r="C602">
        <v>7.4</v>
      </c>
      <c r="D602" t="s">
        <v>17</v>
      </c>
      <c r="E602">
        <v>5.5</v>
      </c>
      <c r="F602">
        <v>1.8</v>
      </c>
      <c r="G602">
        <v>2.13</v>
      </c>
      <c r="H602">
        <v>0.3</v>
      </c>
      <c r="I602" t="s">
        <v>18</v>
      </c>
      <c r="J602">
        <v>7</v>
      </c>
      <c r="K602">
        <v>9</v>
      </c>
      <c r="L602">
        <v>9</v>
      </c>
      <c r="M602">
        <v>1</v>
      </c>
      <c r="N602" t="str">
        <f t="shared" si="20"/>
        <v>16-19</v>
      </c>
      <c r="O602" t="str">
        <f t="shared" si="21"/>
        <v>low sleep</v>
      </c>
      <c r="P602" s="1" t="str" cm="1">
        <f t="array" ref="P602">_xlfn.IFS(L602&lt;=3,"low",L602&lt;=6,"medium",L602&gt;=7,"high")</f>
        <v>high</v>
      </c>
    </row>
    <row r="603" spans="1:16" x14ac:dyDescent="0.3">
      <c r="A603">
        <v>17</v>
      </c>
      <c r="B603" t="s">
        <v>16</v>
      </c>
      <c r="C603">
        <v>2.2999999999999998</v>
      </c>
      <c r="D603" t="s">
        <v>14</v>
      </c>
      <c r="E603">
        <v>4.9000000000000004</v>
      </c>
      <c r="F603">
        <v>1.7</v>
      </c>
      <c r="G603">
        <v>2.0699999999999998</v>
      </c>
      <c r="H603">
        <v>0.3</v>
      </c>
      <c r="I603" t="s">
        <v>19</v>
      </c>
      <c r="J603">
        <v>3</v>
      </c>
      <c r="K603">
        <v>7</v>
      </c>
      <c r="L603">
        <v>7</v>
      </c>
      <c r="M603">
        <v>0</v>
      </c>
      <c r="N603" t="str">
        <f t="shared" si="20"/>
        <v>16-19</v>
      </c>
      <c r="O603" t="str">
        <f t="shared" si="21"/>
        <v>low sleep</v>
      </c>
      <c r="P603" s="1" t="str" cm="1">
        <f t="array" ref="P603">_xlfn.IFS(L603&lt;=3,"low",L603&lt;=6,"medium",L603&gt;=7,"high")</f>
        <v>high</v>
      </c>
    </row>
    <row r="604" spans="1:16" x14ac:dyDescent="0.3">
      <c r="A604">
        <v>13</v>
      </c>
      <c r="B604" t="s">
        <v>13</v>
      </c>
      <c r="C604">
        <v>7.1</v>
      </c>
      <c r="D604" t="s">
        <v>20</v>
      </c>
      <c r="E604">
        <v>5.7</v>
      </c>
      <c r="F604">
        <v>2.1</v>
      </c>
      <c r="G604">
        <v>3.52</v>
      </c>
      <c r="H604">
        <v>1.7</v>
      </c>
      <c r="I604" t="s">
        <v>15</v>
      </c>
      <c r="J604">
        <v>1</v>
      </c>
      <c r="K604">
        <v>1</v>
      </c>
      <c r="L604">
        <v>3</v>
      </c>
      <c r="M604">
        <v>0</v>
      </c>
      <c r="N604" t="str">
        <f t="shared" si="20"/>
        <v>13-15</v>
      </c>
      <c r="O604" t="str">
        <f t="shared" si="21"/>
        <v>low sleep</v>
      </c>
      <c r="P604" s="1" t="str" cm="1">
        <f t="array" ref="P604">_xlfn.IFS(L604&lt;=3,"low",L604&lt;=6,"medium",L604&gt;=7,"high")</f>
        <v>low</v>
      </c>
    </row>
    <row r="605" spans="1:16" x14ac:dyDescent="0.3">
      <c r="A605">
        <v>16</v>
      </c>
      <c r="B605" t="s">
        <v>13</v>
      </c>
      <c r="C605">
        <v>6.9</v>
      </c>
      <c r="D605" t="s">
        <v>14</v>
      </c>
      <c r="E605">
        <v>6.8</v>
      </c>
      <c r="F605">
        <v>1.1000000000000001</v>
      </c>
      <c r="G605">
        <v>3.33</v>
      </c>
      <c r="H605">
        <v>1</v>
      </c>
      <c r="I605" t="s">
        <v>19</v>
      </c>
      <c r="J605">
        <v>7</v>
      </c>
      <c r="K605">
        <v>9</v>
      </c>
      <c r="L605">
        <v>4</v>
      </c>
      <c r="M605">
        <v>0</v>
      </c>
      <c r="N605" t="str">
        <f t="shared" si="20"/>
        <v>16-19</v>
      </c>
      <c r="O605" t="str">
        <f t="shared" si="21"/>
        <v>healthy sleep</v>
      </c>
      <c r="P605" s="1" t="str" cm="1">
        <f t="array" ref="P605">_xlfn.IFS(L605&lt;=3,"low",L605&lt;=6,"medium",L605&gt;=7,"high")</f>
        <v>medium</v>
      </c>
    </row>
    <row r="606" spans="1:16" x14ac:dyDescent="0.3">
      <c r="A606">
        <v>16</v>
      </c>
      <c r="B606" t="s">
        <v>16</v>
      </c>
      <c r="C606">
        <v>5.6</v>
      </c>
      <c r="D606" t="s">
        <v>17</v>
      </c>
      <c r="E606">
        <v>7.9</v>
      </c>
      <c r="F606">
        <v>2</v>
      </c>
      <c r="G606">
        <v>3.91</v>
      </c>
      <c r="H606">
        <v>0.6</v>
      </c>
      <c r="I606" t="s">
        <v>19</v>
      </c>
      <c r="J606">
        <v>7</v>
      </c>
      <c r="K606">
        <v>3</v>
      </c>
      <c r="L606">
        <v>10</v>
      </c>
      <c r="M606">
        <v>0</v>
      </c>
      <c r="N606" t="str">
        <f t="shared" si="20"/>
        <v>16-19</v>
      </c>
      <c r="O606" t="str">
        <f t="shared" si="21"/>
        <v>healthy sleep</v>
      </c>
      <c r="P606" s="1" t="str" cm="1">
        <f t="array" ref="P606">_xlfn.IFS(L606&lt;=3,"low",L606&lt;=6,"medium",L606&gt;=7,"high")</f>
        <v>high</v>
      </c>
    </row>
    <row r="607" spans="1:16" x14ac:dyDescent="0.3">
      <c r="A607">
        <v>16</v>
      </c>
      <c r="B607" t="s">
        <v>16</v>
      </c>
      <c r="C607">
        <v>5.2</v>
      </c>
      <c r="D607" t="s">
        <v>17</v>
      </c>
      <c r="E607">
        <v>8.1</v>
      </c>
      <c r="F607">
        <v>2.1</v>
      </c>
      <c r="G607">
        <v>2.67</v>
      </c>
      <c r="H607">
        <v>1.7</v>
      </c>
      <c r="I607" t="s">
        <v>19</v>
      </c>
      <c r="J607">
        <v>9</v>
      </c>
      <c r="K607">
        <v>10</v>
      </c>
      <c r="L607">
        <v>10</v>
      </c>
      <c r="M607">
        <v>0</v>
      </c>
      <c r="N607" t="str">
        <f t="shared" si="20"/>
        <v>16-19</v>
      </c>
      <c r="O607" t="str">
        <f t="shared" si="21"/>
        <v>healthy sleep</v>
      </c>
      <c r="P607" s="1" t="str" cm="1">
        <f t="array" ref="P607">_xlfn.IFS(L607&lt;=3,"low",L607&lt;=6,"medium",L607&gt;=7,"high")</f>
        <v>high</v>
      </c>
    </row>
    <row r="608" spans="1:16" x14ac:dyDescent="0.3">
      <c r="A608">
        <v>17</v>
      </c>
      <c r="B608" t="s">
        <v>13</v>
      </c>
      <c r="C608">
        <v>4.5</v>
      </c>
      <c r="D608" t="s">
        <v>20</v>
      </c>
      <c r="E608">
        <v>4.9000000000000004</v>
      </c>
      <c r="F608">
        <v>0.5</v>
      </c>
      <c r="G608">
        <v>3.44</v>
      </c>
      <c r="H608">
        <v>1.2</v>
      </c>
      <c r="I608" t="s">
        <v>19</v>
      </c>
      <c r="J608">
        <v>5</v>
      </c>
      <c r="K608">
        <v>3</v>
      </c>
      <c r="L608">
        <v>1</v>
      </c>
      <c r="M608">
        <v>0</v>
      </c>
      <c r="N608" t="str">
        <f t="shared" si="20"/>
        <v>16-19</v>
      </c>
      <c r="O608" t="str">
        <f t="shared" si="21"/>
        <v>low sleep</v>
      </c>
      <c r="P608" s="1" t="str" cm="1">
        <f t="array" ref="P608">_xlfn.IFS(L608&lt;=3,"low",L608&lt;=6,"medium",L608&gt;=7,"high")</f>
        <v>low</v>
      </c>
    </row>
    <row r="609" spans="1:16" x14ac:dyDescent="0.3">
      <c r="A609">
        <v>14</v>
      </c>
      <c r="B609" t="s">
        <v>13</v>
      </c>
      <c r="C609">
        <v>3.6</v>
      </c>
      <c r="D609" t="s">
        <v>17</v>
      </c>
      <c r="E609">
        <v>4</v>
      </c>
      <c r="F609">
        <v>1.4</v>
      </c>
      <c r="G609">
        <v>3.83</v>
      </c>
      <c r="H609">
        <v>0.5</v>
      </c>
      <c r="I609" t="s">
        <v>19</v>
      </c>
      <c r="J609">
        <v>1</v>
      </c>
      <c r="K609">
        <v>5</v>
      </c>
      <c r="L609">
        <v>2</v>
      </c>
      <c r="M609">
        <v>0</v>
      </c>
      <c r="N609" t="str">
        <f t="shared" si="20"/>
        <v>13-15</v>
      </c>
      <c r="O609" t="str">
        <f t="shared" si="21"/>
        <v>low sleep</v>
      </c>
      <c r="P609" s="1" t="str" cm="1">
        <f t="array" ref="P609">_xlfn.IFS(L609&lt;=3,"low",L609&lt;=6,"medium",L609&gt;=7,"high")</f>
        <v>low</v>
      </c>
    </row>
    <row r="610" spans="1:16" x14ac:dyDescent="0.3">
      <c r="A610">
        <v>19</v>
      </c>
      <c r="B610" t="s">
        <v>13</v>
      </c>
      <c r="C610">
        <v>7.2</v>
      </c>
      <c r="D610" t="s">
        <v>14</v>
      </c>
      <c r="E610">
        <v>5</v>
      </c>
      <c r="F610">
        <v>2.2000000000000002</v>
      </c>
      <c r="G610">
        <v>2.5</v>
      </c>
      <c r="H610">
        <v>0.7</v>
      </c>
      <c r="I610" t="s">
        <v>18</v>
      </c>
      <c r="J610">
        <v>6</v>
      </c>
      <c r="K610">
        <v>9</v>
      </c>
      <c r="L610">
        <v>2</v>
      </c>
      <c r="M610">
        <v>0</v>
      </c>
      <c r="N610" t="str">
        <f t="shared" si="20"/>
        <v>16-19</v>
      </c>
      <c r="O610" t="str">
        <f t="shared" si="21"/>
        <v>low sleep</v>
      </c>
      <c r="P610" s="1" t="str" cm="1">
        <f t="array" ref="P610">_xlfn.IFS(L610&lt;=3,"low",L610&lt;=6,"medium",L610&gt;=7,"high")</f>
        <v>low</v>
      </c>
    </row>
    <row r="611" spans="1:16" x14ac:dyDescent="0.3">
      <c r="A611">
        <v>17</v>
      </c>
      <c r="B611" t="s">
        <v>13</v>
      </c>
      <c r="C611">
        <v>6.4</v>
      </c>
      <c r="D611" t="s">
        <v>17</v>
      </c>
      <c r="E611">
        <v>8.6</v>
      </c>
      <c r="F611">
        <v>2.2999999999999998</v>
      </c>
      <c r="G611">
        <v>2.57</v>
      </c>
      <c r="H611">
        <v>1.3</v>
      </c>
      <c r="I611" t="s">
        <v>15</v>
      </c>
      <c r="J611">
        <v>9</v>
      </c>
      <c r="K611">
        <v>10</v>
      </c>
      <c r="L611">
        <v>5</v>
      </c>
      <c r="M611">
        <v>0</v>
      </c>
      <c r="N611" t="str">
        <f t="shared" si="20"/>
        <v>16-19</v>
      </c>
      <c r="O611" t="str">
        <f t="shared" si="21"/>
        <v>healthy sleep</v>
      </c>
      <c r="P611" s="1" t="str" cm="1">
        <f t="array" ref="P611">_xlfn.IFS(L611&lt;=3,"low",L611&lt;=6,"medium",L611&gt;=7,"high")</f>
        <v>medium</v>
      </c>
    </row>
    <row r="612" spans="1:16" x14ac:dyDescent="0.3">
      <c r="A612">
        <v>15</v>
      </c>
      <c r="B612" t="s">
        <v>13</v>
      </c>
      <c r="C612">
        <v>7.1</v>
      </c>
      <c r="D612" t="s">
        <v>20</v>
      </c>
      <c r="E612">
        <v>6.5</v>
      </c>
      <c r="F612">
        <v>0.7</v>
      </c>
      <c r="G612">
        <v>3.94</v>
      </c>
      <c r="H612">
        <v>0.2</v>
      </c>
      <c r="I612" t="s">
        <v>19</v>
      </c>
      <c r="J612">
        <v>4</v>
      </c>
      <c r="K612">
        <v>7</v>
      </c>
      <c r="L612">
        <v>1</v>
      </c>
      <c r="M612">
        <v>0</v>
      </c>
      <c r="N612" t="str">
        <f t="shared" si="20"/>
        <v>13-15</v>
      </c>
      <c r="O612" t="str">
        <f t="shared" si="21"/>
        <v>healthy sleep</v>
      </c>
      <c r="P612" s="1" t="str" cm="1">
        <f t="array" ref="P612">_xlfn.IFS(L612&lt;=3,"low",L612&lt;=6,"medium",L612&gt;=7,"high")</f>
        <v>low</v>
      </c>
    </row>
    <row r="613" spans="1:16" x14ac:dyDescent="0.3">
      <c r="A613">
        <v>18</v>
      </c>
      <c r="B613" t="s">
        <v>13</v>
      </c>
      <c r="C613">
        <v>1.2</v>
      </c>
      <c r="D613" t="s">
        <v>20</v>
      </c>
      <c r="E613">
        <v>4.0999999999999996</v>
      </c>
      <c r="F613">
        <v>1.1000000000000001</v>
      </c>
      <c r="G613">
        <v>3.04</v>
      </c>
      <c r="H613">
        <v>1.6</v>
      </c>
      <c r="I613" t="s">
        <v>15</v>
      </c>
      <c r="J613">
        <v>1</v>
      </c>
      <c r="K613">
        <v>3</v>
      </c>
      <c r="L613">
        <v>6</v>
      </c>
      <c r="M613">
        <v>0</v>
      </c>
      <c r="N613" t="str">
        <f t="shared" si="20"/>
        <v>16-19</v>
      </c>
      <c r="O613" t="str">
        <f t="shared" si="21"/>
        <v>low sleep</v>
      </c>
      <c r="P613" s="1" t="str" cm="1">
        <f t="array" ref="P613">_xlfn.IFS(L613&lt;=3,"low",L613&lt;=6,"medium",L613&gt;=7,"high")</f>
        <v>medium</v>
      </c>
    </row>
    <row r="614" spans="1:16" x14ac:dyDescent="0.3">
      <c r="A614">
        <v>19</v>
      </c>
      <c r="B614" t="s">
        <v>13</v>
      </c>
      <c r="C614">
        <v>6.6</v>
      </c>
      <c r="D614" t="s">
        <v>17</v>
      </c>
      <c r="E614">
        <v>8.8000000000000007</v>
      </c>
      <c r="F614">
        <v>0.9</v>
      </c>
      <c r="G614">
        <v>3.84</v>
      </c>
      <c r="H614">
        <v>0.3</v>
      </c>
      <c r="I614" t="s">
        <v>18</v>
      </c>
      <c r="J614">
        <v>10</v>
      </c>
      <c r="K614">
        <v>10</v>
      </c>
      <c r="L614">
        <v>6</v>
      </c>
      <c r="M614">
        <v>0</v>
      </c>
      <c r="N614" t="str">
        <f t="shared" si="20"/>
        <v>16-19</v>
      </c>
      <c r="O614" t="str">
        <f t="shared" si="21"/>
        <v>healthy sleep</v>
      </c>
      <c r="P614" s="1" t="str" cm="1">
        <f t="array" ref="P614">_xlfn.IFS(L614&lt;=3,"low",L614&lt;=6,"medium",L614&gt;=7,"high")</f>
        <v>medium</v>
      </c>
    </row>
    <row r="615" spans="1:16" x14ac:dyDescent="0.3">
      <c r="A615">
        <v>19</v>
      </c>
      <c r="B615" t="s">
        <v>16</v>
      </c>
      <c r="C615">
        <v>6.5</v>
      </c>
      <c r="D615" t="s">
        <v>17</v>
      </c>
      <c r="E615">
        <v>6.4</v>
      </c>
      <c r="F615">
        <v>1.1000000000000001</v>
      </c>
      <c r="G615">
        <v>3.71</v>
      </c>
      <c r="H615">
        <v>1.2</v>
      </c>
      <c r="I615" t="s">
        <v>15</v>
      </c>
      <c r="J615">
        <v>8</v>
      </c>
      <c r="K615">
        <v>9</v>
      </c>
      <c r="L615">
        <v>8</v>
      </c>
      <c r="M615">
        <v>0</v>
      </c>
      <c r="N615" t="str">
        <f t="shared" si="20"/>
        <v>16-19</v>
      </c>
      <c r="O615" t="str">
        <f t="shared" si="21"/>
        <v>healthy sleep</v>
      </c>
      <c r="P615" s="1" t="str" cm="1">
        <f t="array" ref="P615">_xlfn.IFS(L615&lt;=3,"low",L615&lt;=6,"medium",L615&gt;=7,"high")</f>
        <v>high</v>
      </c>
    </row>
    <row r="616" spans="1:16" x14ac:dyDescent="0.3">
      <c r="A616">
        <v>16</v>
      </c>
      <c r="B616" t="s">
        <v>13</v>
      </c>
      <c r="C616">
        <v>2</v>
      </c>
      <c r="D616" t="s">
        <v>17</v>
      </c>
      <c r="E616">
        <v>4.4000000000000004</v>
      </c>
      <c r="F616">
        <v>0.7</v>
      </c>
      <c r="G616">
        <v>2.68</v>
      </c>
      <c r="H616">
        <v>0.8</v>
      </c>
      <c r="I616" t="s">
        <v>19</v>
      </c>
      <c r="J616">
        <v>1</v>
      </c>
      <c r="K616">
        <v>4</v>
      </c>
      <c r="L616">
        <v>10</v>
      </c>
      <c r="M616">
        <v>0</v>
      </c>
      <c r="N616" t="str">
        <f t="shared" si="20"/>
        <v>16-19</v>
      </c>
      <c r="O616" t="str">
        <f t="shared" si="21"/>
        <v>low sleep</v>
      </c>
      <c r="P616" s="1" t="str" cm="1">
        <f t="array" ref="P616">_xlfn.IFS(L616&lt;=3,"low",L616&lt;=6,"medium",L616&gt;=7,"high")</f>
        <v>high</v>
      </c>
    </row>
    <row r="617" spans="1:16" x14ac:dyDescent="0.3">
      <c r="A617">
        <v>13</v>
      </c>
      <c r="B617" t="s">
        <v>13</v>
      </c>
      <c r="C617">
        <v>2.5</v>
      </c>
      <c r="D617" t="s">
        <v>14</v>
      </c>
      <c r="E617">
        <v>5.3</v>
      </c>
      <c r="F617">
        <v>0.8</v>
      </c>
      <c r="G617">
        <v>3.12</v>
      </c>
      <c r="H617">
        <v>0.4</v>
      </c>
      <c r="I617" t="s">
        <v>18</v>
      </c>
      <c r="J617">
        <v>3</v>
      </c>
      <c r="K617">
        <v>5</v>
      </c>
      <c r="L617">
        <v>3</v>
      </c>
      <c r="M617">
        <v>0</v>
      </c>
      <c r="N617" t="str">
        <f t="shared" si="20"/>
        <v>13-15</v>
      </c>
      <c r="O617" t="str">
        <f t="shared" si="21"/>
        <v>low sleep</v>
      </c>
      <c r="P617" s="1" t="str" cm="1">
        <f t="array" ref="P617">_xlfn.IFS(L617&lt;=3,"low",L617&lt;=6,"medium",L617&gt;=7,"high")</f>
        <v>low</v>
      </c>
    </row>
    <row r="618" spans="1:16" x14ac:dyDescent="0.3">
      <c r="A618">
        <v>19</v>
      </c>
      <c r="B618" t="s">
        <v>13</v>
      </c>
      <c r="C618">
        <v>2.1</v>
      </c>
      <c r="D618" t="s">
        <v>14</v>
      </c>
      <c r="E618">
        <v>8.8000000000000007</v>
      </c>
      <c r="F618">
        <v>2.2999999999999998</v>
      </c>
      <c r="G618">
        <v>2.2200000000000002</v>
      </c>
      <c r="H618">
        <v>1.2</v>
      </c>
      <c r="I618" t="s">
        <v>18</v>
      </c>
      <c r="J618">
        <v>5</v>
      </c>
      <c r="K618">
        <v>5</v>
      </c>
      <c r="L618">
        <v>3</v>
      </c>
      <c r="M618">
        <v>0</v>
      </c>
      <c r="N618" t="str">
        <f t="shared" si="20"/>
        <v>16-19</v>
      </c>
      <c r="O618" t="str">
        <f t="shared" si="21"/>
        <v>healthy sleep</v>
      </c>
      <c r="P618" s="1" t="str" cm="1">
        <f t="array" ref="P618">_xlfn.IFS(L618&lt;=3,"low",L618&lt;=6,"medium",L618&gt;=7,"high")</f>
        <v>low</v>
      </c>
    </row>
    <row r="619" spans="1:16" x14ac:dyDescent="0.3">
      <c r="A619">
        <v>16</v>
      </c>
      <c r="B619" t="s">
        <v>16</v>
      </c>
      <c r="C619">
        <v>7.1</v>
      </c>
      <c r="D619" t="s">
        <v>17</v>
      </c>
      <c r="E619">
        <v>8.8000000000000007</v>
      </c>
      <c r="F619">
        <v>1.8</v>
      </c>
      <c r="G619">
        <v>3.99</v>
      </c>
      <c r="H619">
        <v>0.8</v>
      </c>
      <c r="I619" t="s">
        <v>15</v>
      </c>
      <c r="J619">
        <v>6</v>
      </c>
      <c r="K619">
        <v>10</v>
      </c>
      <c r="L619">
        <v>8</v>
      </c>
      <c r="M619">
        <v>0</v>
      </c>
      <c r="N619" t="str">
        <f t="shared" si="20"/>
        <v>16-19</v>
      </c>
      <c r="O619" t="str">
        <f t="shared" si="21"/>
        <v>healthy sleep</v>
      </c>
      <c r="P619" s="1" t="str" cm="1">
        <f t="array" ref="P619">_xlfn.IFS(L619&lt;=3,"low",L619&lt;=6,"medium",L619&gt;=7,"high")</f>
        <v>high</v>
      </c>
    </row>
    <row r="620" spans="1:16" x14ac:dyDescent="0.3">
      <c r="A620">
        <v>19</v>
      </c>
      <c r="B620" t="s">
        <v>16</v>
      </c>
      <c r="C620">
        <v>6.8</v>
      </c>
      <c r="D620" t="s">
        <v>20</v>
      </c>
      <c r="E620">
        <v>4.4000000000000004</v>
      </c>
      <c r="F620">
        <v>2.1</v>
      </c>
      <c r="G620">
        <v>3.69</v>
      </c>
      <c r="H620">
        <v>0.4</v>
      </c>
      <c r="I620" t="s">
        <v>18</v>
      </c>
      <c r="J620">
        <v>3</v>
      </c>
      <c r="K620">
        <v>2</v>
      </c>
      <c r="L620">
        <v>8</v>
      </c>
      <c r="M620">
        <v>0</v>
      </c>
      <c r="N620" t="str">
        <f t="shared" si="20"/>
        <v>16-19</v>
      </c>
      <c r="O620" t="str">
        <f t="shared" si="21"/>
        <v>low sleep</v>
      </c>
      <c r="P620" s="1" t="str" cm="1">
        <f t="array" ref="P620">_xlfn.IFS(L620&lt;=3,"low",L620&lt;=6,"medium",L620&gt;=7,"high")</f>
        <v>high</v>
      </c>
    </row>
    <row r="621" spans="1:16" x14ac:dyDescent="0.3">
      <c r="A621">
        <v>13</v>
      </c>
      <c r="B621" t="s">
        <v>13</v>
      </c>
      <c r="C621">
        <v>5.2</v>
      </c>
      <c r="D621" t="s">
        <v>20</v>
      </c>
      <c r="E621">
        <v>5.4</v>
      </c>
      <c r="F621">
        <v>0.8</v>
      </c>
      <c r="G621">
        <v>2.39</v>
      </c>
      <c r="H621">
        <v>2</v>
      </c>
      <c r="I621" t="s">
        <v>15</v>
      </c>
      <c r="J621">
        <v>8</v>
      </c>
      <c r="K621">
        <v>3</v>
      </c>
      <c r="L621">
        <v>10</v>
      </c>
      <c r="M621">
        <v>0</v>
      </c>
      <c r="N621" t="str">
        <f t="shared" si="20"/>
        <v>13-15</v>
      </c>
      <c r="O621" t="str">
        <f t="shared" si="21"/>
        <v>low sleep</v>
      </c>
      <c r="P621" s="1" t="str" cm="1">
        <f t="array" ref="P621">_xlfn.IFS(L621&lt;=3,"low",L621&lt;=6,"medium",L621&gt;=7,"high")</f>
        <v>high</v>
      </c>
    </row>
    <row r="622" spans="1:16" x14ac:dyDescent="0.3">
      <c r="A622">
        <v>19</v>
      </c>
      <c r="B622" t="s">
        <v>13</v>
      </c>
      <c r="C622">
        <v>7</v>
      </c>
      <c r="D622" t="s">
        <v>17</v>
      </c>
      <c r="E622">
        <v>4.5</v>
      </c>
      <c r="F622">
        <v>2.2999999999999998</v>
      </c>
      <c r="G622">
        <v>3.26</v>
      </c>
      <c r="H622">
        <v>1.7</v>
      </c>
      <c r="I622" t="s">
        <v>18</v>
      </c>
      <c r="J622">
        <v>9</v>
      </c>
      <c r="K622">
        <v>10</v>
      </c>
      <c r="L622">
        <v>3</v>
      </c>
      <c r="M622">
        <v>1</v>
      </c>
      <c r="N622" t="str">
        <f t="shared" si="20"/>
        <v>16-19</v>
      </c>
      <c r="O622" t="str">
        <f t="shared" si="21"/>
        <v>low sleep</v>
      </c>
      <c r="P622" s="1" t="str" cm="1">
        <f t="array" ref="P622">_xlfn.IFS(L622&lt;=3,"low",L622&lt;=6,"medium",L622&gt;=7,"high")</f>
        <v>low</v>
      </c>
    </row>
    <row r="623" spans="1:16" x14ac:dyDescent="0.3">
      <c r="A623">
        <v>19</v>
      </c>
      <c r="B623" t="s">
        <v>13</v>
      </c>
      <c r="C623">
        <v>6.8</v>
      </c>
      <c r="D623" t="s">
        <v>17</v>
      </c>
      <c r="E623">
        <v>8.4</v>
      </c>
      <c r="F623">
        <v>2</v>
      </c>
      <c r="G623">
        <v>2.6</v>
      </c>
      <c r="H623">
        <v>1.5</v>
      </c>
      <c r="I623" t="s">
        <v>15</v>
      </c>
      <c r="J623">
        <v>7</v>
      </c>
      <c r="K623">
        <v>2</v>
      </c>
      <c r="L623">
        <v>2</v>
      </c>
      <c r="M623">
        <v>0</v>
      </c>
      <c r="N623" t="str">
        <f t="shared" si="20"/>
        <v>16-19</v>
      </c>
      <c r="O623" t="str">
        <f t="shared" si="21"/>
        <v>healthy sleep</v>
      </c>
      <c r="P623" s="1" t="str" cm="1">
        <f t="array" ref="P623">_xlfn.IFS(L623&lt;=3,"low",L623&lt;=6,"medium",L623&gt;=7,"high")</f>
        <v>low</v>
      </c>
    </row>
    <row r="624" spans="1:16" x14ac:dyDescent="0.3">
      <c r="A624">
        <v>16</v>
      </c>
      <c r="B624" t="s">
        <v>16</v>
      </c>
      <c r="C624">
        <v>3.8</v>
      </c>
      <c r="D624" t="s">
        <v>17</v>
      </c>
      <c r="E624">
        <v>5.3</v>
      </c>
      <c r="F624">
        <v>1.5</v>
      </c>
      <c r="G624">
        <v>2.04</v>
      </c>
      <c r="H624">
        <v>1.5</v>
      </c>
      <c r="I624" t="s">
        <v>18</v>
      </c>
      <c r="J624">
        <v>5</v>
      </c>
      <c r="K624">
        <v>10</v>
      </c>
      <c r="L624">
        <v>5</v>
      </c>
      <c r="M624">
        <v>0</v>
      </c>
      <c r="N624" t="str">
        <f t="shared" si="20"/>
        <v>16-19</v>
      </c>
      <c r="O624" t="str">
        <f t="shared" si="21"/>
        <v>low sleep</v>
      </c>
      <c r="P624" s="1" t="str" cm="1">
        <f t="array" ref="P624">_xlfn.IFS(L624&lt;=3,"low",L624&lt;=6,"medium",L624&gt;=7,"high")</f>
        <v>medium</v>
      </c>
    </row>
    <row r="625" spans="1:16" x14ac:dyDescent="0.3">
      <c r="A625">
        <v>14</v>
      </c>
      <c r="B625" t="s">
        <v>13</v>
      </c>
      <c r="C625">
        <v>2.9</v>
      </c>
      <c r="D625" t="s">
        <v>14</v>
      </c>
      <c r="E625">
        <v>7.2</v>
      </c>
      <c r="F625">
        <v>2</v>
      </c>
      <c r="G625">
        <v>3.96</v>
      </c>
      <c r="H625">
        <v>1.5</v>
      </c>
      <c r="I625" t="s">
        <v>19</v>
      </c>
      <c r="J625">
        <v>9</v>
      </c>
      <c r="K625">
        <v>10</v>
      </c>
      <c r="L625">
        <v>4</v>
      </c>
      <c r="M625">
        <v>0</v>
      </c>
      <c r="N625" t="str">
        <f t="shared" si="20"/>
        <v>13-15</v>
      </c>
      <c r="O625" t="str">
        <f t="shared" si="21"/>
        <v>healthy sleep</v>
      </c>
      <c r="P625" s="1" t="str" cm="1">
        <f t="array" ref="P625">_xlfn.IFS(L625&lt;=3,"low",L625&lt;=6,"medium",L625&gt;=7,"high")</f>
        <v>medium</v>
      </c>
    </row>
    <row r="626" spans="1:16" x14ac:dyDescent="0.3">
      <c r="A626">
        <v>16</v>
      </c>
      <c r="B626" t="s">
        <v>13</v>
      </c>
      <c r="C626">
        <v>3.6</v>
      </c>
      <c r="D626" t="s">
        <v>14</v>
      </c>
      <c r="E626">
        <v>6.6</v>
      </c>
      <c r="F626">
        <v>0.7</v>
      </c>
      <c r="G626">
        <v>2.25</v>
      </c>
      <c r="H626">
        <v>1.9</v>
      </c>
      <c r="I626" t="s">
        <v>15</v>
      </c>
      <c r="J626">
        <v>4</v>
      </c>
      <c r="K626">
        <v>1</v>
      </c>
      <c r="L626">
        <v>8</v>
      </c>
      <c r="M626">
        <v>0</v>
      </c>
      <c r="N626" t="str">
        <f t="shared" si="20"/>
        <v>16-19</v>
      </c>
      <c r="O626" t="str">
        <f t="shared" si="21"/>
        <v>healthy sleep</v>
      </c>
      <c r="P626" s="1" t="str" cm="1">
        <f t="array" ref="P626">_xlfn.IFS(L626&lt;=3,"low",L626&lt;=6,"medium",L626&gt;=7,"high")</f>
        <v>high</v>
      </c>
    </row>
    <row r="627" spans="1:16" x14ac:dyDescent="0.3">
      <c r="A627">
        <v>13</v>
      </c>
      <c r="B627" t="s">
        <v>13</v>
      </c>
      <c r="C627">
        <v>4</v>
      </c>
      <c r="D627" t="s">
        <v>20</v>
      </c>
      <c r="E627">
        <v>8.3000000000000007</v>
      </c>
      <c r="F627">
        <v>0.6</v>
      </c>
      <c r="G627">
        <v>3.71</v>
      </c>
      <c r="H627">
        <v>0.1</v>
      </c>
      <c r="I627" t="s">
        <v>15</v>
      </c>
      <c r="J627">
        <v>2</v>
      </c>
      <c r="K627">
        <v>6</v>
      </c>
      <c r="L627">
        <v>1</v>
      </c>
      <c r="M627">
        <v>0</v>
      </c>
      <c r="N627" t="str">
        <f t="shared" si="20"/>
        <v>13-15</v>
      </c>
      <c r="O627" t="str">
        <f t="shared" si="21"/>
        <v>healthy sleep</v>
      </c>
      <c r="P627" s="1" t="str" cm="1">
        <f t="array" ref="P627">_xlfn.IFS(L627&lt;=3,"low",L627&lt;=6,"medium",L627&gt;=7,"high")</f>
        <v>low</v>
      </c>
    </row>
    <row r="628" spans="1:16" x14ac:dyDescent="0.3">
      <c r="A628">
        <v>17</v>
      </c>
      <c r="B628" t="s">
        <v>16</v>
      </c>
      <c r="C628">
        <v>7.5</v>
      </c>
      <c r="D628" t="s">
        <v>20</v>
      </c>
      <c r="E628">
        <v>4.7</v>
      </c>
      <c r="F628">
        <v>2.1</v>
      </c>
      <c r="G628">
        <v>2.5499999999999998</v>
      </c>
      <c r="H628">
        <v>0.1</v>
      </c>
      <c r="I628" t="s">
        <v>18</v>
      </c>
      <c r="J628">
        <v>3</v>
      </c>
      <c r="K628">
        <v>9</v>
      </c>
      <c r="L628">
        <v>1</v>
      </c>
      <c r="M628">
        <v>0</v>
      </c>
      <c r="N628" t="str">
        <f t="shared" si="20"/>
        <v>16-19</v>
      </c>
      <c r="O628" t="str">
        <f t="shared" si="21"/>
        <v>low sleep</v>
      </c>
      <c r="P628" s="1" t="str" cm="1">
        <f t="array" ref="P628">_xlfn.IFS(L628&lt;=3,"low",L628&lt;=6,"medium",L628&gt;=7,"high")</f>
        <v>low</v>
      </c>
    </row>
    <row r="629" spans="1:16" x14ac:dyDescent="0.3">
      <c r="A629">
        <v>16</v>
      </c>
      <c r="B629" t="s">
        <v>16</v>
      </c>
      <c r="C629">
        <v>6</v>
      </c>
      <c r="D629" t="s">
        <v>20</v>
      </c>
      <c r="E629">
        <v>8.6999999999999993</v>
      </c>
      <c r="F629">
        <v>1.5</v>
      </c>
      <c r="G629">
        <v>3.76</v>
      </c>
      <c r="H629">
        <v>0.1</v>
      </c>
      <c r="I629" t="s">
        <v>19</v>
      </c>
      <c r="J629">
        <v>2</v>
      </c>
      <c r="K629">
        <v>5</v>
      </c>
      <c r="L629">
        <v>4</v>
      </c>
      <c r="M629">
        <v>0</v>
      </c>
      <c r="N629" t="str">
        <f t="shared" si="20"/>
        <v>16-19</v>
      </c>
      <c r="O629" t="str">
        <f t="shared" si="21"/>
        <v>healthy sleep</v>
      </c>
      <c r="P629" s="1" t="str" cm="1">
        <f t="array" ref="P629">_xlfn.IFS(L629&lt;=3,"low",L629&lt;=6,"medium",L629&gt;=7,"high")</f>
        <v>medium</v>
      </c>
    </row>
    <row r="630" spans="1:16" x14ac:dyDescent="0.3">
      <c r="A630">
        <v>16</v>
      </c>
      <c r="B630" t="s">
        <v>16</v>
      </c>
      <c r="C630">
        <v>3.6</v>
      </c>
      <c r="D630" t="s">
        <v>14</v>
      </c>
      <c r="E630">
        <v>6.1</v>
      </c>
      <c r="F630">
        <v>2.8</v>
      </c>
      <c r="G630">
        <v>3.8</v>
      </c>
      <c r="H630">
        <v>0.1</v>
      </c>
      <c r="I630" t="s">
        <v>18</v>
      </c>
      <c r="J630">
        <v>2</v>
      </c>
      <c r="K630">
        <v>1</v>
      </c>
      <c r="L630">
        <v>7</v>
      </c>
      <c r="M630">
        <v>0</v>
      </c>
      <c r="N630" t="str">
        <f t="shared" si="20"/>
        <v>16-19</v>
      </c>
      <c r="O630" t="str">
        <f t="shared" si="21"/>
        <v>healthy sleep</v>
      </c>
      <c r="P630" s="1" t="str" cm="1">
        <f t="array" ref="P630">_xlfn.IFS(L630&lt;=3,"low",L630&lt;=6,"medium",L630&gt;=7,"high")</f>
        <v>high</v>
      </c>
    </row>
    <row r="631" spans="1:16" x14ac:dyDescent="0.3">
      <c r="A631">
        <v>19</v>
      </c>
      <c r="B631" t="s">
        <v>13</v>
      </c>
      <c r="C631">
        <v>4.7</v>
      </c>
      <c r="D631" t="s">
        <v>20</v>
      </c>
      <c r="E631">
        <v>8.1999999999999993</v>
      </c>
      <c r="F631">
        <v>1.2</v>
      </c>
      <c r="G631">
        <v>2.83</v>
      </c>
      <c r="H631">
        <v>1.2</v>
      </c>
      <c r="I631" t="s">
        <v>18</v>
      </c>
      <c r="J631">
        <v>5</v>
      </c>
      <c r="K631">
        <v>9</v>
      </c>
      <c r="L631">
        <v>9</v>
      </c>
      <c r="M631">
        <v>0</v>
      </c>
      <c r="N631" t="str">
        <f t="shared" si="20"/>
        <v>16-19</v>
      </c>
      <c r="O631" t="str">
        <f t="shared" si="21"/>
        <v>healthy sleep</v>
      </c>
      <c r="P631" s="1" t="str" cm="1">
        <f t="array" ref="P631">_xlfn.IFS(L631&lt;=3,"low",L631&lt;=6,"medium",L631&gt;=7,"high")</f>
        <v>high</v>
      </c>
    </row>
    <row r="632" spans="1:16" x14ac:dyDescent="0.3">
      <c r="A632">
        <v>13</v>
      </c>
      <c r="B632" t="s">
        <v>13</v>
      </c>
      <c r="C632">
        <v>2</v>
      </c>
      <c r="D632" t="s">
        <v>14</v>
      </c>
      <c r="E632">
        <v>6.6</v>
      </c>
      <c r="F632">
        <v>0.9</v>
      </c>
      <c r="G632">
        <v>3.34</v>
      </c>
      <c r="H632">
        <v>1.5</v>
      </c>
      <c r="I632" t="s">
        <v>18</v>
      </c>
      <c r="J632">
        <v>5</v>
      </c>
      <c r="K632">
        <v>9</v>
      </c>
      <c r="L632">
        <v>4</v>
      </c>
      <c r="M632">
        <v>0</v>
      </c>
      <c r="N632" t="str">
        <f t="shared" si="20"/>
        <v>13-15</v>
      </c>
      <c r="O632" t="str">
        <f t="shared" si="21"/>
        <v>healthy sleep</v>
      </c>
      <c r="P632" s="1" t="str" cm="1">
        <f t="array" ref="P632">_xlfn.IFS(L632&lt;=3,"low",L632&lt;=6,"medium",L632&gt;=7,"high")</f>
        <v>medium</v>
      </c>
    </row>
    <row r="633" spans="1:16" x14ac:dyDescent="0.3">
      <c r="A633">
        <v>13</v>
      </c>
      <c r="B633" t="s">
        <v>13</v>
      </c>
      <c r="C633">
        <v>7.8</v>
      </c>
      <c r="D633" t="s">
        <v>17</v>
      </c>
      <c r="E633">
        <v>7.2</v>
      </c>
      <c r="F633">
        <v>1.3</v>
      </c>
      <c r="G633">
        <v>3.31</v>
      </c>
      <c r="H633">
        <v>0.8</v>
      </c>
      <c r="I633" t="s">
        <v>18</v>
      </c>
      <c r="J633">
        <v>9</v>
      </c>
      <c r="K633">
        <v>2</v>
      </c>
      <c r="L633">
        <v>4</v>
      </c>
      <c r="M633">
        <v>0</v>
      </c>
      <c r="N633" t="str">
        <f t="shared" si="20"/>
        <v>13-15</v>
      </c>
      <c r="O633" t="str">
        <f t="shared" si="21"/>
        <v>healthy sleep</v>
      </c>
      <c r="P633" s="1" t="str" cm="1">
        <f t="array" ref="P633">_xlfn.IFS(L633&lt;=3,"low",L633&lt;=6,"medium",L633&gt;=7,"high")</f>
        <v>medium</v>
      </c>
    </row>
    <row r="634" spans="1:16" x14ac:dyDescent="0.3">
      <c r="A634">
        <v>19</v>
      </c>
      <c r="B634" t="s">
        <v>13</v>
      </c>
      <c r="C634">
        <v>5.9</v>
      </c>
      <c r="D634" t="s">
        <v>17</v>
      </c>
      <c r="E634">
        <v>7.4</v>
      </c>
      <c r="F634">
        <v>0.7</v>
      </c>
      <c r="G634">
        <v>3.27</v>
      </c>
      <c r="H634">
        <v>1.7</v>
      </c>
      <c r="I634" t="s">
        <v>18</v>
      </c>
      <c r="J634">
        <v>1</v>
      </c>
      <c r="K634">
        <v>9</v>
      </c>
      <c r="L634">
        <v>9</v>
      </c>
      <c r="M634">
        <v>0</v>
      </c>
      <c r="N634" t="str">
        <f t="shared" si="20"/>
        <v>16-19</v>
      </c>
      <c r="O634" t="str">
        <f t="shared" si="21"/>
        <v>healthy sleep</v>
      </c>
      <c r="P634" s="1" t="str" cm="1">
        <f t="array" ref="P634">_xlfn.IFS(L634&lt;=3,"low",L634&lt;=6,"medium",L634&gt;=7,"high")</f>
        <v>high</v>
      </c>
    </row>
    <row r="635" spans="1:16" x14ac:dyDescent="0.3">
      <c r="A635">
        <v>19</v>
      </c>
      <c r="B635" t="s">
        <v>13</v>
      </c>
      <c r="C635">
        <v>7.7</v>
      </c>
      <c r="D635" t="s">
        <v>17</v>
      </c>
      <c r="E635">
        <v>8.4</v>
      </c>
      <c r="F635">
        <v>2.8</v>
      </c>
      <c r="G635">
        <v>3.43</v>
      </c>
      <c r="H635">
        <v>0.2</v>
      </c>
      <c r="I635" t="s">
        <v>19</v>
      </c>
      <c r="J635">
        <v>7</v>
      </c>
      <c r="K635">
        <v>6</v>
      </c>
      <c r="L635">
        <v>6</v>
      </c>
      <c r="M635">
        <v>0</v>
      </c>
      <c r="N635" t="str">
        <f t="shared" si="20"/>
        <v>16-19</v>
      </c>
      <c r="O635" t="str">
        <f t="shared" si="21"/>
        <v>healthy sleep</v>
      </c>
      <c r="P635" s="1" t="str" cm="1">
        <f t="array" ref="P635">_xlfn.IFS(L635&lt;=3,"low",L635&lt;=6,"medium",L635&gt;=7,"high")</f>
        <v>medium</v>
      </c>
    </row>
    <row r="636" spans="1:16" x14ac:dyDescent="0.3">
      <c r="A636">
        <v>13</v>
      </c>
      <c r="B636" t="s">
        <v>13</v>
      </c>
      <c r="C636">
        <v>2.2000000000000002</v>
      </c>
      <c r="D636" t="s">
        <v>17</v>
      </c>
      <c r="E636">
        <v>5.4</v>
      </c>
      <c r="F636">
        <v>1.2</v>
      </c>
      <c r="G636">
        <v>2.33</v>
      </c>
      <c r="H636">
        <v>0.8</v>
      </c>
      <c r="I636" t="s">
        <v>19</v>
      </c>
      <c r="J636">
        <v>10</v>
      </c>
      <c r="K636">
        <v>3</v>
      </c>
      <c r="L636">
        <v>4</v>
      </c>
      <c r="M636">
        <v>0</v>
      </c>
      <c r="N636" t="str">
        <f t="shared" si="20"/>
        <v>13-15</v>
      </c>
      <c r="O636" t="str">
        <f t="shared" si="21"/>
        <v>low sleep</v>
      </c>
      <c r="P636" s="1" t="str" cm="1">
        <f t="array" ref="P636">_xlfn.IFS(L636&lt;=3,"low",L636&lt;=6,"medium",L636&gt;=7,"high")</f>
        <v>medium</v>
      </c>
    </row>
    <row r="637" spans="1:16" x14ac:dyDescent="0.3">
      <c r="A637">
        <v>18</v>
      </c>
      <c r="B637" t="s">
        <v>16</v>
      </c>
      <c r="C637">
        <v>7.7</v>
      </c>
      <c r="D637" t="s">
        <v>17</v>
      </c>
      <c r="E637">
        <v>7.6</v>
      </c>
      <c r="F637">
        <v>2.9</v>
      </c>
      <c r="G637">
        <v>3.81</v>
      </c>
      <c r="H637">
        <v>0.5</v>
      </c>
      <c r="I637" t="s">
        <v>18</v>
      </c>
      <c r="J637">
        <v>10</v>
      </c>
      <c r="K637">
        <v>3</v>
      </c>
      <c r="L637">
        <v>6</v>
      </c>
      <c r="M637">
        <v>0</v>
      </c>
      <c r="N637" t="str">
        <f t="shared" si="20"/>
        <v>16-19</v>
      </c>
      <c r="O637" t="str">
        <f t="shared" si="21"/>
        <v>healthy sleep</v>
      </c>
      <c r="P637" s="1" t="str" cm="1">
        <f t="array" ref="P637">_xlfn.IFS(L637&lt;=3,"low",L637&lt;=6,"medium",L637&gt;=7,"high")</f>
        <v>medium</v>
      </c>
    </row>
    <row r="638" spans="1:16" x14ac:dyDescent="0.3">
      <c r="A638">
        <v>18</v>
      </c>
      <c r="B638" t="s">
        <v>13</v>
      </c>
      <c r="C638">
        <v>3.2</v>
      </c>
      <c r="D638" t="s">
        <v>14</v>
      </c>
      <c r="E638">
        <v>6</v>
      </c>
      <c r="F638">
        <v>1.5</v>
      </c>
      <c r="G638">
        <v>3.36</v>
      </c>
      <c r="H638">
        <v>1.5</v>
      </c>
      <c r="I638" t="s">
        <v>18</v>
      </c>
      <c r="J638">
        <v>9</v>
      </c>
      <c r="K638">
        <v>7</v>
      </c>
      <c r="L638">
        <v>10</v>
      </c>
      <c r="M638">
        <v>0</v>
      </c>
      <c r="N638" t="str">
        <f t="shared" si="20"/>
        <v>16-19</v>
      </c>
      <c r="O638" t="str">
        <f t="shared" si="21"/>
        <v>low sleep</v>
      </c>
      <c r="P638" s="1" t="str" cm="1">
        <f t="array" ref="P638">_xlfn.IFS(L638&lt;=3,"low",L638&lt;=6,"medium",L638&gt;=7,"high")</f>
        <v>high</v>
      </c>
    </row>
    <row r="639" spans="1:16" x14ac:dyDescent="0.3">
      <c r="A639">
        <v>16</v>
      </c>
      <c r="B639" t="s">
        <v>13</v>
      </c>
      <c r="C639">
        <v>2</v>
      </c>
      <c r="D639" t="s">
        <v>17</v>
      </c>
      <c r="E639">
        <v>7.8</v>
      </c>
      <c r="F639">
        <v>0.5</v>
      </c>
      <c r="G639">
        <v>2.81</v>
      </c>
      <c r="H639">
        <v>1.4</v>
      </c>
      <c r="I639" t="s">
        <v>18</v>
      </c>
      <c r="J639">
        <v>10</v>
      </c>
      <c r="K639">
        <v>2</v>
      </c>
      <c r="L639">
        <v>4</v>
      </c>
      <c r="M639">
        <v>0</v>
      </c>
      <c r="N639" t="str">
        <f t="shared" si="20"/>
        <v>16-19</v>
      </c>
      <c r="O639" t="str">
        <f t="shared" si="21"/>
        <v>healthy sleep</v>
      </c>
      <c r="P639" s="1" t="str" cm="1">
        <f t="array" ref="P639">_xlfn.IFS(L639&lt;=3,"low",L639&lt;=6,"medium",L639&gt;=7,"high")</f>
        <v>medium</v>
      </c>
    </row>
    <row r="640" spans="1:16" x14ac:dyDescent="0.3">
      <c r="A640">
        <v>15</v>
      </c>
      <c r="B640" t="s">
        <v>16</v>
      </c>
      <c r="C640">
        <v>6.2</v>
      </c>
      <c r="D640" t="s">
        <v>20</v>
      </c>
      <c r="E640">
        <v>5.2</v>
      </c>
      <c r="F640">
        <v>1</v>
      </c>
      <c r="G640">
        <v>3.94</v>
      </c>
      <c r="H640">
        <v>1.4</v>
      </c>
      <c r="I640" t="s">
        <v>15</v>
      </c>
      <c r="J640">
        <v>5</v>
      </c>
      <c r="K640">
        <v>2</v>
      </c>
      <c r="L640">
        <v>7</v>
      </c>
      <c r="M640">
        <v>0</v>
      </c>
      <c r="N640" t="str">
        <f t="shared" si="20"/>
        <v>13-15</v>
      </c>
      <c r="O640" t="str">
        <f t="shared" si="21"/>
        <v>low sleep</v>
      </c>
      <c r="P640" s="1" t="str" cm="1">
        <f t="array" ref="P640">_xlfn.IFS(L640&lt;=3,"low",L640&lt;=6,"medium",L640&gt;=7,"high")</f>
        <v>high</v>
      </c>
    </row>
    <row r="641" spans="1:16" x14ac:dyDescent="0.3">
      <c r="A641">
        <v>19</v>
      </c>
      <c r="B641" t="s">
        <v>16</v>
      </c>
      <c r="C641">
        <v>2.4</v>
      </c>
      <c r="D641" t="s">
        <v>14</v>
      </c>
      <c r="E641">
        <v>8.6999999999999993</v>
      </c>
      <c r="F641">
        <v>1.6</v>
      </c>
      <c r="G641">
        <v>2.4</v>
      </c>
      <c r="H641">
        <v>0.1</v>
      </c>
      <c r="I641" t="s">
        <v>19</v>
      </c>
      <c r="J641">
        <v>2</v>
      </c>
      <c r="K641">
        <v>9</v>
      </c>
      <c r="L641">
        <v>7</v>
      </c>
      <c r="M641">
        <v>0</v>
      </c>
      <c r="N641" t="str">
        <f t="shared" si="20"/>
        <v>16-19</v>
      </c>
      <c r="O641" t="str">
        <f t="shared" si="21"/>
        <v>healthy sleep</v>
      </c>
      <c r="P641" s="1" t="str" cm="1">
        <f t="array" ref="P641">_xlfn.IFS(L641&lt;=3,"low",L641&lt;=6,"medium",L641&gt;=7,"high")</f>
        <v>high</v>
      </c>
    </row>
    <row r="642" spans="1:16" x14ac:dyDescent="0.3">
      <c r="A642">
        <v>15</v>
      </c>
      <c r="B642" t="s">
        <v>13</v>
      </c>
      <c r="C642">
        <v>3.4</v>
      </c>
      <c r="D642" t="s">
        <v>20</v>
      </c>
      <c r="E642">
        <v>8</v>
      </c>
      <c r="F642">
        <v>1</v>
      </c>
      <c r="G642">
        <v>2.31</v>
      </c>
      <c r="H642">
        <v>1</v>
      </c>
      <c r="I642" t="s">
        <v>18</v>
      </c>
      <c r="J642">
        <v>4</v>
      </c>
      <c r="K642">
        <v>7</v>
      </c>
      <c r="L642">
        <v>6</v>
      </c>
      <c r="M642">
        <v>0</v>
      </c>
      <c r="N642" t="str">
        <f t="shared" si="20"/>
        <v>13-15</v>
      </c>
      <c r="O642" t="str">
        <f t="shared" si="21"/>
        <v>healthy sleep</v>
      </c>
      <c r="P642" s="1" t="str" cm="1">
        <f t="array" ref="P642">_xlfn.IFS(L642&lt;=3,"low",L642&lt;=6,"medium",L642&gt;=7,"high")</f>
        <v>medium</v>
      </c>
    </row>
    <row r="643" spans="1:16" x14ac:dyDescent="0.3">
      <c r="A643">
        <v>19</v>
      </c>
      <c r="B643" t="s">
        <v>13</v>
      </c>
      <c r="C643">
        <v>6</v>
      </c>
      <c r="D643" t="s">
        <v>14</v>
      </c>
      <c r="E643">
        <v>4.2</v>
      </c>
      <c r="F643">
        <v>0.9</v>
      </c>
      <c r="G643">
        <v>2.41</v>
      </c>
      <c r="H643">
        <v>0.8</v>
      </c>
      <c r="I643" t="s">
        <v>19</v>
      </c>
      <c r="J643">
        <v>7</v>
      </c>
      <c r="K643">
        <v>9</v>
      </c>
      <c r="L643">
        <v>9</v>
      </c>
      <c r="M643">
        <v>1</v>
      </c>
      <c r="N643" t="str">
        <f t="shared" ref="N643:N706" si="22">IF(A643&lt;=15,"13-15","16-19")</f>
        <v>16-19</v>
      </c>
      <c r="O643" t="str">
        <f t="shared" ref="O643:O706" si="23">IF(E643&lt;=6,"low sleep","healthy sleep")</f>
        <v>low sleep</v>
      </c>
      <c r="P643" s="1" t="str" cm="1">
        <f t="array" ref="P643">_xlfn.IFS(L643&lt;=3,"low",L643&lt;=6,"medium",L643&gt;=7,"high")</f>
        <v>high</v>
      </c>
    </row>
    <row r="644" spans="1:16" x14ac:dyDescent="0.3">
      <c r="A644">
        <v>16</v>
      </c>
      <c r="B644" t="s">
        <v>16</v>
      </c>
      <c r="C644">
        <v>5.3</v>
      </c>
      <c r="D644" t="s">
        <v>20</v>
      </c>
      <c r="E644">
        <v>5.6</v>
      </c>
      <c r="F644">
        <v>2.5</v>
      </c>
      <c r="G644">
        <v>2.73</v>
      </c>
      <c r="H644">
        <v>1.3</v>
      </c>
      <c r="I644" t="s">
        <v>19</v>
      </c>
      <c r="J644">
        <v>7</v>
      </c>
      <c r="K644">
        <v>10</v>
      </c>
      <c r="L644">
        <v>4</v>
      </c>
      <c r="M644">
        <v>1</v>
      </c>
      <c r="N644" t="str">
        <f t="shared" si="22"/>
        <v>16-19</v>
      </c>
      <c r="O644" t="str">
        <f t="shared" si="23"/>
        <v>low sleep</v>
      </c>
      <c r="P644" s="1" t="str" cm="1">
        <f t="array" ref="P644">_xlfn.IFS(L644&lt;=3,"low",L644&lt;=6,"medium",L644&gt;=7,"high")</f>
        <v>medium</v>
      </c>
    </row>
    <row r="645" spans="1:16" x14ac:dyDescent="0.3">
      <c r="A645">
        <v>17</v>
      </c>
      <c r="B645" t="s">
        <v>16</v>
      </c>
      <c r="C645">
        <v>5.5</v>
      </c>
      <c r="D645" t="s">
        <v>14</v>
      </c>
      <c r="E645">
        <v>6.3</v>
      </c>
      <c r="F645">
        <v>0.8</v>
      </c>
      <c r="G645">
        <v>2.59</v>
      </c>
      <c r="H645">
        <v>1.6</v>
      </c>
      <c r="I645" t="s">
        <v>18</v>
      </c>
      <c r="J645">
        <v>6</v>
      </c>
      <c r="K645">
        <v>8</v>
      </c>
      <c r="L645">
        <v>7</v>
      </c>
      <c r="M645">
        <v>0</v>
      </c>
      <c r="N645" t="str">
        <f t="shared" si="22"/>
        <v>16-19</v>
      </c>
      <c r="O645" t="str">
        <f t="shared" si="23"/>
        <v>healthy sleep</v>
      </c>
      <c r="P645" s="1" t="str" cm="1">
        <f t="array" ref="P645">_xlfn.IFS(L645&lt;=3,"low",L645&lt;=6,"medium",L645&gt;=7,"high")</f>
        <v>high</v>
      </c>
    </row>
    <row r="646" spans="1:16" x14ac:dyDescent="0.3">
      <c r="A646">
        <v>17</v>
      </c>
      <c r="B646" t="s">
        <v>13</v>
      </c>
      <c r="C646">
        <v>3.6</v>
      </c>
      <c r="D646" t="s">
        <v>20</v>
      </c>
      <c r="E646">
        <v>6.1</v>
      </c>
      <c r="F646">
        <v>2.8</v>
      </c>
      <c r="G646">
        <v>2.39</v>
      </c>
      <c r="H646">
        <v>0.6</v>
      </c>
      <c r="I646" t="s">
        <v>15</v>
      </c>
      <c r="J646">
        <v>6</v>
      </c>
      <c r="K646">
        <v>8</v>
      </c>
      <c r="L646">
        <v>5</v>
      </c>
      <c r="M646">
        <v>0</v>
      </c>
      <c r="N646" t="str">
        <f t="shared" si="22"/>
        <v>16-19</v>
      </c>
      <c r="O646" t="str">
        <f t="shared" si="23"/>
        <v>healthy sleep</v>
      </c>
      <c r="P646" s="1" t="str" cm="1">
        <f t="array" ref="P646">_xlfn.IFS(L646&lt;=3,"low",L646&lt;=6,"medium",L646&gt;=7,"high")</f>
        <v>medium</v>
      </c>
    </row>
    <row r="647" spans="1:16" x14ac:dyDescent="0.3">
      <c r="A647">
        <v>17</v>
      </c>
      <c r="B647" t="s">
        <v>16</v>
      </c>
      <c r="C647">
        <v>3.7</v>
      </c>
      <c r="D647" t="s">
        <v>14</v>
      </c>
      <c r="E647">
        <v>6.3</v>
      </c>
      <c r="F647">
        <v>1.3</v>
      </c>
      <c r="G647">
        <v>2.7</v>
      </c>
      <c r="H647">
        <v>1.1000000000000001</v>
      </c>
      <c r="I647" t="s">
        <v>19</v>
      </c>
      <c r="J647">
        <v>2</v>
      </c>
      <c r="K647">
        <v>6</v>
      </c>
      <c r="L647">
        <v>9</v>
      </c>
      <c r="M647">
        <v>0</v>
      </c>
      <c r="N647" t="str">
        <f t="shared" si="22"/>
        <v>16-19</v>
      </c>
      <c r="O647" t="str">
        <f t="shared" si="23"/>
        <v>healthy sleep</v>
      </c>
      <c r="P647" s="1" t="str" cm="1">
        <f t="array" ref="P647">_xlfn.IFS(L647&lt;=3,"low",L647&lt;=6,"medium",L647&gt;=7,"high")</f>
        <v>high</v>
      </c>
    </row>
    <row r="648" spans="1:16" x14ac:dyDescent="0.3">
      <c r="A648">
        <v>16</v>
      </c>
      <c r="B648" t="s">
        <v>16</v>
      </c>
      <c r="C648">
        <v>7.4</v>
      </c>
      <c r="D648" t="s">
        <v>14</v>
      </c>
      <c r="E648">
        <v>7.4</v>
      </c>
      <c r="F648">
        <v>0.9</v>
      </c>
      <c r="G648">
        <v>3.7</v>
      </c>
      <c r="H648">
        <v>1.3</v>
      </c>
      <c r="I648" t="s">
        <v>19</v>
      </c>
      <c r="J648">
        <v>10</v>
      </c>
      <c r="K648">
        <v>6</v>
      </c>
      <c r="L648">
        <v>2</v>
      </c>
      <c r="M648">
        <v>0</v>
      </c>
      <c r="N648" t="str">
        <f t="shared" si="22"/>
        <v>16-19</v>
      </c>
      <c r="O648" t="str">
        <f t="shared" si="23"/>
        <v>healthy sleep</v>
      </c>
      <c r="P648" s="1" t="str" cm="1">
        <f t="array" ref="P648">_xlfn.IFS(L648&lt;=3,"low",L648&lt;=6,"medium",L648&gt;=7,"high")</f>
        <v>low</v>
      </c>
    </row>
    <row r="649" spans="1:16" x14ac:dyDescent="0.3">
      <c r="A649">
        <v>13</v>
      </c>
      <c r="B649" t="s">
        <v>13</v>
      </c>
      <c r="C649">
        <v>5.3</v>
      </c>
      <c r="D649" t="s">
        <v>14</v>
      </c>
      <c r="E649">
        <v>6</v>
      </c>
      <c r="F649">
        <v>1</v>
      </c>
      <c r="G649">
        <v>2.92</v>
      </c>
      <c r="H649">
        <v>0.7</v>
      </c>
      <c r="I649" t="s">
        <v>18</v>
      </c>
      <c r="J649">
        <v>3</v>
      </c>
      <c r="K649">
        <v>8</v>
      </c>
      <c r="L649">
        <v>5</v>
      </c>
      <c r="M649">
        <v>0</v>
      </c>
      <c r="N649" t="str">
        <f t="shared" si="22"/>
        <v>13-15</v>
      </c>
      <c r="O649" t="str">
        <f t="shared" si="23"/>
        <v>low sleep</v>
      </c>
      <c r="P649" s="1" t="str" cm="1">
        <f t="array" ref="P649">_xlfn.IFS(L649&lt;=3,"low",L649&lt;=6,"medium",L649&gt;=7,"high")</f>
        <v>medium</v>
      </c>
    </row>
    <row r="650" spans="1:16" x14ac:dyDescent="0.3">
      <c r="A650">
        <v>18</v>
      </c>
      <c r="B650" t="s">
        <v>16</v>
      </c>
      <c r="C650">
        <v>4.8</v>
      </c>
      <c r="D650" t="s">
        <v>14</v>
      </c>
      <c r="E650">
        <v>5.5</v>
      </c>
      <c r="F650">
        <v>1.8</v>
      </c>
      <c r="G650">
        <v>2.9</v>
      </c>
      <c r="H650">
        <v>0.6</v>
      </c>
      <c r="I650" t="s">
        <v>15</v>
      </c>
      <c r="J650">
        <v>6</v>
      </c>
      <c r="K650">
        <v>2</v>
      </c>
      <c r="L650">
        <v>5</v>
      </c>
      <c r="M650">
        <v>0</v>
      </c>
      <c r="N650" t="str">
        <f t="shared" si="22"/>
        <v>16-19</v>
      </c>
      <c r="O650" t="str">
        <f t="shared" si="23"/>
        <v>low sleep</v>
      </c>
      <c r="P650" s="1" t="str" cm="1">
        <f t="array" ref="P650">_xlfn.IFS(L650&lt;=3,"low",L650&lt;=6,"medium",L650&gt;=7,"high")</f>
        <v>medium</v>
      </c>
    </row>
    <row r="651" spans="1:16" x14ac:dyDescent="0.3">
      <c r="A651">
        <v>13</v>
      </c>
      <c r="B651" t="s">
        <v>13</v>
      </c>
      <c r="C651">
        <v>3.4</v>
      </c>
      <c r="D651" t="s">
        <v>17</v>
      </c>
      <c r="E651">
        <v>4.5</v>
      </c>
      <c r="F651">
        <v>0.5</v>
      </c>
      <c r="G651">
        <v>3.71</v>
      </c>
      <c r="H651">
        <v>1</v>
      </c>
      <c r="I651" t="s">
        <v>19</v>
      </c>
      <c r="J651">
        <v>1</v>
      </c>
      <c r="K651">
        <v>10</v>
      </c>
      <c r="L651">
        <v>1</v>
      </c>
      <c r="M651">
        <v>0</v>
      </c>
      <c r="N651" t="str">
        <f t="shared" si="22"/>
        <v>13-15</v>
      </c>
      <c r="O651" t="str">
        <f t="shared" si="23"/>
        <v>low sleep</v>
      </c>
      <c r="P651" s="1" t="str" cm="1">
        <f t="array" ref="P651">_xlfn.IFS(L651&lt;=3,"low",L651&lt;=6,"medium",L651&gt;=7,"high")</f>
        <v>low</v>
      </c>
    </row>
    <row r="652" spans="1:16" x14ac:dyDescent="0.3">
      <c r="A652">
        <v>17</v>
      </c>
      <c r="B652" t="s">
        <v>16</v>
      </c>
      <c r="C652">
        <v>7</v>
      </c>
      <c r="D652" t="s">
        <v>17</v>
      </c>
      <c r="E652">
        <v>8.9</v>
      </c>
      <c r="F652">
        <v>0.6</v>
      </c>
      <c r="G652">
        <v>3.67</v>
      </c>
      <c r="H652">
        <v>0.2</v>
      </c>
      <c r="I652" t="s">
        <v>19</v>
      </c>
      <c r="J652">
        <v>9</v>
      </c>
      <c r="K652">
        <v>2</v>
      </c>
      <c r="L652">
        <v>4</v>
      </c>
      <c r="M652">
        <v>0</v>
      </c>
      <c r="N652" t="str">
        <f t="shared" si="22"/>
        <v>16-19</v>
      </c>
      <c r="O652" t="str">
        <f t="shared" si="23"/>
        <v>healthy sleep</v>
      </c>
      <c r="P652" s="1" t="str" cm="1">
        <f t="array" ref="P652">_xlfn.IFS(L652&lt;=3,"low",L652&lt;=6,"medium",L652&gt;=7,"high")</f>
        <v>medium</v>
      </c>
    </row>
    <row r="653" spans="1:16" x14ac:dyDescent="0.3">
      <c r="A653">
        <v>15</v>
      </c>
      <c r="B653" t="s">
        <v>13</v>
      </c>
      <c r="C653">
        <v>5.4</v>
      </c>
      <c r="D653" t="s">
        <v>14</v>
      </c>
      <c r="E653">
        <v>7.2</v>
      </c>
      <c r="F653">
        <v>1.2</v>
      </c>
      <c r="G653">
        <v>3.32</v>
      </c>
      <c r="H653">
        <v>1.3</v>
      </c>
      <c r="I653" t="s">
        <v>18</v>
      </c>
      <c r="J653">
        <v>7</v>
      </c>
      <c r="K653">
        <v>8</v>
      </c>
      <c r="L653">
        <v>1</v>
      </c>
      <c r="M653">
        <v>0</v>
      </c>
      <c r="N653" t="str">
        <f t="shared" si="22"/>
        <v>13-15</v>
      </c>
      <c r="O653" t="str">
        <f t="shared" si="23"/>
        <v>healthy sleep</v>
      </c>
      <c r="P653" s="1" t="str" cm="1">
        <f t="array" ref="P653">_xlfn.IFS(L653&lt;=3,"low",L653&lt;=6,"medium",L653&gt;=7,"high")</f>
        <v>low</v>
      </c>
    </row>
    <row r="654" spans="1:16" x14ac:dyDescent="0.3">
      <c r="A654">
        <v>17</v>
      </c>
      <c r="B654" t="s">
        <v>13</v>
      </c>
      <c r="C654">
        <v>5.3</v>
      </c>
      <c r="D654" t="s">
        <v>14</v>
      </c>
      <c r="E654">
        <v>6.4</v>
      </c>
      <c r="F654">
        <v>2.9</v>
      </c>
      <c r="G654">
        <v>2.42</v>
      </c>
      <c r="H654">
        <v>1.1000000000000001</v>
      </c>
      <c r="I654" t="s">
        <v>15</v>
      </c>
      <c r="J654">
        <v>3</v>
      </c>
      <c r="K654">
        <v>8</v>
      </c>
      <c r="L654">
        <v>3</v>
      </c>
      <c r="M654">
        <v>0</v>
      </c>
      <c r="N654" t="str">
        <f t="shared" si="22"/>
        <v>16-19</v>
      </c>
      <c r="O654" t="str">
        <f t="shared" si="23"/>
        <v>healthy sleep</v>
      </c>
      <c r="P654" s="1" t="str" cm="1">
        <f t="array" ref="P654">_xlfn.IFS(L654&lt;=3,"low",L654&lt;=6,"medium",L654&gt;=7,"high")</f>
        <v>low</v>
      </c>
    </row>
    <row r="655" spans="1:16" x14ac:dyDescent="0.3">
      <c r="A655">
        <v>14</v>
      </c>
      <c r="B655" t="s">
        <v>13</v>
      </c>
      <c r="C655">
        <v>1.8</v>
      </c>
      <c r="D655" t="s">
        <v>20</v>
      </c>
      <c r="E655">
        <v>5.0999999999999996</v>
      </c>
      <c r="F655">
        <v>2.7</v>
      </c>
      <c r="G655">
        <v>3.47</v>
      </c>
      <c r="H655">
        <v>0.2</v>
      </c>
      <c r="I655" t="s">
        <v>15</v>
      </c>
      <c r="J655">
        <v>8</v>
      </c>
      <c r="K655">
        <v>4</v>
      </c>
      <c r="L655">
        <v>6</v>
      </c>
      <c r="M655">
        <v>0</v>
      </c>
      <c r="N655" t="str">
        <f t="shared" si="22"/>
        <v>13-15</v>
      </c>
      <c r="O655" t="str">
        <f t="shared" si="23"/>
        <v>low sleep</v>
      </c>
      <c r="P655" s="1" t="str" cm="1">
        <f t="array" ref="P655">_xlfn.IFS(L655&lt;=3,"low",L655&lt;=6,"medium",L655&gt;=7,"high")</f>
        <v>medium</v>
      </c>
    </row>
    <row r="656" spans="1:16" x14ac:dyDescent="0.3">
      <c r="A656">
        <v>15</v>
      </c>
      <c r="B656" t="s">
        <v>13</v>
      </c>
      <c r="C656">
        <v>4.5</v>
      </c>
      <c r="D656" t="s">
        <v>17</v>
      </c>
      <c r="E656">
        <v>6.2</v>
      </c>
      <c r="F656">
        <v>2.8</v>
      </c>
      <c r="G656">
        <v>2.74</v>
      </c>
      <c r="H656">
        <v>0.1</v>
      </c>
      <c r="I656" t="s">
        <v>18</v>
      </c>
      <c r="J656">
        <v>2</v>
      </c>
      <c r="K656">
        <v>3</v>
      </c>
      <c r="L656">
        <v>5</v>
      </c>
      <c r="M656">
        <v>0</v>
      </c>
      <c r="N656" t="str">
        <f t="shared" si="22"/>
        <v>13-15</v>
      </c>
      <c r="O656" t="str">
        <f t="shared" si="23"/>
        <v>healthy sleep</v>
      </c>
      <c r="P656" s="1" t="str" cm="1">
        <f t="array" ref="P656">_xlfn.IFS(L656&lt;=3,"low",L656&lt;=6,"medium",L656&gt;=7,"high")</f>
        <v>medium</v>
      </c>
    </row>
    <row r="657" spans="1:16" x14ac:dyDescent="0.3">
      <c r="A657">
        <v>17</v>
      </c>
      <c r="B657" t="s">
        <v>16</v>
      </c>
      <c r="C657">
        <v>5.4</v>
      </c>
      <c r="D657" t="s">
        <v>17</v>
      </c>
      <c r="E657">
        <v>7.1</v>
      </c>
      <c r="F657">
        <v>2.5</v>
      </c>
      <c r="G657">
        <v>2.68</v>
      </c>
      <c r="H657">
        <v>1.6</v>
      </c>
      <c r="I657" t="s">
        <v>15</v>
      </c>
      <c r="J657">
        <v>3</v>
      </c>
      <c r="K657">
        <v>5</v>
      </c>
      <c r="L657">
        <v>7</v>
      </c>
      <c r="M657">
        <v>0</v>
      </c>
      <c r="N657" t="str">
        <f t="shared" si="22"/>
        <v>16-19</v>
      </c>
      <c r="O657" t="str">
        <f t="shared" si="23"/>
        <v>healthy sleep</v>
      </c>
      <c r="P657" s="1" t="str" cm="1">
        <f t="array" ref="P657">_xlfn.IFS(L657&lt;=3,"low",L657&lt;=6,"medium",L657&gt;=7,"high")</f>
        <v>high</v>
      </c>
    </row>
    <row r="658" spans="1:16" x14ac:dyDescent="0.3">
      <c r="A658">
        <v>13</v>
      </c>
      <c r="B658" t="s">
        <v>13</v>
      </c>
      <c r="C658">
        <v>3.6</v>
      </c>
      <c r="D658" t="s">
        <v>14</v>
      </c>
      <c r="E658">
        <v>8.6</v>
      </c>
      <c r="F658">
        <v>0.7</v>
      </c>
      <c r="G658">
        <v>2.42</v>
      </c>
      <c r="H658">
        <v>0.2</v>
      </c>
      <c r="I658" t="s">
        <v>19</v>
      </c>
      <c r="J658">
        <v>2</v>
      </c>
      <c r="K658">
        <v>6</v>
      </c>
      <c r="L658">
        <v>8</v>
      </c>
      <c r="M658">
        <v>0</v>
      </c>
      <c r="N658" t="str">
        <f t="shared" si="22"/>
        <v>13-15</v>
      </c>
      <c r="O658" t="str">
        <f t="shared" si="23"/>
        <v>healthy sleep</v>
      </c>
      <c r="P658" s="1" t="str" cm="1">
        <f t="array" ref="P658">_xlfn.IFS(L658&lt;=3,"low",L658&lt;=6,"medium",L658&gt;=7,"high")</f>
        <v>high</v>
      </c>
    </row>
    <row r="659" spans="1:16" x14ac:dyDescent="0.3">
      <c r="A659">
        <v>14</v>
      </c>
      <c r="B659" t="s">
        <v>16</v>
      </c>
      <c r="C659">
        <v>5.7</v>
      </c>
      <c r="D659" t="s">
        <v>14</v>
      </c>
      <c r="E659">
        <v>8.9</v>
      </c>
      <c r="F659">
        <v>0.7</v>
      </c>
      <c r="G659">
        <v>2.17</v>
      </c>
      <c r="H659">
        <v>1.3</v>
      </c>
      <c r="I659" t="s">
        <v>18</v>
      </c>
      <c r="J659">
        <v>10</v>
      </c>
      <c r="K659">
        <v>4</v>
      </c>
      <c r="L659">
        <v>3</v>
      </c>
      <c r="M659">
        <v>0</v>
      </c>
      <c r="N659" t="str">
        <f t="shared" si="22"/>
        <v>13-15</v>
      </c>
      <c r="O659" t="str">
        <f t="shared" si="23"/>
        <v>healthy sleep</v>
      </c>
      <c r="P659" s="1" t="str" cm="1">
        <f t="array" ref="P659">_xlfn.IFS(L659&lt;=3,"low",L659&lt;=6,"medium",L659&gt;=7,"high")</f>
        <v>low</v>
      </c>
    </row>
    <row r="660" spans="1:16" x14ac:dyDescent="0.3">
      <c r="A660">
        <v>15</v>
      </c>
      <c r="B660" t="s">
        <v>16</v>
      </c>
      <c r="C660">
        <v>5.5</v>
      </c>
      <c r="D660" t="s">
        <v>20</v>
      </c>
      <c r="E660">
        <v>7.3</v>
      </c>
      <c r="F660">
        <v>2.5</v>
      </c>
      <c r="G660">
        <v>3.67</v>
      </c>
      <c r="H660">
        <v>0.5</v>
      </c>
      <c r="I660" t="s">
        <v>15</v>
      </c>
      <c r="J660">
        <v>4</v>
      </c>
      <c r="K660">
        <v>3</v>
      </c>
      <c r="L660">
        <v>6</v>
      </c>
      <c r="M660">
        <v>0</v>
      </c>
      <c r="N660" t="str">
        <f t="shared" si="22"/>
        <v>13-15</v>
      </c>
      <c r="O660" t="str">
        <f t="shared" si="23"/>
        <v>healthy sleep</v>
      </c>
      <c r="P660" s="1" t="str" cm="1">
        <f t="array" ref="P660">_xlfn.IFS(L660&lt;=3,"low",L660&lt;=6,"medium",L660&gt;=7,"high")</f>
        <v>medium</v>
      </c>
    </row>
    <row r="661" spans="1:16" x14ac:dyDescent="0.3">
      <c r="A661">
        <v>14</v>
      </c>
      <c r="B661" t="s">
        <v>16</v>
      </c>
      <c r="C661">
        <v>5.3</v>
      </c>
      <c r="D661" t="s">
        <v>20</v>
      </c>
      <c r="E661">
        <v>4.7</v>
      </c>
      <c r="F661">
        <v>1.1000000000000001</v>
      </c>
      <c r="G661">
        <v>3.68</v>
      </c>
      <c r="H661">
        <v>1.8</v>
      </c>
      <c r="I661" t="s">
        <v>18</v>
      </c>
      <c r="J661">
        <v>10</v>
      </c>
      <c r="K661">
        <v>8</v>
      </c>
      <c r="L661">
        <v>10</v>
      </c>
      <c r="M661">
        <v>1</v>
      </c>
      <c r="N661" t="str">
        <f t="shared" si="22"/>
        <v>13-15</v>
      </c>
      <c r="O661" t="str">
        <f t="shared" si="23"/>
        <v>low sleep</v>
      </c>
      <c r="P661" s="1" t="str" cm="1">
        <f t="array" ref="P661">_xlfn.IFS(L661&lt;=3,"low",L661&lt;=6,"medium",L661&gt;=7,"high")</f>
        <v>high</v>
      </c>
    </row>
    <row r="662" spans="1:16" x14ac:dyDescent="0.3">
      <c r="A662">
        <v>15</v>
      </c>
      <c r="B662" t="s">
        <v>13</v>
      </c>
      <c r="C662">
        <v>2.7</v>
      </c>
      <c r="D662" t="s">
        <v>14</v>
      </c>
      <c r="E662">
        <v>5.4</v>
      </c>
      <c r="F662">
        <v>1.6</v>
      </c>
      <c r="G662">
        <v>2.34</v>
      </c>
      <c r="H662">
        <v>0.3</v>
      </c>
      <c r="I662" t="s">
        <v>18</v>
      </c>
      <c r="J662">
        <v>2</v>
      </c>
      <c r="K662">
        <v>6</v>
      </c>
      <c r="L662">
        <v>8</v>
      </c>
      <c r="M662">
        <v>0</v>
      </c>
      <c r="N662" t="str">
        <f t="shared" si="22"/>
        <v>13-15</v>
      </c>
      <c r="O662" t="str">
        <f t="shared" si="23"/>
        <v>low sleep</v>
      </c>
      <c r="P662" s="1" t="str" cm="1">
        <f t="array" ref="P662">_xlfn.IFS(L662&lt;=3,"low",L662&lt;=6,"medium",L662&gt;=7,"high")</f>
        <v>high</v>
      </c>
    </row>
    <row r="663" spans="1:16" x14ac:dyDescent="0.3">
      <c r="A663">
        <v>14</v>
      </c>
      <c r="B663" t="s">
        <v>13</v>
      </c>
      <c r="C663">
        <v>6.4</v>
      </c>
      <c r="D663" t="s">
        <v>14</v>
      </c>
      <c r="E663">
        <v>5.6</v>
      </c>
      <c r="F663">
        <v>0.8</v>
      </c>
      <c r="G663">
        <v>4</v>
      </c>
      <c r="H663">
        <v>1.9</v>
      </c>
      <c r="I663" t="s">
        <v>19</v>
      </c>
      <c r="J663">
        <v>5</v>
      </c>
      <c r="K663">
        <v>1</v>
      </c>
      <c r="L663">
        <v>3</v>
      </c>
      <c r="M663">
        <v>0</v>
      </c>
      <c r="N663" t="str">
        <f t="shared" si="22"/>
        <v>13-15</v>
      </c>
      <c r="O663" t="str">
        <f t="shared" si="23"/>
        <v>low sleep</v>
      </c>
      <c r="P663" s="1" t="str" cm="1">
        <f t="array" ref="P663">_xlfn.IFS(L663&lt;=3,"low",L663&lt;=6,"medium",L663&gt;=7,"high")</f>
        <v>low</v>
      </c>
    </row>
    <row r="664" spans="1:16" x14ac:dyDescent="0.3">
      <c r="A664">
        <v>16</v>
      </c>
      <c r="B664" t="s">
        <v>13</v>
      </c>
      <c r="C664">
        <v>5</v>
      </c>
      <c r="D664" t="s">
        <v>17</v>
      </c>
      <c r="E664">
        <v>6.3</v>
      </c>
      <c r="F664">
        <v>3</v>
      </c>
      <c r="G664">
        <v>3.72</v>
      </c>
      <c r="H664">
        <v>1.6</v>
      </c>
      <c r="I664" t="s">
        <v>19</v>
      </c>
      <c r="J664">
        <v>5</v>
      </c>
      <c r="K664">
        <v>10</v>
      </c>
      <c r="L664">
        <v>3</v>
      </c>
      <c r="M664">
        <v>0</v>
      </c>
      <c r="N664" t="str">
        <f t="shared" si="22"/>
        <v>16-19</v>
      </c>
      <c r="O664" t="str">
        <f t="shared" si="23"/>
        <v>healthy sleep</v>
      </c>
      <c r="P664" s="1" t="str" cm="1">
        <f t="array" ref="P664">_xlfn.IFS(L664&lt;=3,"low",L664&lt;=6,"medium",L664&gt;=7,"high")</f>
        <v>low</v>
      </c>
    </row>
    <row r="665" spans="1:16" x14ac:dyDescent="0.3">
      <c r="A665">
        <v>13</v>
      </c>
      <c r="B665" t="s">
        <v>16</v>
      </c>
      <c r="C665">
        <v>2.5</v>
      </c>
      <c r="D665" t="s">
        <v>14</v>
      </c>
      <c r="E665">
        <v>4.5999999999999996</v>
      </c>
      <c r="F665">
        <v>1.6</v>
      </c>
      <c r="G665">
        <v>3.22</v>
      </c>
      <c r="H665">
        <v>0.9</v>
      </c>
      <c r="I665" t="s">
        <v>19</v>
      </c>
      <c r="J665">
        <v>6</v>
      </c>
      <c r="K665">
        <v>4</v>
      </c>
      <c r="L665">
        <v>3</v>
      </c>
      <c r="M665">
        <v>0</v>
      </c>
      <c r="N665" t="str">
        <f t="shared" si="22"/>
        <v>13-15</v>
      </c>
      <c r="O665" t="str">
        <f t="shared" si="23"/>
        <v>low sleep</v>
      </c>
      <c r="P665" s="1" t="str" cm="1">
        <f t="array" ref="P665">_xlfn.IFS(L665&lt;=3,"low",L665&lt;=6,"medium",L665&gt;=7,"high")</f>
        <v>low</v>
      </c>
    </row>
    <row r="666" spans="1:16" x14ac:dyDescent="0.3">
      <c r="A666">
        <v>18</v>
      </c>
      <c r="B666" t="s">
        <v>13</v>
      </c>
      <c r="C666">
        <v>2.2000000000000002</v>
      </c>
      <c r="D666" t="s">
        <v>20</v>
      </c>
      <c r="E666">
        <v>4.5</v>
      </c>
      <c r="F666">
        <v>2</v>
      </c>
      <c r="G666">
        <v>2.4900000000000002</v>
      </c>
      <c r="H666">
        <v>0.8</v>
      </c>
      <c r="I666" t="s">
        <v>18</v>
      </c>
      <c r="J666">
        <v>1</v>
      </c>
      <c r="K666">
        <v>7</v>
      </c>
      <c r="L666">
        <v>6</v>
      </c>
      <c r="M666">
        <v>0</v>
      </c>
      <c r="N666" t="str">
        <f t="shared" si="22"/>
        <v>16-19</v>
      </c>
      <c r="O666" t="str">
        <f t="shared" si="23"/>
        <v>low sleep</v>
      </c>
      <c r="P666" s="1" t="str" cm="1">
        <f t="array" ref="P666">_xlfn.IFS(L666&lt;=3,"low",L666&lt;=6,"medium",L666&gt;=7,"high")</f>
        <v>medium</v>
      </c>
    </row>
    <row r="667" spans="1:16" x14ac:dyDescent="0.3">
      <c r="A667">
        <v>16</v>
      </c>
      <c r="B667" t="s">
        <v>13</v>
      </c>
      <c r="C667">
        <v>4.0999999999999996</v>
      </c>
      <c r="D667" t="s">
        <v>20</v>
      </c>
      <c r="E667">
        <v>5.5</v>
      </c>
      <c r="F667">
        <v>1.9</v>
      </c>
      <c r="G667">
        <v>2.65</v>
      </c>
      <c r="H667">
        <v>1.5</v>
      </c>
      <c r="I667" t="s">
        <v>15</v>
      </c>
      <c r="J667">
        <v>5</v>
      </c>
      <c r="K667">
        <v>7</v>
      </c>
      <c r="L667">
        <v>9</v>
      </c>
      <c r="M667">
        <v>0</v>
      </c>
      <c r="N667" t="str">
        <f t="shared" si="22"/>
        <v>16-19</v>
      </c>
      <c r="O667" t="str">
        <f t="shared" si="23"/>
        <v>low sleep</v>
      </c>
      <c r="P667" s="1" t="str" cm="1">
        <f t="array" ref="P667">_xlfn.IFS(L667&lt;=3,"low",L667&lt;=6,"medium",L667&gt;=7,"high")</f>
        <v>high</v>
      </c>
    </row>
    <row r="668" spans="1:16" x14ac:dyDescent="0.3">
      <c r="A668">
        <v>16</v>
      </c>
      <c r="B668" t="s">
        <v>16</v>
      </c>
      <c r="C668">
        <v>2.8</v>
      </c>
      <c r="D668" t="s">
        <v>17</v>
      </c>
      <c r="E668">
        <v>7.4</v>
      </c>
      <c r="F668">
        <v>2</v>
      </c>
      <c r="G668">
        <v>3.4</v>
      </c>
      <c r="H668">
        <v>1.6</v>
      </c>
      <c r="I668" t="s">
        <v>15</v>
      </c>
      <c r="J668">
        <v>4</v>
      </c>
      <c r="K668">
        <v>1</v>
      </c>
      <c r="L668">
        <v>1</v>
      </c>
      <c r="M668">
        <v>0</v>
      </c>
      <c r="N668" t="str">
        <f t="shared" si="22"/>
        <v>16-19</v>
      </c>
      <c r="O668" t="str">
        <f t="shared" si="23"/>
        <v>healthy sleep</v>
      </c>
      <c r="P668" s="1" t="str" cm="1">
        <f t="array" ref="P668">_xlfn.IFS(L668&lt;=3,"low",L668&lt;=6,"medium",L668&gt;=7,"high")</f>
        <v>low</v>
      </c>
    </row>
    <row r="669" spans="1:16" x14ac:dyDescent="0.3">
      <c r="A669">
        <v>17</v>
      </c>
      <c r="B669" t="s">
        <v>16</v>
      </c>
      <c r="C669">
        <v>1.1000000000000001</v>
      </c>
      <c r="D669" t="s">
        <v>17</v>
      </c>
      <c r="E669">
        <v>8.1999999999999993</v>
      </c>
      <c r="F669">
        <v>2.7</v>
      </c>
      <c r="G669">
        <v>2.84</v>
      </c>
      <c r="H669">
        <v>0.2</v>
      </c>
      <c r="I669" t="s">
        <v>18</v>
      </c>
      <c r="J669">
        <v>2</v>
      </c>
      <c r="K669">
        <v>4</v>
      </c>
      <c r="L669">
        <v>1</v>
      </c>
      <c r="M669">
        <v>0</v>
      </c>
      <c r="N669" t="str">
        <f t="shared" si="22"/>
        <v>16-19</v>
      </c>
      <c r="O669" t="str">
        <f t="shared" si="23"/>
        <v>healthy sleep</v>
      </c>
      <c r="P669" s="1" t="str" cm="1">
        <f t="array" ref="P669">_xlfn.IFS(L669&lt;=3,"low",L669&lt;=6,"medium",L669&gt;=7,"high")</f>
        <v>low</v>
      </c>
    </row>
    <row r="670" spans="1:16" x14ac:dyDescent="0.3">
      <c r="A670">
        <v>13</v>
      </c>
      <c r="B670" t="s">
        <v>13</v>
      </c>
      <c r="C670">
        <v>7</v>
      </c>
      <c r="D670" t="s">
        <v>20</v>
      </c>
      <c r="E670">
        <v>5.7</v>
      </c>
      <c r="F670">
        <v>1.6</v>
      </c>
      <c r="G670">
        <v>3.45</v>
      </c>
      <c r="H670">
        <v>1.2</v>
      </c>
      <c r="I670" t="s">
        <v>19</v>
      </c>
      <c r="J670">
        <v>7</v>
      </c>
      <c r="K670">
        <v>1</v>
      </c>
      <c r="L670">
        <v>10</v>
      </c>
      <c r="M670">
        <v>0</v>
      </c>
      <c r="N670" t="str">
        <f t="shared" si="22"/>
        <v>13-15</v>
      </c>
      <c r="O670" t="str">
        <f t="shared" si="23"/>
        <v>low sleep</v>
      </c>
      <c r="P670" s="1" t="str" cm="1">
        <f t="array" ref="P670">_xlfn.IFS(L670&lt;=3,"low",L670&lt;=6,"medium",L670&gt;=7,"high")</f>
        <v>high</v>
      </c>
    </row>
    <row r="671" spans="1:16" x14ac:dyDescent="0.3">
      <c r="A671">
        <v>18</v>
      </c>
      <c r="B671" t="s">
        <v>13</v>
      </c>
      <c r="C671">
        <v>2.6</v>
      </c>
      <c r="D671" t="s">
        <v>17</v>
      </c>
      <c r="E671">
        <v>7.9</v>
      </c>
      <c r="F671">
        <v>2.2999999999999998</v>
      </c>
      <c r="G671">
        <v>2.4300000000000002</v>
      </c>
      <c r="H671">
        <v>0.1</v>
      </c>
      <c r="I671" t="s">
        <v>18</v>
      </c>
      <c r="J671">
        <v>5</v>
      </c>
      <c r="K671">
        <v>1</v>
      </c>
      <c r="L671">
        <v>6</v>
      </c>
      <c r="M671">
        <v>0</v>
      </c>
      <c r="N671" t="str">
        <f t="shared" si="22"/>
        <v>16-19</v>
      </c>
      <c r="O671" t="str">
        <f t="shared" si="23"/>
        <v>healthy sleep</v>
      </c>
      <c r="P671" s="1" t="str" cm="1">
        <f t="array" ref="P671">_xlfn.IFS(L671&lt;=3,"low",L671&lt;=6,"medium",L671&gt;=7,"high")</f>
        <v>medium</v>
      </c>
    </row>
    <row r="672" spans="1:16" x14ac:dyDescent="0.3">
      <c r="A672">
        <v>13</v>
      </c>
      <c r="B672" t="s">
        <v>16</v>
      </c>
      <c r="C672">
        <v>2.6</v>
      </c>
      <c r="D672" t="s">
        <v>17</v>
      </c>
      <c r="E672">
        <v>6.1</v>
      </c>
      <c r="F672">
        <v>1.4</v>
      </c>
      <c r="G672">
        <v>2.11</v>
      </c>
      <c r="H672">
        <v>0.4</v>
      </c>
      <c r="I672" t="s">
        <v>18</v>
      </c>
      <c r="J672">
        <v>7</v>
      </c>
      <c r="K672">
        <v>5</v>
      </c>
      <c r="L672">
        <v>10</v>
      </c>
      <c r="M672">
        <v>0</v>
      </c>
      <c r="N672" t="str">
        <f t="shared" si="22"/>
        <v>13-15</v>
      </c>
      <c r="O672" t="str">
        <f t="shared" si="23"/>
        <v>healthy sleep</v>
      </c>
      <c r="P672" s="1" t="str" cm="1">
        <f t="array" ref="P672">_xlfn.IFS(L672&lt;=3,"low",L672&lt;=6,"medium",L672&gt;=7,"high")</f>
        <v>high</v>
      </c>
    </row>
    <row r="673" spans="1:16" x14ac:dyDescent="0.3">
      <c r="A673">
        <v>14</v>
      </c>
      <c r="B673" t="s">
        <v>13</v>
      </c>
      <c r="C673">
        <v>3.4</v>
      </c>
      <c r="D673" t="s">
        <v>14</v>
      </c>
      <c r="E673">
        <v>4.5999999999999996</v>
      </c>
      <c r="F673">
        <v>2</v>
      </c>
      <c r="G673">
        <v>2.27</v>
      </c>
      <c r="H673">
        <v>1.9</v>
      </c>
      <c r="I673" t="s">
        <v>18</v>
      </c>
      <c r="J673">
        <v>7</v>
      </c>
      <c r="K673">
        <v>10</v>
      </c>
      <c r="L673">
        <v>6</v>
      </c>
      <c r="M673">
        <v>0</v>
      </c>
      <c r="N673" t="str">
        <f t="shared" si="22"/>
        <v>13-15</v>
      </c>
      <c r="O673" t="str">
        <f t="shared" si="23"/>
        <v>low sleep</v>
      </c>
      <c r="P673" s="1" t="str" cm="1">
        <f t="array" ref="P673">_xlfn.IFS(L673&lt;=3,"low",L673&lt;=6,"medium",L673&gt;=7,"high")</f>
        <v>medium</v>
      </c>
    </row>
    <row r="674" spans="1:16" x14ac:dyDescent="0.3">
      <c r="A674">
        <v>14</v>
      </c>
      <c r="B674" t="s">
        <v>13</v>
      </c>
      <c r="C674">
        <v>7.9</v>
      </c>
      <c r="D674" t="s">
        <v>14</v>
      </c>
      <c r="E674">
        <v>5.7</v>
      </c>
      <c r="F674">
        <v>1.6</v>
      </c>
      <c r="G674">
        <v>3.67</v>
      </c>
      <c r="H674">
        <v>0.6</v>
      </c>
      <c r="I674" t="s">
        <v>19</v>
      </c>
      <c r="J674">
        <v>4</v>
      </c>
      <c r="K674">
        <v>3</v>
      </c>
      <c r="L674">
        <v>4</v>
      </c>
      <c r="M674">
        <v>0</v>
      </c>
      <c r="N674" t="str">
        <f t="shared" si="22"/>
        <v>13-15</v>
      </c>
      <c r="O674" t="str">
        <f t="shared" si="23"/>
        <v>low sleep</v>
      </c>
      <c r="P674" s="1" t="str" cm="1">
        <f t="array" ref="P674">_xlfn.IFS(L674&lt;=3,"low",L674&lt;=6,"medium",L674&gt;=7,"high")</f>
        <v>medium</v>
      </c>
    </row>
    <row r="675" spans="1:16" x14ac:dyDescent="0.3">
      <c r="A675">
        <v>13</v>
      </c>
      <c r="B675" t="s">
        <v>13</v>
      </c>
      <c r="C675">
        <v>5.0999999999999996</v>
      </c>
      <c r="D675" t="s">
        <v>17</v>
      </c>
      <c r="E675">
        <v>5.3</v>
      </c>
      <c r="F675">
        <v>2.6</v>
      </c>
      <c r="G675">
        <v>2.95</v>
      </c>
      <c r="H675">
        <v>1.2</v>
      </c>
      <c r="I675" t="s">
        <v>19</v>
      </c>
      <c r="J675">
        <v>2</v>
      </c>
      <c r="K675">
        <v>6</v>
      </c>
      <c r="L675">
        <v>10</v>
      </c>
      <c r="M675">
        <v>0</v>
      </c>
      <c r="N675" t="str">
        <f t="shared" si="22"/>
        <v>13-15</v>
      </c>
      <c r="O675" t="str">
        <f t="shared" si="23"/>
        <v>low sleep</v>
      </c>
      <c r="P675" s="1" t="str" cm="1">
        <f t="array" ref="P675">_xlfn.IFS(L675&lt;=3,"low",L675&lt;=6,"medium",L675&gt;=7,"high")</f>
        <v>high</v>
      </c>
    </row>
    <row r="676" spans="1:16" x14ac:dyDescent="0.3">
      <c r="A676">
        <v>13</v>
      </c>
      <c r="B676" t="s">
        <v>16</v>
      </c>
      <c r="C676">
        <v>2.8</v>
      </c>
      <c r="D676" t="s">
        <v>20</v>
      </c>
      <c r="E676">
        <v>6.4</v>
      </c>
      <c r="F676">
        <v>1.4</v>
      </c>
      <c r="G676">
        <v>2.38</v>
      </c>
      <c r="H676">
        <v>1.4</v>
      </c>
      <c r="I676" t="s">
        <v>19</v>
      </c>
      <c r="J676">
        <v>4</v>
      </c>
      <c r="K676">
        <v>8</v>
      </c>
      <c r="L676">
        <v>10</v>
      </c>
      <c r="M676">
        <v>0</v>
      </c>
      <c r="N676" t="str">
        <f t="shared" si="22"/>
        <v>13-15</v>
      </c>
      <c r="O676" t="str">
        <f t="shared" si="23"/>
        <v>healthy sleep</v>
      </c>
      <c r="P676" s="1" t="str" cm="1">
        <f t="array" ref="P676">_xlfn.IFS(L676&lt;=3,"low",L676&lt;=6,"medium",L676&gt;=7,"high")</f>
        <v>high</v>
      </c>
    </row>
    <row r="677" spans="1:16" x14ac:dyDescent="0.3">
      <c r="A677">
        <v>19</v>
      </c>
      <c r="B677" t="s">
        <v>16</v>
      </c>
      <c r="C677">
        <v>3.4</v>
      </c>
      <c r="D677" t="s">
        <v>17</v>
      </c>
      <c r="E677">
        <v>4.3</v>
      </c>
      <c r="F677">
        <v>0.7</v>
      </c>
      <c r="G677">
        <v>2.17</v>
      </c>
      <c r="H677">
        <v>0.7</v>
      </c>
      <c r="I677" t="s">
        <v>18</v>
      </c>
      <c r="J677">
        <v>3</v>
      </c>
      <c r="K677">
        <v>1</v>
      </c>
      <c r="L677">
        <v>4</v>
      </c>
      <c r="M677">
        <v>0</v>
      </c>
      <c r="N677" t="str">
        <f t="shared" si="22"/>
        <v>16-19</v>
      </c>
      <c r="O677" t="str">
        <f t="shared" si="23"/>
        <v>low sleep</v>
      </c>
      <c r="P677" s="1" t="str" cm="1">
        <f t="array" ref="P677">_xlfn.IFS(L677&lt;=3,"low",L677&lt;=6,"medium",L677&gt;=7,"high")</f>
        <v>medium</v>
      </c>
    </row>
    <row r="678" spans="1:16" x14ac:dyDescent="0.3">
      <c r="A678">
        <v>18</v>
      </c>
      <c r="B678" t="s">
        <v>13</v>
      </c>
      <c r="C678">
        <v>6.3</v>
      </c>
      <c r="D678" t="s">
        <v>20</v>
      </c>
      <c r="E678">
        <v>6.9</v>
      </c>
      <c r="F678">
        <v>1</v>
      </c>
      <c r="G678">
        <v>3.22</v>
      </c>
      <c r="H678">
        <v>0.8</v>
      </c>
      <c r="I678" t="s">
        <v>19</v>
      </c>
      <c r="J678">
        <v>4</v>
      </c>
      <c r="K678">
        <v>6</v>
      </c>
      <c r="L678">
        <v>1</v>
      </c>
      <c r="M678">
        <v>0</v>
      </c>
      <c r="N678" t="str">
        <f t="shared" si="22"/>
        <v>16-19</v>
      </c>
      <c r="O678" t="str">
        <f t="shared" si="23"/>
        <v>healthy sleep</v>
      </c>
      <c r="P678" s="1" t="str" cm="1">
        <f t="array" ref="P678">_xlfn.IFS(L678&lt;=3,"low",L678&lt;=6,"medium",L678&gt;=7,"high")</f>
        <v>low</v>
      </c>
    </row>
    <row r="679" spans="1:16" x14ac:dyDescent="0.3">
      <c r="A679">
        <v>17</v>
      </c>
      <c r="B679" t="s">
        <v>16</v>
      </c>
      <c r="C679">
        <v>1.1000000000000001</v>
      </c>
      <c r="D679" t="s">
        <v>17</v>
      </c>
      <c r="E679">
        <v>4.5999999999999996</v>
      </c>
      <c r="F679">
        <v>2.5</v>
      </c>
      <c r="G679">
        <v>3.93</v>
      </c>
      <c r="H679">
        <v>0.3</v>
      </c>
      <c r="I679" t="s">
        <v>18</v>
      </c>
      <c r="J679">
        <v>10</v>
      </c>
      <c r="K679">
        <v>6</v>
      </c>
      <c r="L679">
        <v>2</v>
      </c>
      <c r="M679">
        <v>0</v>
      </c>
      <c r="N679" t="str">
        <f t="shared" si="22"/>
        <v>16-19</v>
      </c>
      <c r="O679" t="str">
        <f t="shared" si="23"/>
        <v>low sleep</v>
      </c>
      <c r="P679" s="1" t="str" cm="1">
        <f t="array" ref="P679">_xlfn.IFS(L679&lt;=3,"low",L679&lt;=6,"medium",L679&gt;=7,"high")</f>
        <v>low</v>
      </c>
    </row>
    <row r="680" spans="1:16" x14ac:dyDescent="0.3">
      <c r="A680">
        <v>19</v>
      </c>
      <c r="B680" t="s">
        <v>13</v>
      </c>
      <c r="C680">
        <v>3.8</v>
      </c>
      <c r="D680" t="s">
        <v>14</v>
      </c>
      <c r="E680">
        <v>7.1</v>
      </c>
      <c r="F680">
        <v>2.5</v>
      </c>
      <c r="G680">
        <v>3.81</v>
      </c>
      <c r="H680">
        <v>0.9</v>
      </c>
      <c r="I680" t="s">
        <v>15</v>
      </c>
      <c r="J680">
        <v>6</v>
      </c>
      <c r="K680">
        <v>9</v>
      </c>
      <c r="L680">
        <v>4</v>
      </c>
      <c r="M680">
        <v>0</v>
      </c>
      <c r="N680" t="str">
        <f t="shared" si="22"/>
        <v>16-19</v>
      </c>
      <c r="O680" t="str">
        <f t="shared" si="23"/>
        <v>healthy sleep</v>
      </c>
      <c r="P680" s="1" t="str" cm="1">
        <f t="array" ref="P680">_xlfn.IFS(L680&lt;=3,"low",L680&lt;=6,"medium",L680&gt;=7,"high")</f>
        <v>medium</v>
      </c>
    </row>
    <row r="681" spans="1:16" x14ac:dyDescent="0.3">
      <c r="A681">
        <v>13</v>
      </c>
      <c r="B681" t="s">
        <v>13</v>
      </c>
      <c r="C681">
        <v>2.1</v>
      </c>
      <c r="D681" t="s">
        <v>14</v>
      </c>
      <c r="E681">
        <v>4.0999999999999996</v>
      </c>
      <c r="F681">
        <v>1.6</v>
      </c>
      <c r="G681">
        <v>2.12</v>
      </c>
      <c r="H681">
        <v>1.8</v>
      </c>
      <c r="I681" t="s">
        <v>18</v>
      </c>
      <c r="J681">
        <v>10</v>
      </c>
      <c r="K681">
        <v>9</v>
      </c>
      <c r="L681">
        <v>6</v>
      </c>
      <c r="M681">
        <v>0</v>
      </c>
      <c r="N681" t="str">
        <f t="shared" si="22"/>
        <v>13-15</v>
      </c>
      <c r="O681" t="str">
        <f t="shared" si="23"/>
        <v>low sleep</v>
      </c>
      <c r="P681" s="1" t="str" cm="1">
        <f t="array" ref="P681">_xlfn.IFS(L681&lt;=3,"low",L681&lt;=6,"medium",L681&gt;=7,"high")</f>
        <v>medium</v>
      </c>
    </row>
    <row r="682" spans="1:16" x14ac:dyDescent="0.3">
      <c r="A682">
        <v>17</v>
      </c>
      <c r="B682" t="s">
        <v>16</v>
      </c>
      <c r="C682">
        <v>6.2</v>
      </c>
      <c r="D682" t="s">
        <v>20</v>
      </c>
      <c r="E682">
        <v>6.1</v>
      </c>
      <c r="F682">
        <v>2.4</v>
      </c>
      <c r="G682">
        <v>3.05</v>
      </c>
      <c r="H682">
        <v>1.8</v>
      </c>
      <c r="I682" t="s">
        <v>18</v>
      </c>
      <c r="J682">
        <v>3</v>
      </c>
      <c r="K682">
        <v>6</v>
      </c>
      <c r="L682">
        <v>8</v>
      </c>
      <c r="M682">
        <v>0</v>
      </c>
      <c r="N682" t="str">
        <f t="shared" si="22"/>
        <v>16-19</v>
      </c>
      <c r="O682" t="str">
        <f t="shared" si="23"/>
        <v>healthy sleep</v>
      </c>
      <c r="P682" s="1" t="str" cm="1">
        <f t="array" ref="P682">_xlfn.IFS(L682&lt;=3,"low",L682&lt;=6,"medium",L682&gt;=7,"high")</f>
        <v>high</v>
      </c>
    </row>
    <row r="683" spans="1:16" x14ac:dyDescent="0.3">
      <c r="A683">
        <v>19</v>
      </c>
      <c r="B683" t="s">
        <v>13</v>
      </c>
      <c r="C683">
        <v>6.8</v>
      </c>
      <c r="D683" t="s">
        <v>14</v>
      </c>
      <c r="E683">
        <v>8.4</v>
      </c>
      <c r="F683">
        <v>2.1</v>
      </c>
      <c r="G683">
        <v>3.15</v>
      </c>
      <c r="H683">
        <v>2</v>
      </c>
      <c r="I683" t="s">
        <v>19</v>
      </c>
      <c r="J683">
        <v>4</v>
      </c>
      <c r="K683">
        <v>10</v>
      </c>
      <c r="L683">
        <v>1</v>
      </c>
      <c r="M683">
        <v>0</v>
      </c>
      <c r="N683" t="str">
        <f t="shared" si="22"/>
        <v>16-19</v>
      </c>
      <c r="O683" t="str">
        <f t="shared" si="23"/>
        <v>healthy sleep</v>
      </c>
      <c r="P683" s="1" t="str" cm="1">
        <f t="array" ref="P683">_xlfn.IFS(L683&lt;=3,"low",L683&lt;=6,"medium",L683&gt;=7,"high")</f>
        <v>low</v>
      </c>
    </row>
    <row r="684" spans="1:16" x14ac:dyDescent="0.3">
      <c r="A684">
        <v>14</v>
      </c>
      <c r="B684" t="s">
        <v>13</v>
      </c>
      <c r="C684">
        <v>5.2</v>
      </c>
      <c r="D684" t="s">
        <v>14</v>
      </c>
      <c r="E684">
        <v>5.5</v>
      </c>
      <c r="F684">
        <v>1.6</v>
      </c>
      <c r="G684">
        <v>3.08</v>
      </c>
      <c r="H684">
        <v>0.5</v>
      </c>
      <c r="I684" t="s">
        <v>19</v>
      </c>
      <c r="J684">
        <v>3</v>
      </c>
      <c r="K684">
        <v>8</v>
      </c>
      <c r="L684">
        <v>1</v>
      </c>
      <c r="M684">
        <v>0</v>
      </c>
      <c r="N684" t="str">
        <f t="shared" si="22"/>
        <v>13-15</v>
      </c>
      <c r="O684" t="str">
        <f t="shared" si="23"/>
        <v>low sleep</v>
      </c>
      <c r="P684" s="1" t="str" cm="1">
        <f t="array" ref="P684">_xlfn.IFS(L684&lt;=3,"low",L684&lt;=6,"medium",L684&gt;=7,"high")</f>
        <v>low</v>
      </c>
    </row>
    <row r="685" spans="1:16" x14ac:dyDescent="0.3">
      <c r="A685">
        <v>15</v>
      </c>
      <c r="B685" t="s">
        <v>13</v>
      </c>
      <c r="C685">
        <v>3.7</v>
      </c>
      <c r="D685" t="s">
        <v>20</v>
      </c>
      <c r="E685">
        <v>4</v>
      </c>
      <c r="F685">
        <v>0.9</v>
      </c>
      <c r="G685">
        <v>3</v>
      </c>
      <c r="H685">
        <v>1.4</v>
      </c>
      <c r="I685" t="s">
        <v>19</v>
      </c>
      <c r="J685">
        <v>1</v>
      </c>
      <c r="K685">
        <v>8</v>
      </c>
      <c r="L685">
        <v>10</v>
      </c>
      <c r="M685">
        <v>0</v>
      </c>
      <c r="N685" t="str">
        <f t="shared" si="22"/>
        <v>13-15</v>
      </c>
      <c r="O685" t="str">
        <f t="shared" si="23"/>
        <v>low sleep</v>
      </c>
      <c r="P685" s="1" t="str" cm="1">
        <f t="array" ref="P685">_xlfn.IFS(L685&lt;=3,"low",L685&lt;=6,"medium",L685&gt;=7,"high")</f>
        <v>high</v>
      </c>
    </row>
    <row r="686" spans="1:16" x14ac:dyDescent="0.3">
      <c r="A686">
        <v>19</v>
      </c>
      <c r="B686" t="s">
        <v>13</v>
      </c>
      <c r="C686">
        <v>2.4</v>
      </c>
      <c r="D686" t="s">
        <v>20</v>
      </c>
      <c r="E686">
        <v>7.5</v>
      </c>
      <c r="F686">
        <v>1.8</v>
      </c>
      <c r="G686">
        <v>2.35</v>
      </c>
      <c r="H686">
        <v>1.4</v>
      </c>
      <c r="I686" t="s">
        <v>15</v>
      </c>
      <c r="J686">
        <v>3</v>
      </c>
      <c r="K686">
        <v>8</v>
      </c>
      <c r="L686">
        <v>6</v>
      </c>
      <c r="M686">
        <v>0</v>
      </c>
      <c r="N686" t="str">
        <f t="shared" si="22"/>
        <v>16-19</v>
      </c>
      <c r="O686" t="str">
        <f t="shared" si="23"/>
        <v>healthy sleep</v>
      </c>
      <c r="P686" s="1" t="str" cm="1">
        <f t="array" ref="P686">_xlfn.IFS(L686&lt;=3,"low",L686&lt;=6,"medium",L686&gt;=7,"high")</f>
        <v>medium</v>
      </c>
    </row>
    <row r="687" spans="1:16" x14ac:dyDescent="0.3">
      <c r="A687">
        <v>13</v>
      </c>
      <c r="B687" t="s">
        <v>13</v>
      </c>
      <c r="C687">
        <v>2.1</v>
      </c>
      <c r="D687" t="s">
        <v>17</v>
      </c>
      <c r="E687">
        <v>5.8</v>
      </c>
      <c r="F687">
        <v>2.7</v>
      </c>
      <c r="G687">
        <v>3.83</v>
      </c>
      <c r="H687">
        <v>1.9</v>
      </c>
      <c r="I687" t="s">
        <v>15</v>
      </c>
      <c r="J687">
        <v>4</v>
      </c>
      <c r="K687">
        <v>6</v>
      </c>
      <c r="L687">
        <v>6</v>
      </c>
      <c r="M687">
        <v>0</v>
      </c>
      <c r="N687" t="str">
        <f t="shared" si="22"/>
        <v>13-15</v>
      </c>
      <c r="O687" t="str">
        <f t="shared" si="23"/>
        <v>low sleep</v>
      </c>
      <c r="P687" s="1" t="str" cm="1">
        <f t="array" ref="P687">_xlfn.IFS(L687&lt;=3,"low",L687&lt;=6,"medium",L687&gt;=7,"high")</f>
        <v>medium</v>
      </c>
    </row>
    <row r="688" spans="1:16" x14ac:dyDescent="0.3">
      <c r="A688">
        <v>17</v>
      </c>
      <c r="B688" t="s">
        <v>16</v>
      </c>
      <c r="C688">
        <v>2.6</v>
      </c>
      <c r="D688" t="s">
        <v>17</v>
      </c>
      <c r="E688">
        <v>4.2</v>
      </c>
      <c r="F688">
        <v>0.7</v>
      </c>
      <c r="G688">
        <v>3.02</v>
      </c>
      <c r="H688">
        <v>1.6</v>
      </c>
      <c r="I688" t="s">
        <v>15</v>
      </c>
      <c r="J688">
        <v>7</v>
      </c>
      <c r="K688">
        <v>4</v>
      </c>
      <c r="L688">
        <v>7</v>
      </c>
      <c r="M688">
        <v>0</v>
      </c>
      <c r="N688" t="str">
        <f t="shared" si="22"/>
        <v>16-19</v>
      </c>
      <c r="O688" t="str">
        <f t="shared" si="23"/>
        <v>low sleep</v>
      </c>
      <c r="P688" s="1" t="str" cm="1">
        <f t="array" ref="P688">_xlfn.IFS(L688&lt;=3,"low",L688&lt;=6,"medium",L688&gt;=7,"high")</f>
        <v>high</v>
      </c>
    </row>
    <row r="689" spans="1:16" x14ac:dyDescent="0.3">
      <c r="A689">
        <v>19</v>
      </c>
      <c r="B689" t="s">
        <v>13</v>
      </c>
      <c r="C689">
        <v>6.5</v>
      </c>
      <c r="D689" t="s">
        <v>14</v>
      </c>
      <c r="E689">
        <v>6</v>
      </c>
      <c r="F689">
        <v>1.5</v>
      </c>
      <c r="G689">
        <v>2.12</v>
      </c>
      <c r="H689">
        <v>1.7</v>
      </c>
      <c r="I689" t="s">
        <v>19</v>
      </c>
      <c r="J689">
        <v>8</v>
      </c>
      <c r="K689">
        <v>5</v>
      </c>
      <c r="L689">
        <v>7</v>
      </c>
      <c r="M689">
        <v>0</v>
      </c>
      <c r="N689" t="str">
        <f t="shared" si="22"/>
        <v>16-19</v>
      </c>
      <c r="O689" t="str">
        <f t="shared" si="23"/>
        <v>low sleep</v>
      </c>
      <c r="P689" s="1" t="str" cm="1">
        <f t="array" ref="P689">_xlfn.IFS(L689&lt;=3,"low",L689&lt;=6,"medium",L689&gt;=7,"high")</f>
        <v>high</v>
      </c>
    </row>
    <row r="690" spans="1:16" x14ac:dyDescent="0.3">
      <c r="A690">
        <v>16</v>
      </c>
      <c r="B690" t="s">
        <v>16</v>
      </c>
      <c r="C690">
        <v>3.4</v>
      </c>
      <c r="D690" t="s">
        <v>14</v>
      </c>
      <c r="E690">
        <v>5.3</v>
      </c>
      <c r="F690">
        <v>1.8</v>
      </c>
      <c r="G690">
        <v>3.33</v>
      </c>
      <c r="H690">
        <v>0.3</v>
      </c>
      <c r="I690" t="s">
        <v>15</v>
      </c>
      <c r="J690">
        <v>9</v>
      </c>
      <c r="K690">
        <v>2</v>
      </c>
      <c r="L690">
        <v>4</v>
      </c>
      <c r="M690">
        <v>0</v>
      </c>
      <c r="N690" t="str">
        <f t="shared" si="22"/>
        <v>16-19</v>
      </c>
      <c r="O690" t="str">
        <f t="shared" si="23"/>
        <v>low sleep</v>
      </c>
      <c r="P690" s="1" t="str" cm="1">
        <f t="array" ref="P690">_xlfn.IFS(L690&lt;=3,"low",L690&lt;=6,"medium",L690&gt;=7,"high")</f>
        <v>medium</v>
      </c>
    </row>
    <row r="691" spans="1:16" x14ac:dyDescent="0.3">
      <c r="A691">
        <v>16</v>
      </c>
      <c r="B691" t="s">
        <v>13</v>
      </c>
      <c r="C691">
        <v>1.7</v>
      </c>
      <c r="D691" t="s">
        <v>20</v>
      </c>
      <c r="E691">
        <v>4.3</v>
      </c>
      <c r="F691">
        <v>1.4</v>
      </c>
      <c r="G691">
        <v>3.27</v>
      </c>
      <c r="H691">
        <v>1.2</v>
      </c>
      <c r="I691" t="s">
        <v>19</v>
      </c>
      <c r="J691">
        <v>10</v>
      </c>
      <c r="K691">
        <v>4</v>
      </c>
      <c r="L691">
        <v>10</v>
      </c>
      <c r="M691">
        <v>0</v>
      </c>
      <c r="N691" t="str">
        <f t="shared" si="22"/>
        <v>16-19</v>
      </c>
      <c r="O691" t="str">
        <f t="shared" si="23"/>
        <v>low sleep</v>
      </c>
      <c r="P691" s="1" t="str" cm="1">
        <f t="array" ref="P691">_xlfn.IFS(L691&lt;=3,"low",L691&lt;=6,"medium",L691&gt;=7,"high")</f>
        <v>high</v>
      </c>
    </row>
    <row r="692" spans="1:16" x14ac:dyDescent="0.3">
      <c r="A692">
        <v>13</v>
      </c>
      <c r="B692" t="s">
        <v>13</v>
      </c>
      <c r="C692">
        <v>5.6</v>
      </c>
      <c r="D692" t="s">
        <v>20</v>
      </c>
      <c r="E692">
        <v>4.4000000000000004</v>
      </c>
      <c r="F692">
        <v>2.9</v>
      </c>
      <c r="G692">
        <v>3.19</v>
      </c>
      <c r="H692">
        <v>0.9</v>
      </c>
      <c r="I692" t="s">
        <v>19</v>
      </c>
      <c r="J692">
        <v>6</v>
      </c>
      <c r="K692">
        <v>3</v>
      </c>
      <c r="L692">
        <v>4</v>
      </c>
      <c r="M692">
        <v>0</v>
      </c>
      <c r="N692" t="str">
        <f t="shared" si="22"/>
        <v>13-15</v>
      </c>
      <c r="O692" t="str">
        <f t="shared" si="23"/>
        <v>low sleep</v>
      </c>
      <c r="P692" s="1" t="str" cm="1">
        <f t="array" ref="P692">_xlfn.IFS(L692&lt;=3,"low",L692&lt;=6,"medium",L692&gt;=7,"high")</f>
        <v>medium</v>
      </c>
    </row>
    <row r="693" spans="1:16" x14ac:dyDescent="0.3">
      <c r="A693">
        <v>15</v>
      </c>
      <c r="B693" t="s">
        <v>16</v>
      </c>
      <c r="C693">
        <v>8</v>
      </c>
      <c r="D693" t="s">
        <v>20</v>
      </c>
      <c r="E693">
        <v>5.7</v>
      </c>
      <c r="F693">
        <v>1.3</v>
      </c>
      <c r="G693">
        <v>3.54</v>
      </c>
      <c r="H693">
        <v>0.1</v>
      </c>
      <c r="I693" t="s">
        <v>18</v>
      </c>
      <c r="J693">
        <v>9</v>
      </c>
      <c r="K693">
        <v>7</v>
      </c>
      <c r="L693">
        <v>5</v>
      </c>
      <c r="M693">
        <v>1</v>
      </c>
      <c r="N693" t="str">
        <f t="shared" si="22"/>
        <v>13-15</v>
      </c>
      <c r="O693" t="str">
        <f t="shared" si="23"/>
        <v>low sleep</v>
      </c>
      <c r="P693" s="1" t="str" cm="1">
        <f t="array" ref="P693">_xlfn.IFS(L693&lt;=3,"low",L693&lt;=6,"medium",L693&gt;=7,"high")</f>
        <v>medium</v>
      </c>
    </row>
    <row r="694" spans="1:16" x14ac:dyDescent="0.3">
      <c r="A694">
        <v>15</v>
      </c>
      <c r="B694" t="s">
        <v>16</v>
      </c>
      <c r="C694">
        <v>5.7</v>
      </c>
      <c r="D694" t="s">
        <v>14</v>
      </c>
      <c r="E694">
        <v>8.4</v>
      </c>
      <c r="F694">
        <v>1.3</v>
      </c>
      <c r="G694">
        <v>2.48</v>
      </c>
      <c r="H694">
        <v>0.9</v>
      </c>
      <c r="I694" t="s">
        <v>18</v>
      </c>
      <c r="J694">
        <v>5</v>
      </c>
      <c r="K694">
        <v>2</v>
      </c>
      <c r="L694">
        <v>4</v>
      </c>
      <c r="M694">
        <v>0</v>
      </c>
      <c r="N694" t="str">
        <f t="shared" si="22"/>
        <v>13-15</v>
      </c>
      <c r="O694" t="str">
        <f t="shared" si="23"/>
        <v>healthy sleep</v>
      </c>
      <c r="P694" s="1" t="str" cm="1">
        <f t="array" ref="P694">_xlfn.IFS(L694&lt;=3,"low",L694&lt;=6,"medium",L694&gt;=7,"high")</f>
        <v>medium</v>
      </c>
    </row>
    <row r="695" spans="1:16" x14ac:dyDescent="0.3">
      <c r="A695">
        <v>16</v>
      </c>
      <c r="B695" t="s">
        <v>16</v>
      </c>
      <c r="C695">
        <v>4</v>
      </c>
      <c r="D695" t="s">
        <v>17</v>
      </c>
      <c r="E695">
        <v>5.4</v>
      </c>
      <c r="F695">
        <v>2.7</v>
      </c>
      <c r="G695">
        <v>2.88</v>
      </c>
      <c r="H695">
        <v>1.2</v>
      </c>
      <c r="I695" t="s">
        <v>19</v>
      </c>
      <c r="J695">
        <v>4</v>
      </c>
      <c r="K695">
        <v>10</v>
      </c>
      <c r="L695">
        <v>1</v>
      </c>
      <c r="M695">
        <v>0</v>
      </c>
      <c r="N695" t="str">
        <f t="shared" si="22"/>
        <v>16-19</v>
      </c>
      <c r="O695" t="str">
        <f t="shared" si="23"/>
        <v>low sleep</v>
      </c>
      <c r="P695" s="1" t="str" cm="1">
        <f t="array" ref="P695">_xlfn.IFS(L695&lt;=3,"low",L695&lt;=6,"medium",L695&gt;=7,"high")</f>
        <v>low</v>
      </c>
    </row>
    <row r="696" spans="1:16" x14ac:dyDescent="0.3">
      <c r="A696">
        <v>13</v>
      </c>
      <c r="B696" t="s">
        <v>16</v>
      </c>
      <c r="C696">
        <v>3.5</v>
      </c>
      <c r="D696" t="s">
        <v>14</v>
      </c>
      <c r="E696">
        <v>5.3</v>
      </c>
      <c r="F696">
        <v>1.7</v>
      </c>
      <c r="G696">
        <v>2.2000000000000002</v>
      </c>
      <c r="H696">
        <v>0.8</v>
      </c>
      <c r="I696" t="s">
        <v>18</v>
      </c>
      <c r="J696">
        <v>6</v>
      </c>
      <c r="K696">
        <v>10</v>
      </c>
      <c r="L696">
        <v>8</v>
      </c>
      <c r="M696">
        <v>0</v>
      </c>
      <c r="N696" t="str">
        <f t="shared" si="22"/>
        <v>13-15</v>
      </c>
      <c r="O696" t="str">
        <f t="shared" si="23"/>
        <v>low sleep</v>
      </c>
      <c r="P696" s="1" t="str" cm="1">
        <f t="array" ref="P696">_xlfn.IFS(L696&lt;=3,"low",L696&lt;=6,"medium",L696&gt;=7,"high")</f>
        <v>high</v>
      </c>
    </row>
    <row r="697" spans="1:16" x14ac:dyDescent="0.3">
      <c r="A697">
        <v>15</v>
      </c>
      <c r="B697" t="s">
        <v>16</v>
      </c>
      <c r="C697">
        <v>4.2</v>
      </c>
      <c r="D697" t="s">
        <v>17</v>
      </c>
      <c r="E697">
        <v>5.5</v>
      </c>
      <c r="F697">
        <v>1.3</v>
      </c>
      <c r="G697">
        <v>3.49</v>
      </c>
      <c r="H697">
        <v>0.5</v>
      </c>
      <c r="I697" t="s">
        <v>15</v>
      </c>
      <c r="J697">
        <v>2</v>
      </c>
      <c r="K697">
        <v>5</v>
      </c>
      <c r="L697">
        <v>2</v>
      </c>
      <c r="M697">
        <v>0</v>
      </c>
      <c r="N697" t="str">
        <f t="shared" si="22"/>
        <v>13-15</v>
      </c>
      <c r="O697" t="str">
        <f t="shared" si="23"/>
        <v>low sleep</v>
      </c>
      <c r="P697" s="1" t="str" cm="1">
        <f t="array" ref="P697">_xlfn.IFS(L697&lt;=3,"low",L697&lt;=6,"medium",L697&gt;=7,"high")</f>
        <v>low</v>
      </c>
    </row>
    <row r="698" spans="1:16" x14ac:dyDescent="0.3">
      <c r="A698">
        <v>19</v>
      </c>
      <c r="B698" t="s">
        <v>16</v>
      </c>
      <c r="C698">
        <v>3.9</v>
      </c>
      <c r="D698" t="s">
        <v>17</v>
      </c>
      <c r="E698">
        <v>7.4</v>
      </c>
      <c r="F698">
        <v>2.5</v>
      </c>
      <c r="G698">
        <v>3.74</v>
      </c>
      <c r="H698">
        <v>0.3</v>
      </c>
      <c r="I698" t="s">
        <v>19</v>
      </c>
      <c r="J698">
        <v>5</v>
      </c>
      <c r="K698">
        <v>8</v>
      </c>
      <c r="L698">
        <v>3</v>
      </c>
      <c r="M698">
        <v>0</v>
      </c>
      <c r="N698" t="str">
        <f t="shared" si="22"/>
        <v>16-19</v>
      </c>
      <c r="O698" t="str">
        <f t="shared" si="23"/>
        <v>healthy sleep</v>
      </c>
      <c r="P698" s="1" t="str" cm="1">
        <f t="array" ref="P698">_xlfn.IFS(L698&lt;=3,"low",L698&lt;=6,"medium",L698&gt;=7,"high")</f>
        <v>low</v>
      </c>
    </row>
    <row r="699" spans="1:16" x14ac:dyDescent="0.3">
      <c r="A699">
        <v>17</v>
      </c>
      <c r="B699" t="s">
        <v>16</v>
      </c>
      <c r="C699">
        <v>6.7</v>
      </c>
      <c r="D699" t="s">
        <v>14</v>
      </c>
      <c r="E699">
        <v>4.3</v>
      </c>
      <c r="F699">
        <v>0.6</v>
      </c>
      <c r="G699">
        <v>3.76</v>
      </c>
      <c r="H699">
        <v>0</v>
      </c>
      <c r="I699" t="s">
        <v>15</v>
      </c>
      <c r="J699">
        <v>2</v>
      </c>
      <c r="K699">
        <v>1</v>
      </c>
      <c r="L699">
        <v>7</v>
      </c>
      <c r="M699">
        <v>0</v>
      </c>
      <c r="N699" t="str">
        <f t="shared" si="22"/>
        <v>16-19</v>
      </c>
      <c r="O699" t="str">
        <f t="shared" si="23"/>
        <v>low sleep</v>
      </c>
      <c r="P699" s="1" t="str" cm="1">
        <f t="array" ref="P699">_xlfn.IFS(L699&lt;=3,"low",L699&lt;=6,"medium",L699&gt;=7,"high")</f>
        <v>high</v>
      </c>
    </row>
    <row r="700" spans="1:16" x14ac:dyDescent="0.3">
      <c r="A700">
        <v>15</v>
      </c>
      <c r="B700" t="s">
        <v>13</v>
      </c>
      <c r="C700">
        <v>6.7</v>
      </c>
      <c r="D700" t="s">
        <v>20</v>
      </c>
      <c r="E700">
        <v>4.3</v>
      </c>
      <c r="F700">
        <v>1.8</v>
      </c>
      <c r="G700">
        <v>3.69</v>
      </c>
      <c r="H700">
        <v>0.7</v>
      </c>
      <c r="I700" t="s">
        <v>18</v>
      </c>
      <c r="J700">
        <v>2</v>
      </c>
      <c r="K700">
        <v>8</v>
      </c>
      <c r="L700">
        <v>7</v>
      </c>
      <c r="M700">
        <v>0</v>
      </c>
      <c r="N700" t="str">
        <f t="shared" si="22"/>
        <v>13-15</v>
      </c>
      <c r="O700" t="str">
        <f t="shared" si="23"/>
        <v>low sleep</v>
      </c>
      <c r="P700" s="1" t="str" cm="1">
        <f t="array" ref="P700">_xlfn.IFS(L700&lt;=3,"low",L700&lt;=6,"medium",L700&gt;=7,"high")</f>
        <v>high</v>
      </c>
    </row>
    <row r="701" spans="1:16" x14ac:dyDescent="0.3">
      <c r="A701">
        <v>14</v>
      </c>
      <c r="B701" t="s">
        <v>16</v>
      </c>
      <c r="C701">
        <v>3.4</v>
      </c>
      <c r="D701" t="s">
        <v>14</v>
      </c>
      <c r="E701">
        <v>5.6</v>
      </c>
      <c r="F701">
        <v>1.7</v>
      </c>
      <c r="G701">
        <v>3.38</v>
      </c>
      <c r="H701">
        <v>0.3</v>
      </c>
      <c r="I701" t="s">
        <v>18</v>
      </c>
      <c r="J701">
        <v>9</v>
      </c>
      <c r="K701">
        <v>3</v>
      </c>
      <c r="L701">
        <v>1</v>
      </c>
      <c r="M701">
        <v>0</v>
      </c>
      <c r="N701" t="str">
        <f t="shared" si="22"/>
        <v>13-15</v>
      </c>
      <c r="O701" t="str">
        <f t="shared" si="23"/>
        <v>low sleep</v>
      </c>
      <c r="P701" s="1" t="str" cm="1">
        <f t="array" ref="P701">_xlfn.IFS(L701&lt;=3,"low",L701&lt;=6,"medium",L701&gt;=7,"high")</f>
        <v>low</v>
      </c>
    </row>
    <row r="702" spans="1:16" x14ac:dyDescent="0.3">
      <c r="A702">
        <v>16</v>
      </c>
      <c r="B702" t="s">
        <v>13</v>
      </c>
      <c r="C702">
        <v>5</v>
      </c>
      <c r="D702" t="s">
        <v>17</v>
      </c>
      <c r="E702">
        <v>4.3</v>
      </c>
      <c r="F702">
        <v>0.7</v>
      </c>
      <c r="G702">
        <v>3.68</v>
      </c>
      <c r="H702">
        <v>1.2</v>
      </c>
      <c r="I702" t="s">
        <v>15</v>
      </c>
      <c r="J702">
        <v>6</v>
      </c>
      <c r="K702">
        <v>2</v>
      </c>
      <c r="L702">
        <v>4</v>
      </c>
      <c r="M702">
        <v>0</v>
      </c>
      <c r="N702" t="str">
        <f t="shared" si="22"/>
        <v>16-19</v>
      </c>
      <c r="O702" t="str">
        <f t="shared" si="23"/>
        <v>low sleep</v>
      </c>
      <c r="P702" s="1" t="str" cm="1">
        <f t="array" ref="P702">_xlfn.IFS(L702&lt;=3,"low",L702&lt;=6,"medium",L702&gt;=7,"high")</f>
        <v>medium</v>
      </c>
    </row>
    <row r="703" spans="1:16" x14ac:dyDescent="0.3">
      <c r="A703">
        <v>18</v>
      </c>
      <c r="B703" t="s">
        <v>16</v>
      </c>
      <c r="C703">
        <v>3.8</v>
      </c>
      <c r="D703" t="s">
        <v>14</v>
      </c>
      <c r="E703">
        <v>5.9</v>
      </c>
      <c r="F703">
        <v>1</v>
      </c>
      <c r="G703">
        <v>2.2200000000000002</v>
      </c>
      <c r="H703">
        <v>0.6</v>
      </c>
      <c r="I703" t="s">
        <v>15</v>
      </c>
      <c r="J703">
        <v>9</v>
      </c>
      <c r="K703">
        <v>10</v>
      </c>
      <c r="L703">
        <v>9</v>
      </c>
      <c r="M703">
        <v>0</v>
      </c>
      <c r="N703" t="str">
        <f t="shared" si="22"/>
        <v>16-19</v>
      </c>
      <c r="O703" t="str">
        <f t="shared" si="23"/>
        <v>low sleep</v>
      </c>
      <c r="P703" s="1" t="str" cm="1">
        <f t="array" ref="P703">_xlfn.IFS(L703&lt;=3,"low",L703&lt;=6,"medium",L703&gt;=7,"high")</f>
        <v>high</v>
      </c>
    </row>
    <row r="704" spans="1:16" x14ac:dyDescent="0.3">
      <c r="A704">
        <v>15</v>
      </c>
      <c r="B704" t="s">
        <v>16</v>
      </c>
      <c r="C704">
        <v>7.3</v>
      </c>
      <c r="D704" t="s">
        <v>17</v>
      </c>
      <c r="E704">
        <v>7.3</v>
      </c>
      <c r="F704">
        <v>2.8</v>
      </c>
      <c r="G704">
        <v>2.46</v>
      </c>
      <c r="H704">
        <v>0.3</v>
      </c>
      <c r="I704" t="s">
        <v>15</v>
      </c>
      <c r="J704">
        <v>2</v>
      </c>
      <c r="K704">
        <v>7</v>
      </c>
      <c r="L704">
        <v>5</v>
      </c>
      <c r="M704">
        <v>0</v>
      </c>
      <c r="N704" t="str">
        <f t="shared" si="22"/>
        <v>13-15</v>
      </c>
      <c r="O704" t="str">
        <f t="shared" si="23"/>
        <v>healthy sleep</v>
      </c>
      <c r="P704" s="1" t="str" cm="1">
        <f t="array" ref="P704">_xlfn.IFS(L704&lt;=3,"low",L704&lt;=6,"medium",L704&gt;=7,"high")</f>
        <v>medium</v>
      </c>
    </row>
    <row r="705" spans="1:16" x14ac:dyDescent="0.3">
      <c r="A705">
        <v>18</v>
      </c>
      <c r="B705" t="s">
        <v>16</v>
      </c>
      <c r="C705">
        <v>7.2</v>
      </c>
      <c r="D705" t="s">
        <v>17</v>
      </c>
      <c r="E705">
        <v>5</v>
      </c>
      <c r="F705">
        <v>1.4</v>
      </c>
      <c r="G705">
        <v>3.65</v>
      </c>
      <c r="H705">
        <v>1.1000000000000001</v>
      </c>
      <c r="I705" t="s">
        <v>15</v>
      </c>
      <c r="J705">
        <v>8</v>
      </c>
      <c r="K705">
        <v>8</v>
      </c>
      <c r="L705">
        <v>4</v>
      </c>
      <c r="M705">
        <v>1</v>
      </c>
      <c r="N705" t="str">
        <f t="shared" si="22"/>
        <v>16-19</v>
      </c>
      <c r="O705" t="str">
        <f t="shared" si="23"/>
        <v>low sleep</v>
      </c>
      <c r="P705" s="1" t="str" cm="1">
        <f t="array" ref="P705">_xlfn.IFS(L705&lt;=3,"low",L705&lt;=6,"medium",L705&gt;=7,"high")</f>
        <v>medium</v>
      </c>
    </row>
    <row r="706" spans="1:16" x14ac:dyDescent="0.3">
      <c r="A706">
        <v>15</v>
      </c>
      <c r="B706" t="s">
        <v>16</v>
      </c>
      <c r="C706">
        <v>3.1</v>
      </c>
      <c r="D706" t="s">
        <v>20</v>
      </c>
      <c r="E706">
        <v>4.2</v>
      </c>
      <c r="F706">
        <v>2.1</v>
      </c>
      <c r="G706">
        <v>3.21</v>
      </c>
      <c r="H706">
        <v>1.1000000000000001</v>
      </c>
      <c r="I706" t="s">
        <v>19</v>
      </c>
      <c r="J706">
        <v>8</v>
      </c>
      <c r="K706">
        <v>2</v>
      </c>
      <c r="L706">
        <v>10</v>
      </c>
      <c r="M706">
        <v>0</v>
      </c>
      <c r="N706" t="str">
        <f t="shared" si="22"/>
        <v>13-15</v>
      </c>
      <c r="O706" t="str">
        <f t="shared" si="23"/>
        <v>low sleep</v>
      </c>
      <c r="P706" s="1" t="str" cm="1">
        <f t="array" ref="P706">_xlfn.IFS(L706&lt;=3,"low",L706&lt;=6,"medium",L706&gt;=7,"high")</f>
        <v>high</v>
      </c>
    </row>
    <row r="707" spans="1:16" x14ac:dyDescent="0.3">
      <c r="A707">
        <v>15</v>
      </c>
      <c r="B707" t="s">
        <v>16</v>
      </c>
      <c r="C707">
        <v>8</v>
      </c>
      <c r="D707" t="s">
        <v>14</v>
      </c>
      <c r="E707">
        <v>4.4000000000000004</v>
      </c>
      <c r="F707">
        <v>0.7</v>
      </c>
      <c r="G707">
        <v>2.62</v>
      </c>
      <c r="H707">
        <v>1.6</v>
      </c>
      <c r="I707" t="s">
        <v>18</v>
      </c>
      <c r="J707">
        <v>6</v>
      </c>
      <c r="K707">
        <v>7</v>
      </c>
      <c r="L707">
        <v>2</v>
      </c>
      <c r="M707">
        <v>0</v>
      </c>
      <c r="N707" t="str">
        <f t="shared" ref="N707:N770" si="24">IF(A707&lt;=15,"13-15","16-19")</f>
        <v>13-15</v>
      </c>
      <c r="O707" t="str">
        <f t="shared" ref="O707:O770" si="25">IF(E707&lt;=6,"low sleep","healthy sleep")</f>
        <v>low sleep</v>
      </c>
      <c r="P707" s="1" t="str" cm="1">
        <f t="array" ref="P707">_xlfn.IFS(L707&lt;=3,"low",L707&lt;=6,"medium",L707&gt;=7,"high")</f>
        <v>low</v>
      </c>
    </row>
    <row r="708" spans="1:16" x14ac:dyDescent="0.3">
      <c r="A708">
        <v>15</v>
      </c>
      <c r="B708" t="s">
        <v>13</v>
      </c>
      <c r="C708">
        <v>4.3</v>
      </c>
      <c r="D708" t="s">
        <v>14</v>
      </c>
      <c r="E708">
        <v>7.5</v>
      </c>
      <c r="F708">
        <v>1.1000000000000001</v>
      </c>
      <c r="G708">
        <v>2.06</v>
      </c>
      <c r="H708">
        <v>1.8</v>
      </c>
      <c r="I708" t="s">
        <v>19</v>
      </c>
      <c r="J708">
        <v>5</v>
      </c>
      <c r="K708">
        <v>7</v>
      </c>
      <c r="L708">
        <v>2</v>
      </c>
      <c r="M708">
        <v>0</v>
      </c>
      <c r="N708" t="str">
        <f t="shared" si="24"/>
        <v>13-15</v>
      </c>
      <c r="O708" t="str">
        <f t="shared" si="25"/>
        <v>healthy sleep</v>
      </c>
      <c r="P708" s="1" t="str" cm="1">
        <f t="array" ref="P708">_xlfn.IFS(L708&lt;=3,"low",L708&lt;=6,"medium",L708&gt;=7,"high")</f>
        <v>low</v>
      </c>
    </row>
    <row r="709" spans="1:16" x14ac:dyDescent="0.3">
      <c r="A709">
        <v>14</v>
      </c>
      <c r="B709" t="s">
        <v>16</v>
      </c>
      <c r="C709">
        <v>4</v>
      </c>
      <c r="D709" t="s">
        <v>17</v>
      </c>
      <c r="E709">
        <v>5.0999999999999996</v>
      </c>
      <c r="F709">
        <v>1.1000000000000001</v>
      </c>
      <c r="G709">
        <v>3.98</v>
      </c>
      <c r="H709">
        <v>1.3</v>
      </c>
      <c r="I709" t="s">
        <v>19</v>
      </c>
      <c r="J709">
        <v>5</v>
      </c>
      <c r="K709">
        <v>4</v>
      </c>
      <c r="L709">
        <v>9</v>
      </c>
      <c r="M709">
        <v>0</v>
      </c>
      <c r="N709" t="str">
        <f t="shared" si="24"/>
        <v>13-15</v>
      </c>
      <c r="O709" t="str">
        <f t="shared" si="25"/>
        <v>low sleep</v>
      </c>
      <c r="P709" s="1" t="str" cm="1">
        <f t="array" ref="P709">_xlfn.IFS(L709&lt;=3,"low",L709&lt;=6,"medium",L709&gt;=7,"high")</f>
        <v>high</v>
      </c>
    </row>
    <row r="710" spans="1:16" x14ac:dyDescent="0.3">
      <c r="A710">
        <v>15</v>
      </c>
      <c r="B710" t="s">
        <v>13</v>
      </c>
      <c r="C710">
        <v>6.9</v>
      </c>
      <c r="D710" t="s">
        <v>17</v>
      </c>
      <c r="E710">
        <v>5.6</v>
      </c>
      <c r="F710">
        <v>1.4</v>
      </c>
      <c r="G710">
        <v>2.09</v>
      </c>
      <c r="H710">
        <v>0.7</v>
      </c>
      <c r="I710" t="s">
        <v>15</v>
      </c>
      <c r="J710">
        <v>9</v>
      </c>
      <c r="K710">
        <v>5</v>
      </c>
      <c r="L710">
        <v>9</v>
      </c>
      <c r="M710">
        <v>0</v>
      </c>
      <c r="N710" t="str">
        <f t="shared" si="24"/>
        <v>13-15</v>
      </c>
      <c r="O710" t="str">
        <f t="shared" si="25"/>
        <v>low sleep</v>
      </c>
      <c r="P710" s="1" t="str" cm="1">
        <f t="array" ref="P710">_xlfn.IFS(L710&lt;=3,"low",L710&lt;=6,"medium",L710&gt;=7,"high")</f>
        <v>high</v>
      </c>
    </row>
    <row r="711" spans="1:16" x14ac:dyDescent="0.3">
      <c r="A711">
        <v>13</v>
      </c>
      <c r="B711" t="s">
        <v>13</v>
      </c>
      <c r="C711">
        <v>7</v>
      </c>
      <c r="D711" t="s">
        <v>17</v>
      </c>
      <c r="E711">
        <v>4.4000000000000004</v>
      </c>
      <c r="F711">
        <v>0.9</v>
      </c>
      <c r="G711">
        <v>3.67</v>
      </c>
      <c r="H711">
        <v>0.4</v>
      </c>
      <c r="I711" t="s">
        <v>15</v>
      </c>
      <c r="J711">
        <v>5</v>
      </c>
      <c r="K711">
        <v>3</v>
      </c>
      <c r="L711">
        <v>6</v>
      </c>
      <c r="M711">
        <v>0</v>
      </c>
      <c r="N711" t="str">
        <f t="shared" si="24"/>
        <v>13-15</v>
      </c>
      <c r="O711" t="str">
        <f t="shared" si="25"/>
        <v>low sleep</v>
      </c>
      <c r="P711" s="1" t="str" cm="1">
        <f t="array" ref="P711">_xlfn.IFS(L711&lt;=3,"low",L711&lt;=6,"medium",L711&gt;=7,"high")</f>
        <v>medium</v>
      </c>
    </row>
    <row r="712" spans="1:16" x14ac:dyDescent="0.3">
      <c r="A712">
        <v>13</v>
      </c>
      <c r="B712" t="s">
        <v>13</v>
      </c>
      <c r="C712">
        <v>6.2</v>
      </c>
      <c r="D712" t="s">
        <v>14</v>
      </c>
      <c r="E712">
        <v>8.6</v>
      </c>
      <c r="F712">
        <v>1.8</v>
      </c>
      <c r="G712">
        <v>2.19</v>
      </c>
      <c r="H712">
        <v>0.7</v>
      </c>
      <c r="I712" t="s">
        <v>18</v>
      </c>
      <c r="J712">
        <v>8</v>
      </c>
      <c r="K712">
        <v>4</v>
      </c>
      <c r="L712">
        <v>7</v>
      </c>
      <c r="M712">
        <v>0</v>
      </c>
      <c r="N712" t="str">
        <f t="shared" si="24"/>
        <v>13-15</v>
      </c>
      <c r="O712" t="str">
        <f t="shared" si="25"/>
        <v>healthy sleep</v>
      </c>
      <c r="P712" s="1" t="str" cm="1">
        <f t="array" ref="P712">_xlfn.IFS(L712&lt;=3,"low",L712&lt;=6,"medium",L712&gt;=7,"high")</f>
        <v>high</v>
      </c>
    </row>
    <row r="713" spans="1:16" x14ac:dyDescent="0.3">
      <c r="A713">
        <v>15</v>
      </c>
      <c r="B713" t="s">
        <v>13</v>
      </c>
      <c r="C713">
        <v>7.7</v>
      </c>
      <c r="D713" t="s">
        <v>14</v>
      </c>
      <c r="E713">
        <v>8</v>
      </c>
      <c r="F713">
        <v>1.3</v>
      </c>
      <c r="G713">
        <v>3.78</v>
      </c>
      <c r="H713">
        <v>1.1000000000000001</v>
      </c>
      <c r="I713" t="s">
        <v>19</v>
      </c>
      <c r="J713">
        <v>1</v>
      </c>
      <c r="K713">
        <v>6</v>
      </c>
      <c r="L713">
        <v>5</v>
      </c>
      <c r="M713">
        <v>0</v>
      </c>
      <c r="N713" t="str">
        <f t="shared" si="24"/>
        <v>13-15</v>
      </c>
      <c r="O713" t="str">
        <f t="shared" si="25"/>
        <v>healthy sleep</v>
      </c>
      <c r="P713" s="1" t="str" cm="1">
        <f t="array" ref="P713">_xlfn.IFS(L713&lt;=3,"low",L713&lt;=6,"medium",L713&gt;=7,"high")</f>
        <v>medium</v>
      </c>
    </row>
    <row r="714" spans="1:16" x14ac:dyDescent="0.3">
      <c r="A714">
        <v>19</v>
      </c>
      <c r="B714" t="s">
        <v>16</v>
      </c>
      <c r="C714">
        <v>5.0999999999999996</v>
      </c>
      <c r="D714" t="s">
        <v>20</v>
      </c>
      <c r="E714">
        <v>6.3</v>
      </c>
      <c r="F714">
        <v>2.2999999999999998</v>
      </c>
      <c r="G714">
        <v>2.5499999999999998</v>
      </c>
      <c r="H714">
        <v>2</v>
      </c>
      <c r="I714" t="s">
        <v>19</v>
      </c>
      <c r="J714">
        <v>6</v>
      </c>
      <c r="K714">
        <v>9</v>
      </c>
      <c r="L714">
        <v>7</v>
      </c>
      <c r="M714">
        <v>0</v>
      </c>
      <c r="N714" t="str">
        <f t="shared" si="24"/>
        <v>16-19</v>
      </c>
      <c r="O714" t="str">
        <f t="shared" si="25"/>
        <v>healthy sleep</v>
      </c>
      <c r="P714" s="1" t="str" cm="1">
        <f t="array" ref="P714">_xlfn.IFS(L714&lt;=3,"low",L714&lt;=6,"medium",L714&gt;=7,"high")</f>
        <v>high</v>
      </c>
    </row>
    <row r="715" spans="1:16" x14ac:dyDescent="0.3">
      <c r="A715">
        <v>15</v>
      </c>
      <c r="B715" t="s">
        <v>13</v>
      </c>
      <c r="C715">
        <v>1</v>
      </c>
      <c r="D715" t="s">
        <v>17</v>
      </c>
      <c r="E715">
        <v>8.5</v>
      </c>
      <c r="F715">
        <v>2</v>
      </c>
      <c r="G715">
        <v>3.77</v>
      </c>
      <c r="H715">
        <v>1.9</v>
      </c>
      <c r="I715" t="s">
        <v>18</v>
      </c>
      <c r="J715">
        <v>4</v>
      </c>
      <c r="K715">
        <v>1</v>
      </c>
      <c r="L715">
        <v>7</v>
      </c>
      <c r="M715">
        <v>0</v>
      </c>
      <c r="N715" t="str">
        <f t="shared" si="24"/>
        <v>13-15</v>
      </c>
      <c r="O715" t="str">
        <f t="shared" si="25"/>
        <v>healthy sleep</v>
      </c>
      <c r="P715" s="1" t="str" cm="1">
        <f t="array" ref="P715">_xlfn.IFS(L715&lt;=3,"low",L715&lt;=6,"medium",L715&gt;=7,"high")</f>
        <v>high</v>
      </c>
    </row>
    <row r="716" spans="1:16" x14ac:dyDescent="0.3">
      <c r="A716">
        <v>15</v>
      </c>
      <c r="B716" t="s">
        <v>16</v>
      </c>
      <c r="C716">
        <v>1.1000000000000001</v>
      </c>
      <c r="D716" t="s">
        <v>14</v>
      </c>
      <c r="E716">
        <v>4.5999999999999996</v>
      </c>
      <c r="F716">
        <v>1.8</v>
      </c>
      <c r="G716">
        <v>2.35</v>
      </c>
      <c r="H716">
        <v>1.1000000000000001</v>
      </c>
      <c r="I716" t="s">
        <v>19</v>
      </c>
      <c r="J716">
        <v>10</v>
      </c>
      <c r="K716">
        <v>6</v>
      </c>
      <c r="L716">
        <v>6</v>
      </c>
      <c r="M716">
        <v>0</v>
      </c>
      <c r="N716" t="str">
        <f t="shared" si="24"/>
        <v>13-15</v>
      </c>
      <c r="O716" t="str">
        <f t="shared" si="25"/>
        <v>low sleep</v>
      </c>
      <c r="P716" s="1" t="str" cm="1">
        <f t="array" ref="P716">_xlfn.IFS(L716&lt;=3,"low",L716&lt;=6,"medium",L716&gt;=7,"high")</f>
        <v>medium</v>
      </c>
    </row>
    <row r="717" spans="1:16" x14ac:dyDescent="0.3">
      <c r="A717">
        <v>13</v>
      </c>
      <c r="B717" t="s">
        <v>16</v>
      </c>
      <c r="C717">
        <v>7</v>
      </c>
      <c r="D717" t="s">
        <v>14</v>
      </c>
      <c r="E717">
        <v>4.9000000000000004</v>
      </c>
      <c r="F717">
        <v>1.2</v>
      </c>
      <c r="G717">
        <v>3.61</v>
      </c>
      <c r="H717">
        <v>0.2</v>
      </c>
      <c r="I717" t="s">
        <v>19</v>
      </c>
      <c r="J717">
        <v>2</v>
      </c>
      <c r="K717">
        <v>3</v>
      </c>
      <c r="L717">
        <v>5</v>
      </c>
      <c r="M717">
        <v>0</v>
      </c>
      <c r="N717" t="str">
        <f t="shared" si="24"/>
        <v>13-15</v>
      </c>
      <c r="O717" t="str">
        <f t="shared" si="25"/>
        <v>low sleep</v>
      </c>
      <c r="P717" s="1" t="str" cm="1">
        <f t="array" ref="P717">_xlfn.IFS(L717&lt;=3,"low",L717&lt;=6,"medium",L717&gt;=7,"high")</f>
        <v>medium</v>
      </c>
    </row>
    <row r="718" spans="1:16" x14ac:dyDescent="0.3">
      <c r="A718">
        <v>15</v>
      </c>
      <c r="B718" t="s">
        <v>16</v>
      </c>
      <c r="C718">
        <v>2.7</v>
      </c>
      <c r="D718" t="s">
        <v>20</v>
      </c>
      <c r="E718">
        <v>7.8</v>
      </c>
      <c r="F718">
        <v>1.8</v>
      </c>
      <c r="G718">
        <v>3.9</v>
      </c>
      <c r="H718">
        <v>1.4</v>
      </c>
      <c r="I718" t="s">
        <v>15</v>
      </c>
      <c r="J718">
        <v>5</v>
      </c>
      <c r="K718">
        <v>8</v>
      </c>
      <c r="L718">
        <v>9</v>
      </c>
      <c r="M718">
        <v>0</v>
      </c>
      <c r="N718" t="str">
        <f t="shared" si="24"/>
        <v>13-15</v>
      </c>
      <c r="O718" t="str">
        <f t="shared" si="25"/>
        <v>healthy sleep</v>
      </c>
      <c r="P718" s="1" t="str" cm="1">
        <f t="array" ref="P718">_xlfn.IFS(L718&lt;=3,"low",L718&lt;=6,"medium",L718&gt;=7,"high")</f>
        <v>high</v>
      </c>
    </row>
    <row r="719" spans="1:16" x14ac:dyDescent="0.3">
      <c r="A719">
        <v>18</v>
      </c>
      <c r="B719" t="s">
        <v>13</v>
      </c>
      <c r="C719">
        <v>2.5</v>
      </c>
      <c r="D719" t="s">
        <v>14</v>
      </c>
      <c r="E719">
        <v>4.2</v>
      </c>
      <c r="F719">
        <v>1.4</v>
      </c>
      <c r="G719">
        <v>3.9</v>
      </c>
      <c r="H719">
        <v>0.7</v>
      </c>
      <c r="I719" t="s">
        <v>18</v>
      </c>
      <c r="J719">
        <v>5</v>
      </c>
      <c r="K719">
        <v>2</v>
      </c>
      <c r="L719">
        <v>3</v>
      </c>
      <c r="M719">
        <v>0</v>
      </c>
      <c r="N719" t="str">
        <f t="shared" si="24"/>
        <v>16-19</v>
      </c>
      <c r="O719" t="str">
        <f t="shared" si="25"/>
        <v>low sleep</v>
      </c>
      <c r="P719" s="1" t="str" cm="1">
        <f t="array" ref="P719">_xlfn.IFS(L719&lt;=3,"low",L719&lt;=6,"medium",L719&gt;=7,"high")</f>
        <v>low</v>
      </c>
    </row>
    <row r="720" spans="1:16" x14ac:dyDescent="0.3">
      <c r="A720">
        <v>18</v>
      </c>
      <c r="B720" t="s">
        <v>16</v>
      </c>
      <c r="C720">
        <v>2.2999999999999998</v>
      </c>
      <c r="D720" t="s">
        <v>17</v>
      </c>
      <c r="E720">
        <v>4.3</v>
      </c>
      <c r="F720">
        <v>0.9</v>
      </c>
      <c r="G720">
        <v>3.27</v>
      </c>
      <c r="H720">
        <v>0.1</v>
      </c>
      <c r="I720" t="s">
        <v>18</v>
      </c>
      <c r="J720">
        <v>5</v>
      </c>
      <c r="K720">
        <v>9</v>
      </c>
      <c r="L720">
        <v>10</v>
      </c>
      <c r="M720">
        <v>0</v>
      </c>
      <c r="N720" t="str">
        <f t="shared" si="24"/>
        <v>16-19</v>
      </c>
      <c r="O720" t="str">
        <f t="shared" si="25"/>
        <v>low sleep</v>
      </c>
      <c r="P720" s="1" t="str" cm="1">
        <f t="array" ref="P720">_xlfn.IFS(L720&lt;=3,"low",L720&lt;=6,"medium",L720&gt;=7,"high")</f>
        <v>high</v>
      </c>
    </row>
    <row r="721" spans="1:16" x14ac:dyDescent="0.3">
      <c r="A721">
        <v>17</v>
      </c>
      <c r="B721" t="s">
        <v>16</v>
      </c>
      <c r="C721">
        <v>2.7</v>
      </c>
      <c r="D721" t="s">
        <v>17</v>
      </c>
      <c r="E721">
        <v>6.6</v>
      </c>
      <c r="F721">
        <v>1.6</v>
      </c>
      <c r="G721">
        <v>3.36</v>
      </c>
      <c r="H721">
        <v>1.6</v>
      </c>
      <c r="I721" t="s">
        <v>18</v>
      </c>
      <c r="J721">
        <v>3</v>
      </c>
      <c r="K721">
        <v>1</v>
      </c>
      <c r="L721">
        <v>2</v>
      </c>
      <c r="M721">
        <v>0</v>
      </c>
      <c r="N721" t="str">
        <f t="shared" si="24"/>
        <v>16-19</v>
      </c>
      <c r="O721" t="str">
        <f t="shared" si="25"/>
        <v>healthy sleep</v>
      </c>
      <c r="P721" s="1" t="str" cm="1">
        <f t="array" ref="P721">_xlfn.IFS(L721&lt;=3,"low",L721&lt;=6,"medium",L721&gt;=7,"high")</f>
        <v>low</v>
      </c>
    </row>
    <row r="722" spans="1:16" x14ac:dyDescent="0.3">
      <c r="A722">
        <v>14</v>
      </c>
      <c r="B722" t="s">
        <v>13</v>
      </c>
      <c r="C722">
        <v>3.2</v>
      </c>
      <c r="D722" t="s">
        <v>14</v>
      </c>
      <c r="E722">
        <v>5.4</v>
      </c>
      <c r="F722">
        <v>2.6</v>
      </c>
      <c r="G722">
        <v>3.18</v>
      </c>
      <c r="H722">
        <v>0.9</v>
      </c>
      <c r="I722" t="s">
        <v>15</v>
      </c>
      <c r="J722">
        <v>9</v>
      </c>
      <c r="K722">
        <v>1</v>
      </c>
      <c r="L722">
        <v>7</v>
      </c>
      <c r="M722">
        <v>0</v>
      </c>
      <c r="N722" t="str">
        <f t="shared" si="24"/>
        <v>13-15</v>
      </c>
      <c r="O722" t="str">
        <f t="shared" si="25"/>
        <v>low sleep</v>
      </c>
      <c r="P722" s="1" t="str" cm="1">
        <f t="array" ref="P722">_xlfn.IFS(L722&lt;=3,"low",L722&lt;=6,"medium",L722&gt;=7,"high")</f>
        <v>high</v>
      </c>
    </row>
    <row r="723" spans="1:16" x14ac:dyDescent="0.3">
      <c r="A723">
        <v>18</v>
      </c>
      <c r="B723" t="s">
        <v>16</v>
      </c>
      <c r="C723">
        <v>3.8</v>
      </c>
      <c r="D723" t="s">
        <v>20</v>
      </c>
      <c r="E723">
        <v>5.3</v>
      </c>
      <c r="F723">
        <v>2.2999999999999998</v>
      </c>
      <c r="G723">
        <v>3.42</v>
      </c>
      <c r="H723">
        <v>0.4</v>
      </c>
      <c r="I723" t="s">
        <v>15</v>
      </c>
      <c r="J723">
        <v>4</v>
      </c>
      <c r="K723">
        <v>8</v>
      </c>
      <c r="L723">
        <v>2</v>
      </c>
      <c r="M723">
        <v>0</v>
      </c>
      <c r="N723" t="str">
        <f t="shared" si="24"/>
        <v>16-19</v>
      </c>
      <c r="O723" t="str">
        <f t="shared" si="25"/>
        <v>low sleep</v>
      </c>
      <c r="P723" s="1" t="str" cm="1">
        <f t="array" ref="P723">_xlfn.IFS(L723&lt;=3,"low",L723&lt;=6,"medium",L723&gt;=7,"high")</f>
        <v>low</v>
      </c>
    </row>
    <row r="724" spans="1:16" x14ac:dyDescent="0.3">
      <c r="A724">
        <v>14</v>
      </c>
      <c r="B724" t="s">
        <v>16</v>
      </c>
      <c r="C724">
        <v>4.0999999999999996</v>
      </c>
      <c r="D724" t="s">
        <v>17</v>
      </c>
      <c r="E724">
        <v>5.4</v>
      </c>
      <c r="F724">
        <v>2.4</v>
      </c>
      <c r="G724">
        <v>2.71</v>
      </c>
      <c r="H724">
        <v>1.3</v>
      </c>
      <c r="I724" t="s">
        <v>15</v>
      </c>
      <c r="J724">
        <v>9</v>
      </c>
      <c r="K724">
        <v>5</v>
      </c>
      <c r="L724">
        <v>10</v>
      </c>
      <c r="M724">
        <v>0</v>
      </c>
      <c r="N724" t="str">
        <f t="shared" si="24"/>
        <v>13-15</v>
      </c>
      <c r="O724" t="str">
        <f t="shared" si="25"/>
        <v>low sleep</v>
      </c>
      <c r="P724" s="1" t="str" cm="1">
        <f t="array" ref="P724">_xlfn.IFS(L724&lt;=3,"low",L724&lt;=6,"medium",L724&gt;=7,"high")</f>
        <v>high</v>
      </c>
    </row>
    <row r="725" spans="1:16" x14ac:dyDescent="0.3">
      <c r="A725">
        <v>13</v>
      </c>
      <c r="B725" t="s">
        <v>16</v>
      </c>
      <c r="C725">
        <v>2.2999999999999998</v>
      </c>
      <c r="D725" t="s">
        <v>17</v>
      </c>
      <c r="E725">
        <v>6.6</v>
      </c>
      <c r="F725">
        <v>1.4</v>
      </c>
      <c r="G725">
        <v>3.74</v>
      </c>
      <c r="H725">
        <v>1.5</v>
      </c>
      <c r="I725" t="s">
        <v>19</v>
      </c>
      <c r="J725">
        <v>6</v>
      </c>
      <c r="K725">
        <v>10</v>
      </c>
      <c r="L725">
        <v>1</v>
      </c>
      <c r="M725">
        <v>0</v>
      </c>
      <c r="N725" t="str">
        <f t="shared" si="24"/>
        <v>13-15</v>
      </c>
      <c r="O725" t="str">
        <f t="shared" si="25"/>
        <v>healthy sleep</v>
      </c>
      <c r="P725" s="1" t="str" cm="1">
        <f t="array" ref="P725">_xlfn.IFS(L725&lt;=3,"low",L725&lt;=6,"medium",L725&gt;=7,"high")</f>
        <v>low</v>
      </c>
    </row>
    <row r="726" spans="1:16" x14ac:dyDescent="0.3">
      <c r="A726">
        <v>15</v>
      </c>
      <c r="B726" t="s">
        <v>13</v>
      </c>
      <c r="C726">
        <v>8</v>
      </c>
      <c r="D726" t="s">
        <v>14</v>
      </c>
      <c r="E726">
        <v>4.7</v>
      </c>
      <c r="F726">
        <v>0.6</v>
      </c>
      <c r="G726">
        <v>3.01</v>
      </c>
      <c r="H726">
        <v>1.8</v>
      </c>
      <c r="I726" t="s">
        <v>19</v>
      </c>
      <c r="J726">
        <v>2</v>
      </c>
      <c r="K726">
        <v>9</v>
      </c>
      <c r="L726">
        <v>10</v>
      </c>
      <c r="M726">
        <v>0</v>
      </c>
      <c r="N726" t="str">
        <f t="shared" si="24"/>
        <v>13-15</v>
      </c>
      <c r="O726" t="str">
        <f t="shared" si="25"/>
        <v>low sleep</v>
      </c>
      <c r="P726" s="1" t="str" cm="1">
        <f t="array" ref="P726">_xlfn.IFS(L726&lt;=3,"low",L726&lt;=6,"medium",L726&gt;=7,"high")</f>
        <v>high</v>
      </c>
    </row>
    <row r="727" spans="1:16" x14ac:dyDescent="0.3">
      <c r="A727">
        <v>15</v>
      </c>
      <c r="B727" t="s">
        <v>16</v>
      </c>
      <c r="C727">
        <v>2.9</v>
      </c>
      <c r="D727" t="s">
        <v>17</v>
      </c>
      <c r="E727">
        <v>6.4</v>
      </c>
      <c r="F727">
        <v>0.7</v>
      </c>
      <c r="G727">
        <v>3.41</v>
      </c>
      <c r="H727">
        <v>1.6</v>
      </c>
      <c r="I727" t="s">
        <v>15</v>
      </c>
      <c r="J727">
        <v>3</v>
      </c>
      <c r="K727">
        <v>10</v>
      </c>
      <c r="L727">
        <v>7</v>
      </c>
      <c r="M727">
        <v>0</v>
      </c>
      <c r="N727" t="str">
        <f t="shared" si="24"/>
        <v>13-15</v>
      </c>
      <c r="O727" t="str">
        <f t="shared" si="25"/>
        <v>healthy sleep</v>
      </c>
      <c r="P727" s="1" t="str" cm="1">
        <f t="array" ref="P727">_xlfn.IFS(L727&lt;=3,"low",L727&lt;=6,"medium",L727&gt;=7,"high")</f>
        <v>high</v>
      </c>
    </row>
    <row r="728" spans="1:16" x14ac:dyDescent="0.3">
      <c r="A728">
        <v>19</v>
      </c>
      <c r="B728" t="s">
        <v>16</v>
      </c>
      <c r="C728">
        <v>4.4000000000000004</v>
      </c>
      <c r="D728" t="s">
        <v>20</v>
      </c>
      <c r="E728">
        <v>5</v>
      </c>
      <c r="F728">
        <v>2.8</v>
      </c>
      <c r="G728">
        <v>2.69</v>
      </c>
      <c r="H728">
        <v>0.4</v>
      </c>
      <c r="I728" t="s">
        <v>18</v>
      </c>
      <c r="J728">
        <v>3</v>
      </c>
      <c r="K728">
        <v>8</v>
      </c>
      <c r="L728">
        <v>8</v>
      </c>
      <c r="M728">
        <v>0</v>
      </c>
      <c r="N728" t="str">
        <f t="shared" si="24"/>
        <v>16-19</v>
      </c>
      <c r="O728" t="str">
        <f t="shared" si="25"/>
        <v>low sleep</v>
      </c>
      <c r="P728" s="1" t="str" cm="1">
        <f t="array" ref="P728">_xlfn.IFS(L728&lt;=3,"low",L728&lt;=6,"medium",L728&gt;=7,"high")</f>
        <v>high</v>
      </c>
    </row>
    <row r="729" spans="1:16" x14ac:dyDescent="0.3">
      <c r="A729">
        <v>18</v>
      </c>
      <c r="B729" t="s">
        <v>16</v>
      </c>
      <c r="C729">
        <v>3.1</v>
      </c>
      <c r="D729" t="s">
        <v>20</v>
      </c>
      <c r="E729">
        <v>6.8</v>
      </c>
      <c r="F729">
        <v>2</v>
      </c>
      <c r="G729">
        <v>3.77</v>
      </c>
      <c r="H729">
        <v>1.4</v>
      </c>
      <c r="I729" t="s">
        <v>15</v>
      </c>
      <c r="J729">
        <v>1</v>
      </c>
      <c r="K729">
        <v>3</v>
      </c>
      <c r="L729">
        <v>4</v>
      </c>
      <c r="M729">
        <v>0</v>
      </c>
      <c r="N729" t="str">
        <f t="shared" si="24"/>
        <v>16-19</v>
      </c>
      <c r="O729" t="str">
        <f t="shared" si="25"/>
        <v>healthy sleep</v>
      </c>
      <c r="P729" s="1" t="str" cm="1">
        <f t="array" ref="P729">_xlfn.IFS(L729&lt;=3,"low",L729&lt;=6,"medium",L729&gt;=7,"high")</f>
        <v>medium</v>
      </c>
    </row>
    <row r="730" spans="1:16" x14ac:dyDescent="0.3">
      <c r="A730">
        <v>18</v>
      </c>
      <c r="B730" t="s">
        <v>13</v>
      </c>
      <c r="C730">
        <v>7.9</v>
      </c>
      <c r="D730" t="s">
        <v>17</v>
      </c>
      <c r="E730">
        <v>7.5</v>
      </c>
      <c r="F730">
        <v>2</v>
      </c>
      <c r="G730">
        <v>2.77</v>
      </c>
      <c r="H730">
        <v>0.9</v>
      </c>
      <c r="I730" t="s">
        <v>15</v>
      </c>
      <c r="J730">
        <v>10</v>
      </c>
      <c r="K730">
        <v>4</v>
      </c>
      <c r="L730">
        <v>4</v>
      </c>
      <c r="M730">
        <v>0</v>
      </c>
      <c r="N730" t="str">
        <f t="shared" si="24"/>
        <v>16-19</v>
      </c>
      <c r="O730" t="str">
        <f t="shared" si="25"/>
        <v>healthy sleep</v>
      </c>
      <c r="P730" s="1" t="str" cm="1">
        <f t="array" ref="P730">_xlfn.IFS(L730&lt;=3,"low",L730&lt;=6,"medium",L730&gt;=7,"high")</f>
        <v>medium</v>
      </c>
    </row>
    <row r="731" spans="1:16" x14ac:dyDescent="0.3">
      <c r="A731">
        <v>14</v>
      </c>
      <c r="B731" t="s">
        <v>16</v>
      </c>
      <c r="C731">
        <v>1.2</v>
      </c>
      <c r="D731" t="s">
        <v>20</v>
      </c>
      <c r="E731">
        <v>7</v>
      </c>
      <c r="F731">
        <v>2.2000000000000002</v>
      </c>
      <c r="G731">
        <v>3.83</v>
      </c>
      <c r="H731">
        <v>0.8</v>
      </c>
      <c r="I731" t="s">
        <v>15</v>
      </c>
      <c r="J731">
        <v>6</v>
      </c>
      <c r="K731">
        <v>10</v>
      </c>
      <c r="L731">
        <v>5</v>
      </c>
      <c r="M731">
        <v>0</v>
      </c>
      <c r="N731" t="str">
        <f t="shared" si="24"/>
        <v>13-15</v>
      </c>
      <c r="O731" t="str">
        <f t="shared" si="25"/>
        <v>healthy sleep</v>
      </c>
      <c r="P731" s="1" t="str" cm="1">
        <f t="array" ref="P731">_xlfn.IFS(L731&lt;=3,"low",L731&lt;=6,"medium",L731&gt;=7,"high")</f>
        <v>medium</v>
      </c>
    </row>
    <row r="732" spans="1:16" x14ac:dyDescent="0.3">
      <c r="A732">
        <v>19</v>
      </c>
      <c r="B732" t="s">
        <v>16</v>
      </c>
      <c r="C732">
        <v>4</v>
      </c>
      <c r="D732" t="s">
        <v>20</v>
      </c>
      <c r="E732">
        <v>7.4</v>
      </c>
      <c r="F732">
        <v>2.7</v>
      </c>
      <c r="G732">
        <v>3.41</v>
      </c>
      <c r="H732">
        <v>1.4</v>
      </c>
      <c r="I732" t="s">
        <v>19</v>
      </c>
      <c r="J732">
        <v>9</v>
      </c>
      <c r="K732">
        <v>4</v>
      </c>
      <c r="L732">
        <v>7</v>
      </c>
      <c r="M732">
        <v>0</v>
      </c>
      <c r="N732" t="str">
        <f t="shared" si="24"/>
        <v>16-19</v>
      </c>
      <c r="O732" t="str">
        <f t="shared" si="25"/>
        <v>healthy sleep</v>
      </c>
      <c r="P732" s="1" t="str" cm="1">
        <f t="array" ref="P732">_xlfn.IFS(L732&lt;=3,"low",L732&lt;=6,"medium",L732&gt;=7,"high")</f>
        <v>high</v>
      </c>
    </row>
    <row r="733" spans="1:16" x14ac:dyDescent="0.3">
      <c r="A733">
        <v>18</v>
      </c>
      <c r="B733" t="s">
        <v>13</v>
      </c>
      <c r="C733">
        <v>1</v>
      </c>
      <c r="D733" t="s">
        <v>14</v>
      </c>
      <c r="E733">
        <v>7.1</v>
      </c>
      <c r="F733">
        <v>0.8</v>
      </c>
      <c r="G733">
        <v>2.4700000000000002</v>
      </c>
      <c r="H733">
        <v>1.9</v>
      </c>
      <c r="I733" t="s">
        <v>18</v>
      </c>
      <c r="J733">
        <v>4</v>
      </c>
      <c r="K733">
        <v>2</v>
      </c>
      <c r="L733">
        <v>4</v>
      </c>
      <c r="M733">
        <v>0</v>
      </c>
      <c r="N733" t="str">
        <f t="shared" si="24"/>
        <v>16-19</v>
      </c>
      <c r="O733" t="str">
        <f t="shared" si="25"/>
        <v>healthy sleep</v>
      </c>
      <c r="P733" s="1" t="str" cm="1">
        <f t="array" ref="P733">_xlfn.IFS(L733&lt;=3,"low",L733&lt;=6,"medium",L733&gt;=7,"high")</f>
        <v>medium</v>
      </c>
    </row>
    <row r="734" spans="1:16" x14ac:dyDescent="0.3">
      <c r="A734">
        <v>19</v>
      </c>
      <c r="B734" t="s">
        <v>16</v>
      </c>
      <c r="C734">
        <v>7.9</v>
      </c>
      <c r="D734" t="s">
        <v>14</v>
      </c>
      <c r="E734">
        <v>5.7</v>
      </c>
      <c r="F734">
        <v>2.4</v>
      </c>
      <c r="G734">
        <v>3.59</v>
      </c>
      <c r="H734">
        <v>1.9</v>
      </c>
      <c r="I734" t="s">
        <v>18</v>
      </c>
      <c r="J734">
        <v>1</v>
      </c>
      <c r="K734">
        <v>9</v>
      </c>
      <c r="L734">
        <v>9</v>
      </c>
      <c r="M734">
        <v>0</v>
      </c>
      <c r="N734" t="str">
        <f t="shared" si="24"/>
        <v>16-19</v>
      </c>
      <c r="O734" t="str">
        <f t="shared" si="25"/>
        <v>low sleep</v>
      </c>
      <c r="P734" s="1" t="str" cm="1">
        <f t="array" ref="P734">_xlfn.IFS(L734&lt;=3,"low",L734&lt;=6,"medium",L734&gt;=7,"high")</f>
        <v>high</v>
      </c>
    </row>
    <row r="735" spans="1:16" x14ac:dyDescent="0.3">
      <c r="A735">
        <v>14</v>
      </c>
      <c r="B735" t="s">
        <v>13</v>
      </c>
      <c r="C735">
        <v>6.2</v>
      </c>
      <c r="D735" t="s">
        <v>17</v>
      </c>
      <c r="E735">
        <v>4.4000000000000004</v>
      </c>
      <c r="F735">
        <v>0.7</v>
      </c>
      <c r="G735">
        <v>3.45</v>
      </c>
      <c r="H735">
        <v>0.5</v>
      </c>
      <c r="I735" t="s">
        <v>19</v>
      </c>
      <c r="J735">
        <v>9</v>
      </c>
      <c r="K735">
        <v>10</v>
      </c>
      <c r="L735">
        <v>3</v>
      </c>
      <c r="M735">
        <v>1</v>
      </c>
      <c r="N735" t="str">
        <f t="shared" si="24"/>
        <v>13-15</v>
      </c>
      <c r="O735" t="str">
        <f t="shared" si="25"/>
        <v>low sleep</v>
      </c>
      <c r="P735" s="1" t="str" cm="1">
        <f t="array" ref="P735">_xlfn.IFS(L735&lt;=3,"low",L735&lt;=6,"medium",L735&gt;=7,"high")</f>
        <v>low</v>
      </c>
    </row>
    <row r="736" spans="1:16" x14ac:dyDescent="0.3">
      <c r="A736">
        <v>16</v>
      </c>
      <c r="B736" t="s">
        <v>16</v>
      </c>
      <c r="C736">
        <v>2.5</v>
      </c>
      <c r="D736" t="s">
        <v>14</v>
      </c>
      <c r="E736">
        <v>5.4</v>
      </c>
      <c r="F736">
        <v>2.2999999999999998</v>
      </c>
      <c r="G736">
        <v>3.43</v>
      </c>
      <c r="H736">
        <v>0.5</v>
      </c>
      <c r="I736" t="s">
        <v>18</v>
      </c>
      <c r="J736">
        <v>9</v>
      </c>
      <c r="K736">
        <v>1</v>
      </c>
      <c r="L736">
        <v>2</v>
      </c>
      <c r="M736">
        <v>0</v>
      </c>
      <c r="N736" t="str">
        <f t="shared" si="24"/>
        <v>16-19</v>
      </c>
      <c r="O736" t="str">
        <f t="shared" si="25"/>
        <v>low sleep</v>
      </c>
      <c r="P736" s="1" t="str" cm="1">
        <f t="array" ref="P736">_xlfn.IFS(L736&lt;=3,"low",L736&lt;=6,"medium",L736&gt;=7,"high")</f>
        <v>low</v>
      </c>
    </row>
    <row r="737" spans="1:16" x14ac:dyDescent="0.3">
      <c r="A737">
        <v>16</v>
      </c>
      <c r="B737" t="s">
        <v>13</v>
      </c>
      <c r="C737">
        <v>4.7</v>
      </c>
      <c r="D737" t="s">
        <v>20</v>
      </c>
      <c r="E737">
        <v>8.1999999999999993</v>
      </c>
      <c r="F737">
        <v>2.6</v>
      </c>
      <c r="G737">
        <v>3.05</v>
      </c>
      <c r="H737">
        <v>1</v>
      </c>
      <c r="I737" t="s">
        <v>19</v>
      </c>
      <c r="J737">
        <v>4</v>
      </c>
      <c r="K737">
        <v>7</v>
      </c>
      <c r="L737">
        <v>2</v>
      </c>
      <c r="M737">
        <v>0</v>
      </c>
      <c r="N737" t="str">
        <f t="shared" si="24"/>
        <v>16-19</v>
      </c>
      <c r="O737" t="str">
        <f t="shared" si="25"/>
        <v>healthy sleep</v>
      </c>
      <c r="P737" s="1" t="str" cm="1">
        <f t="array" ref="P737">_xlfn.IFS(L737&lt;=3,"low",L737&lt;=6,"medium",L737&gt;=7,"high")</f>
        <v>low</v>
      </c>
    </row>
    <row r="738" spans="1:16" x14ac:dyDescent="0.3">
      <c r="A738">
        <v>16</v>
      </c>
      <c r="B738" t="s">
        <v>13</v>
      </c>
      <c r="C738">
        <v>6.3</v>
      </c>
      <c r="D738" t="s">
        <v>14</v>
      </c>
      <c r="E738">
        <v>6.5</v>
      </c>
      <c r="F738">
        <v>1</v>
      </c>
      <c r="G738">
        <v>2.52</v>
      </c>
      <c r="H738">
        <v>0.4</v>
      </c>
      <c r="I738" t="s">
        <v>15</v>
      </c>
      <c r="J738">
        <v>1</v>
      </c>
      <c r="K738">
        <v>10</v>
      </c>
      <c r="L738">
        <v>6</v>
      </c>
      <c r="M738">
        <v>0</v>
      </c>
      <c r="N738" t="str">
        <f t="shared" si="24"/>
        <v>16-19</v>
      </c>
      <c r="O738" t="str">
        <f t="shared" si="25"/>
        <v>healthy sleep</v>
      </c>
      <c r="P738" s="1" t="str" cm="1">
        <f t="array" ref="P738">_xlfn.IFS(L738&lt;=3,"low",L738&lt;=6,"medium",L738&gt;=7,"high")</f>
        <v>medium</v>
      </c>
    </row>
    <row r="739" spans="1:16" x14ac:dyDescent="0.3">
      <c r="A739">
        <v>17</v>
      </c>
      <c r="B739" t="s">
        <v>16</v>
      </c>
      <c r="C739">
        <v>7.5</v>
      </c>
      <c r="D739" t="s">
        <v>17</v>
      </c>
      <c r="E739">
        <v>5.4</v>
      </c>
      <c r="F739">
        <v>2.2999999999999998</v>
      </c>
      <c r="G739">
        <v>3.44</v>
      </c>
      <c r="H739">
        <v>0.4</v>
      </c>
      <c r="I739" t="s">
        <v>19</v>
      </c>
      <c r="J739">
        <v>7</v>
      </c>
      <c r="K739">
        <v>9</v>
      </c>
      <c r="L739">
        <v>7</v>
      </c>
      <c r="M739">
        <v>1</v>
      </c>
      <c r="N739" t="str">
        <f t="shared" si="24"/>
        <v>16-19</v>
      </c>
      <c r="O739" t="str">
        <f t="shared" si="25"/>
        <v>low sleep</v>
      </c>
      <c r="P739" s="1" t="str" cm="1">
        <f t="array" ref="P739">_xlfn.IFS(L739&lt;=3,"low",L739&lt;=6,"medium",L739&gt;=7,"high")</f>
        <v>high</v>
      </c>
    </row>
    <row r="740" spans="1:16" x14ac:dyDescent="0.3">
      <c r="A740">
        <v>18</v>
      </c>
      <c r="B740" t="s">
        <v>13</v>
      </c>
      <c r="C740">
        <v>2</v>
      </c>
      <c r="D740" t="s">
        <v>17</v>
      </c>
      <c r="E740">
        <v>8.4</v>
      </c>
      <c r="F740">
        <v>1.5</v>
      </c>
      <c r="G740">
        <v>2.83</v>
      </c>
      <c r="H740">
        <v>1.2</v>
      </c>
      <c r="I740" t="s">
        <v>15</v>
      </c>
      <c r="J740">
        <v>9</v>
      </c>
      <c r="K740">
        <v>4</v>
      </c>
      <c r="L740">
        <v>5</v>
      </c>
      <c r="M740">
        <v>0</v>
      </c>
      <c r="N740" t="str">
        <f t="shared" si="24"/>
        <v>16-19</v>
      </c>
      <c r="O740" t="str">
        <f t="shared" si="25"/>
        <v>healthy sleep</v>
      </c>
      <c r="P740" s="1" t="str" cm="1">
        <f t="array" ref="P740">_xlfn.IFS(L740&lt;=3,"low",L740&lt;=6,"medium",L740&gt;=7,"high")</f>
        <v>medium</v>
      </c>
    </row>
    <row r="741" spans="1:16" x14ac:dyDescent="0.3">
      <c r="A741">
        <v>13</v>
      </c>
      <c r="B741" t="s">
        <v>16</v>
      </c>
      <c r="C741">
        <v>6.3</v>
      </c>
      <c r="D741" t="s">
        <v>14</v>
      </c>
      <c r="E741">
        <v>8.4</v>
      </c>
      <c r="F741">
        <v>1.6</v>
      </c>
      <c r="G741">
        <v>2.0299999999999998</v>
      </c>
      <c r="H741">
        <v>1.5</v>
      </c>
      <c r="I741" t="s">
        <v>19</v>
      </c>
      <c r="J741">
        <v>5</v>
      </c>
      <c r="K741">
        <v>3</v>
      </c>
      <c r="L741">
        <v>9</v>
      </c>
      <c r="M741">
        <v>0</v>
      </c>
      <c r="N741" t="str">
        <f t="shared" si="24"/>
        <v>13-15</v>
      </c>
      <c r="O741" t="str">
        <f t="shared" si="25"/>
        <v>healthy sleep</v>
      </c>
      <c r="P741" s="1" t="str" cm="1">
        <f t="array" ref="P741">_xlfn.IFS(L741&lt;=3,"low",L741&lt;=6,"medium",L741&gt;=7,"high")</f>
        <v>high</v>
      </c>
    </row>
    <row r="742" spans="1:16" x14ac:dyDescent="0.3">
      <c r="A742">
        <v>16</v>
      </c>
      <c r="B742" t="s">
        <v>13</v>
      </c>
      <c r="C742">
        <v>6.6</v>
      </c>
      <c r="D742" t="s">
        <v>20</v>
      </c>
      <c r="E742">
        <v>8.9</v>
      </c>
      <c r="F742">
        <v>2</v>
      </c>
      <c r="G742">
        <v>3.44</v>
      </c>
      <c r="H742">
        <v>1.7</v>
      </c>
      <c r="I742" t="s">
        <v>15</v>
      </c>
      <c r="J742">
        <v>10</v>
      </c>
      <c r="K742">
        <v>9</v>
      </c>
      <c r="L742">
        <v>3</v>
      </c>
      <c r="M742">
        <v>0</v>
      </c>
      <c r="N742" t="str">
        <f t="shared" si="24"/>
        <v>16-19</v>
      </c>
      <c r="O742" t="str">
        <f t="shared" si="25"/>
        <v>healthy sleep</v>
      </c>
      <c r="P742" s="1" t="str" cm="1">
        <f t="array" ref="P742">_xlfn.IFS(L742&lt;=3,"low",L742&lt;=6,"medium",L742&gt;=7,"high")</f>
        <v>low</v>
      </c>
    </row>
    <row r="743" spans="1:16" x14ac:dyDescent="0.3">
      <c r="A743">
        <v>19</v>
      </c>
      <c r="B743" t="s">
        <v>16</v>
      </c>
      <c r="C743">
        <v>3.6</v>
      </c>
      <c r="D743" t="s">
        <v>20</v>
      </c>
      <c r="E743">
        <v>5.6</v>
      </c>
      <c r="F743">
        <v>1.7</v>
      </c>
      <c r="G743">
        <v>3.57</v>
      </c>
      <c r="H743">
        <v>1.5</v>
      </c>
      <c r="I743" t="s">
        <v>15</v>
      </c>
      <c r="J743">
        <v>10</v>
      </c>
      <c r="K743">
        <v>4</v>
      </c>
      <c r="L743">
        <v>3</v>
      </c>
      <c r="M743">
        <v>0</v>
      </c>
      <c r="N743" t="str">
        <f t="shared" si="24"/>
        <v>16-19</v>
      </c>
      <c r="O743" t="str">
        <f t="shared" si="25"/>
        <v>low sleep</v>
      </c>
      <c r="P743" s="1" t="str" cm="1">
        <f t="array" ref="P743">_xlfn.IFS(L743&lt;=3,"low",L743&lt;=6,"medium",L743&gt;=7,"high")</f>
        <v>low</v>
      </c>
    </row>
    <row r="744" spans="1:16" x14ac:dyDescent="0.3">
      <c r="A744">
        <v>16</v>
      </c>
      <c r="B744" t="s">
        <v>16</v>
      </c>
      <c r="C744">
        <v>3.2</v>
      </c>
      <c r="D744" t="s">
        <v>20</v>
      </c>
      <c r="E744">
        <v>4.5999999999999996</v>
      </c>
      <c r="F744">
        <v>2.5</v>
      </c>
      <c r="G744">
        <v>2.62</v>
      </c>
      <c r="H744">
        <v>1.8</v>
      </c>
      <c r="I744" t="s">
        <v>15</v>
      </c>
      <c r="J744">
        <v>9</v>
      </c>
      <c r="K744">
        <v>5</v>
      </c>
      <c r="L744">
        <v>1</v>
      </c>
      <c r="M744">
        <v>0</v>
      </c>
      <c r="N744" t="str">
        <f t="shared" si="24"/>
        <v>16-19</v>
      </c>
      <c r="O744" t="str">
        <f t="shared" si="25"/>
        <v>low sleep</v>
      </c>
      <c r="P744" s="1" t="str" cm="1">
        <f t="array" ref="P744">_xlfn.IFS(L744&lt;=3,"low",L744&lt;=6,"medium",L744&gt;=7,"high")</f>
        <v>low</v>
      </c>
    </row>
    <row r="745" spans="1:16" x14ac:dyDescent="0.3">
      <c r="A745">
        <v>13</v>
      </c>
      <c r="B745" t="s">
        <v>16</v>
      </c>
      <c r="C745">
        <v>3.1</v>
      </c>
      <c r="D745" t="s">
        <v>14</v>
      </c>
      <c r="E745">
        <v>6.4</v>
      </c>
      <c r="F745">
        <v>1.6</v>
      </c>
      <c r="G745">
        <v>3.69</v>
      </c>
      <c r="H745">
        <v>0.9</v>
      </c>
      <c r="I745" t="s">
        <v>19</v>
      </c>
      <c r="J745">
        <v>1</v>
      </c>
      <c r="K745">
        <v>2</v>
      </c>
      <c r="L745">
        <v>1</v>
      </c>
      <c r="M745">
        <v>0</v>
      </c>
      <c r="N745" t="str">
        <f t="shared" si="24"/>
        <v>13-15</v>
      </c>
      <c r="O745" t="str">
        <f t="shared" si="25"/>
        <v>healthy sleep</v>
      </c>
      <c r="P745" s="1" t="str" cm="1">
        <f t="array" ref="P745">_xlfn.IFS(L745&lt;=3,"low",L745&lt;=6,"medium",L745&gt;=7,"high")</f>
        <v>low</v>
      </c>
    </row>
    <row r="746" spans="1:16" x14ac:dyDescent="0.3">
      <c r="A746">
        <v>18</v>
      </c>
      <c r="B746" t="s">
        <v>13</v>
      </c>
      <c r="C746">
        <v>6.7</v>
      </c>
      <c r="D746" t="s">
        <v>14</v>
      </c>
      <c r="E746">
        <v>8.8000000000000007</v>
      </c>
      <c r="F746">
        <v>1.9</v>
      </c>
      <c r="G746">
        <v>2.5499999999999998</v>
      </c>
      <c r="H746">
        <v>1</v>
      </c>
      <c r="I746" t="s">
        <v>15</v>
      </c>
      <c r="J746">
        <v>5</v>
      </c>
      <c r="K746">
        <v>8</v>
      </c>
      <c r="L746">
        <v>3</v>
      </c>
      <c r="M746">
        <v>0</v>
      </c>
      <c r="N746" t="str">
        <f t="shared" si="24"/>
        <v>16-19</v>
      </c>
      <c r="O746" t="str">
        <f t="shared" si="25"/>
        <v>healthy sleep</v>
      </c>
      <c r="P746" s="1" t="str" cm="1">
        <f t="array" ref="P746">_xlfn.IFS(L746&lt;=3,"low",L746&lt;=6,"medium",L746&gt;=7,"high")</f>
        <v>low</v>
      </c>
    </row>
    <row r="747" spans="1:16" x14ac:dyDescent="0.3">
      <c r="A747">
        <v>17</v>
      </c>
      <c r="B747" t="s">
        <v>13</v>
      </c>
      <c r="C747">
        <v>6.6</v>
      </c>
      <c r="D747" t="s">
        <v>17</v>
      </c>
      <c r="E747">
        <v>8.1999999999999993</v>
      </c>
      <c r="F747">
        <v>0.7</v>
      </c>
      <c r="G747">
        <v>2.88</v>
      </c>
      <c r="H747">
        <v>0.8</v>
      </c>
      <c r="I747" t="s">
        <v>15</v>
      </c>
      <c r="J747">
        <v>1</v>
      </c>
      <c r="K747">
        <v>7</v>
      </c>
      <c r="L747">
        <v>7</v>
      </c>
      <c r="M747">
        <v>0</v>
      </c>
      <c r="N747" t="str">
        <f t="shared" si="24"/>
        <v>16-19</v>
      </c>
      <c r="O747" t="str">
        <f t="shared" si="25"/>
        <v>healthy sleep</v>
      </c>
      <c r="P747" s="1" t="str" cm="1">
        <f t="array" ref="P747">_xlfn.IFS(L747&lt;=3,"low",L747&lt;=6,"medium",L747&gt;=7,"high")</f>
        <v>high</v>
      </c>
    </row>
    <row r="748" spans="1:16" x14ac:dyDescent="0.3">
      <c r="A748">
        <v>14</v>
      </c>
      <c r="B748" t="s">
        <v>16</v>
      </c>
      <c r="C748">
        <v>7</v>
      </c>
      <c r="D748" t="s">
        <v>14</v>
      </c>
      <c r="E748">
        <v>4.5</v>
      </c>
      <c r="F748">
        <v>1.6</v>
      </c>
      <c r="G748">
        <v>2.83</v>
      </c>
      <c r="H748">
        <v>0.4</v>
      </c>
      <c r="I748" t="s">
        <v>19</v>
      </c>
      <c r="J748">
        <v>8</v>
      </c>
      <c r="K748">
        <v>1</v>
      </c>
      <c r="L748">
        <v>7</v>
      </c>
      <c r="M748">
        <v>0</v>
      </c>
      <c r="N748" t="str">
        <f t="shared" si="24"/>
        <v>13-15</v>
      </c>
      <c r="O748" t="str">
        <f t="shared" si="25"/>
        <v>low sleep</v>
      </c>
      <c r="P748" s="1" t="str" cm="1">
        <f t="array" ref="P748">_xlfn.IFS(L748&lt;=3,"low",L748&lt;=6,"medium",L748&gt;=7,"high")</f>
        <v>high</v>
      </c>
    </row>
    <row r="749" spans="1:16" x14ac:dyDescent="0.3">
      <c r="A749">
        <v>16</v>
      </c>
      <c r="B749" t="s">
        <v>16</v>
      </c>
      <c r="C749">
        <v>4.8</v>
      </c>
      <c r="D749" t="s">
        <v>20</v>
      </c>
      <c r="E749">
        <v>5.0999999999999996</v>
      </c>
      <c r="F749">
        <v>2.1</v>
      </c>
      <c r="G749">
        <v>2.4900000000000002</v>
      </c>
      <c r="H749">
        <v>1.6</v>
      </c>
      <c r="I749" t="s">
        <v>15</v>
      </c>
      <c r="J749">
        <v>4</v>
      </c>
      <c r="K749">
        <v>9</v>
      </c>
      <c r="L749">
        <v>1</v>
      </c>
      <c r="M749">
        <v>0</v>
      </c>
      <c r="N749" t="str">
        <f t="shared" si="24"/>
        <v>16-19</v>
      </c>
      <c r="O749" t="str">
        <f t="shared" si="25"/>
        <v>low sleep</v>
      </c>
      <c r="P749" s="1" t="str" cm="1">
        <f t="array" ref="P749">_xlfn.IFS(L749&lt;=3,"low",L749&lt;=6,"medium",L749&gt;=7,"high")</f>
        <v>low</v>
      </c>
    </row>
    <row r="750" spans="1:16" x14ac:dyDescent="0.3">
      <c r="A750">
        <v>13</v>
      </c>
      <c r="B750" t="s">
        <v>16</v>
      </c>
      <c r="C750">
        <v>5.8</v>
      </c>
      <c r="D750" t="s">
        <v>14</v>
      </c>
      <c r="E750">
        <v>6.3</v>
      </c>
      <c r="F750">
        <v>1.1000000000000001</v>
      </c>
      <c r="G750">
        <v>3.09</v>
      </c>
      <c r="H750">
        <v>0.9</v>
      </c>
      <c r="I750" t="s">
        <v>19</v>
      </c>
      <c r="J750">
        <v>8</v>
      </c>
      <c r="K750">
        <v>4</v>
      </c>
      <c r="L750">
        <v>9</v>
      </c>
      <c r="M750">
        <v>0</v>
      </c>
      <c r="N750" t="str">
        <f t="shared" si="24"/>
        <v>13-15</v>
      </c>
      <c r="O750" t="str">
        <f t="shared" si="25"/>
        <v>healthy sleep</v>
      </c>
      <c r="P750" s="1" t="str" cm="1">
        <f t="array" ref="P750">_xlfn.IFS(L750&lt;=3,"low",L750&lt;=6,"medium",L750&gt;=7,"high")</f>
        <v>high</v>
      </c>
    </row>
    <row r="751" spans="1:16" x14ac:dyDescent="0.3">
      <c r="A751">
        <v>19</v>
      </c>
      <c r="B751" t="s">
        <v>16</v>
      </c>
      <c r="C751">
        <v>6</v>
      </c>
      <c r="D751" t="s">
        <v>20</v>
      </c>
      <c r="E751">
        <v>6.3</v>
      </c>
      <c r="F751">
        <v>2.8</v>
      </c>
      <c r="G751">
        <v>3.98</v>
      </c>
      <c r="H751">
        <v>2</v>
      </c>
      <c r="I751" t="s">
        <v>19</v>
      </c>
      <c r="J751">
        <v>2</v>
      </c>
      <c r="K751">
        <v>6</v>
      </c>
      <c r="L751">
        <v>2</v>
      </c>
      <c r="M751">
        <v>0</v>
      </c>
      <c r="N751" t="str">
        <f t="shared" si="24"/>
        <v>16-19</v>
      </c>
      <c r="O751" t="str">
        <f t="shared" si="25"/>
        <v>healthy sleep</v>
      </c>
      <c r="P751" s="1" t="str" cm="1">
        <f t="array" ref="P751">_xlfn.IFS(L751&lt;=3,"low",L751&lt;=6,"medium",L751&gt;=7,"high")</f>
        <v>low</v>
      </c>
    </row>
    <row r="752" spans="1:16" x14ac:dyDescent="0.3">
      <c r="A752">
        <v>15</v>
      </c>
      <c r="B752" t="s">
        <v>13</v>
      </c>
      <c r="C752">
        <v>4</v>
      </c>
      <c r="D752" t="s">
        <v>20</v>
      </c>
      <c r="E752">
        <v>5.2</v>
      </c>
      <c r="F752">
        <v>1.8</v>
      </c>
      <c r="G752">
        <v>3.3</v>
      </c>
      <c r="H752">
        <v>0.7</v>
      </c>
      <c r="I752" t="s">
        <v>19</v>
      </c>
      <c r="J752">
        <v>10</v>
      </c>
      <c r="K752">
        <v>5</v>
      </c>
      <c r="L752">
        <v>1</v>
      </c>
      <c r="M752">
        <v>0</v>
      </c>
      <c r="N752" t="str">
        <f t="shared" si="24"/>
        <v>13-15</v>
      </c>
      <c r="O752" t="str">
        <f t="shared" si="25"/>
        <v>low sleep</v>
      </c>
      <c r="P752" s="1" t="str" cm="1">
        <f t="array" ref="P752">_xlfn.IFS(L752&lt;=3,"low",L752&lt;=6,"medium",L752&gt;=7,"high")</f>
        <v>low</v>
      </c>
    </row>
    <row r="753" spans="1:16" x14ac:dyDescent="0.3">
      <c r="A753">
        <v>14</v>
      </c>
      <c r="B753" t="s">
        <v>16</v>
      </c>
      <c r="C753">
        <v>5.8</v>
      </c>
      <c r="D753" t="s">
        <v>20</v>
      </c>
      <c r="E753">
        <v>4.8</v>
      </c>
      <c r="F753">
        <v>2.6</v>
      </c>
      <c r="G753">
        <v>2.08</v>
      </c>
      <c r="H753">
        <v>0.8</v>
      </c>
      <c r="I753" t="s">
        <v>19</v>
      </c>
      <c r="J753">
        <v>6</v>
      </c>
      <c r="K753">
        <v>4</v>
      </c>
      <c r="L753">
        <v>9</v>
      </c>
      <c r="M753">
        <v>0</v>
      </c>
      <c r="N753" t="str">
        <f t="shared" si="24"/>
        <v>13-15</v>
      </c>
      <c r="O753" t="str">
        <f t="shared" si="25"/>
        <v>low sleep</v>
      </c>
      <c r="P753" s="1" t="str" cm="1">
        <f t="array" ref="P753">_xlfn.IFS(L753&lt;=3,"low",L753&lt;=6,"medium",L753&gt;=7,"high")</f>
        <v>high</v>
      </c>
    </row>
    <row r="754" spans="1:16" x14ac:dyDescent="0.3">
      <c r="A754">
        <v>19</v>
      </c>
      <c r="B754" t="s">
        <v>13</v>
      </c>
      <c r="C754">
        <v>5.2</v>
      </c>
      <c r="D754" t="s">
        <v>14</v>
      </c>
      <c r="E754">
        <v>7.6</v>
      </c>
      <c r="F754">
        <v>1.3</v>
      </c>
      <c r="G754">
        <v>3.89</v>
      </c>
      <c r="H754">
        <v>1.5</v>
      </c>
      <c r="I754" t="s">
        <v>18</v>
      </c>
      <c r="J754">
        <v>4</v>
      </c>
      <c r="K754">
        <v>5</v>
      </c>
      <c r="L754">
        <v>8</v>
      </c>
      <c r="M754">
        <v>0</v>
      </c>
      <c r="N754" t="str">
        <f t="shared" si="24"/>
        <v>16-19</v>
      </c>
      <c r="O754" t="str">
        <f t="shared" si="25"/>
        <v>healthy sleep</v>
      </c>
      <c r="P754" s="1" t="str" cm="1">
        <f t="array" ref="P754">_xlfn.IFS(L754&lt;=3,"low",L754&lt;=6,"medium",L754&gt;=7,"high")</f>
        <v>high</v>
      </c>
    </row>
    <row r="755" spans="1:16" x14ac:dyDescent="0.3">
      <c r="A755">
        <v>17</v>
      </c>
      <c r="B755" t="s">
        <v>13</v>
      </c>
      <c r="C755">
        <v>2.9</v>
      </c>
      <c r="D755" t="s">
        <v>20</v>
      </c>
      <c r="E755">
        <v>6.7</v>
      </c>
      <c r="F755">
        <v>1.5</v>
      </c>
      <c r="G755">
        <v>3.62</v>
      </c>
      <c r="H755">
        <v>0.8</v>
      </c>
      <c r="I755" t="s">
        <v>19</v>
      </c>
      <c r="J755">
        <v>10</v>
      </c>
      <c r="K755">
        <v>6</v>
      </c>
      <c r="L755">
        <v>4</v>
      </c>
      <c r="M755">
        <v>0</v>
      </c>
      <c r="N755" t="str">
        <f t="shared" si="24"/>
        <v>16-19</v>
      </c>
      <c r="O755" t="str">
        <f t="shared" si="25"/>
        <v>healthy sleep</v>
      </c>
      <c r="P755" s="1" t="str" cm="1">
        <f t="array" ref="P755">_xlfn.IFS(L755&lt;=3,"low",L755&lt;=6,"medium",L755&gt;=7,"high")</f>
        <v>medium</v>
      </c>
    </row>
    <row r="756" spans="1:16" x14ac:dyDescent="0.3">
      <c r="A756">
        <v>18</v>
      </c>
      <c r="B756" t="s">
        <v>16</v>
      </c>
      <c r="C756">
        <v>7.5</v>
      </c>
      <c r="D756" t="s">
        <v>17</v>
      </c>
      <c r="E756">
        <v>7.5</v>
      </c>
      <c r="F756">
        <v>1.4</v>
      </c>
      <c r="G756">
        <v>3.14</v>
      </c>
      <c r="H756">
        <v>2</v>
      </c>
      <c r="I756" t="s">
        <v>15</v>
      </c>
      <c r="J756">
        <v>2</v>
      </c>
      <c r="K756">
        <v>9</v>
      </c>
      <c r="L756">
        <v>2</v>
      </c>
      <c r="M756">
        <v>0</v>
      </c>
      <c r="N756" t="str">
        <f t="shared" si="24"/>
        <v>16-19</v>
      </c>
      <c r="O756" t="str">
        <f t="shared" si="25"/>
        <v>healthy sleep</v>
      </c>
      <c r="P756" s="1" t="str" cm="1">
        <f t="array" ref="P756">_xlfn.IFS(L756&lt;=3,"low",L756&lt;=6,"medium",L756&gt;=7,"high")</f>
        <v>low</v>
      </c>
    </row>
    <row r="757" spans="1:16" x14ac:dyDescent="0.3">
      <c r="A757">
        <v>13</v>
      </c>
      <c r="B757" t="s">
        <v>16</v>
      </c>
      <c r="C757">
        <v>5.8</v>
      </c>
      <c r="D757" t="s">
        <v>14</v>
      </c>
      <c r="E757">
        <v>6.1</v>
      </c>
      <c r="F757">
        <v>1.2</v>
      </c>
      <c r="G757">
        <v>3.81</v>
      </c>
      <c r="H757">
        <v>1.8</v>
      </c>
      <c r="I757" t="s">
        <v>19</v>
      </c>
      <c r="J757">
        <v>6</v>
      </c>
      <c r="K757">
        <v>10</v>
      </c>
      <c r="L757">
        <v>6</v>
      </c>
      <c r="M757">
        <v>0</v>
      </c>
      <c r="N757" t="str">
        <f t="shared" si="24"/>
        <v>13-15</v>
      </c>
      <c r="O757" t="str">
        <f t="shared" si="25"/>
        <v>healthy sleep</v>
      </c>
      <c r="P757" s="1" t="str" cm="1">
        <f t="array" ref="P757">_xlfn.IFS(L757&lt;=3,"low",L757&lt;=6,"medium",L757&gt;=7,"high")</f>
        <v>medium</v>
      </c>
    </row>
    <row r="758" spans="1:16" x14ac:dyDescent="0.3">
      <c r="A758">
        <v>14</v>
      </c>
      <c r="B758" t="s">
        <v>13</v>
      </c>
      <c r="C758">
        <v>7.6</v>
      </c>
      <c r="D758" t="s">
        <v>14</v>
      </c>
      <c r="E758">
        <v>5.8</v>
      </c>
      <c r="F758">
        <v>1.9</v>
      </c>
      <c r="G758">
        <v>3.49</v>
      </c>
      <c r="H758">
        <v>1.7</v>
      </c>
      <c r="I758" t="s">
        <v>18</v>
      </c>
      <c r="J758">
        <v>10</v>
      </c>
      <c r="K758">
        <v>1</v>
      </c>
      <c r="L758">
        <v>3</v>
      </c>
      <c r="M758">
        <v>0</v>
      </c>
      <c r="N758" t="str">
        <f t="shared" si="24"/>
        <v>13-15</v>
      </c>
      <c r="O758" t="str">
        <f t="shared" si="25"/>
        <v>low sleep</v>
      </c>
      <c r="P758" s="1" t="str" cm="1">
        <f t="array" ref="P758">_xlfn.IFS(L758&lt;=3,"low",L758&lt;=6,"medium",L758&gt;=7,"high")</f>
        <v>low</v>
      </c>
    </row>
    <row r="759" spans="1:16" x14ac:dyDescent="0.3">
      <c r="A759">
        <v>15</v>
      </c>
      <c r="B759" t="s">
        <v>16</v>
      </c>
      <c r="C759">
        <v>1.3</v>
      </c>
      <c r="D759" t="s">
        <v>17</v>
      </c>
      <c r="E759">
        <v>7.6</v>
      </c>
      <c r="F759">
        <v>0.6</v>
      </c>
      <c r="G759">
        <v>3.46</v>
      </c>
      <c r="H759">
        <v>1.9</v>
      </c>
      <c r="I759" t="s">
        <v>15</v>
      </c>
      <c r="J759">
        <v>1</v>
      </c>
      <c r="K759">
        <v>1</v>
      </c>
      <c r="L759">
        <v>4</v>
      </c>
      <c r="M759">
        <v>0</v>
      </c>
      <c r="N759" t="str">
        <f t="shared" si="24"/>
        <v>13-15</v>
      </c>
      <c r="O759" t="str">
        <f t="shared" si="25"/>
        <v>healthy sleep</v>
      </c>
      <c r="P759" s="1" t="str" cm="1">
        <f t="array" ref="P759">_xlfn.IFS(L759&lt;=3,"low",L759&lt;=6,"medium",L759&gt;=7,"high")</f>
        <v>medium</v>
      </c>
    </row>
    <row r="760" spans="1:16" x14ac:dyDescent="0.3">
      <c r="A760">
        <v>15</v>
      </c>
      <c r="B760" t="s">
        <v>13</v>
      </c>
      <c r="C760">
        <v>3.7</v>
      </c>
      <c r="D760" t="s">
        <v>20</v>
      </c>
      <c r="E760">
        <v>5.7</v>
      </c>
      <c r="F760">
        <v>1.3</v>
      </c>
      <c r="G760">
        <v>3.24</v>
      </c>
      <c r="H760">
        <v>0.2</v>
      </c>
      <c r="I760" t="s">
        <v>15</v>
      </c>
      <c r="J760">
        <v>4</v>
      </c>
      <c r="K760">
        <v>9</v>
      </c>
      <c r="L760">
        <v>10</v>
      </c>
      <c r="M760">
        <v>0</v>
      </c>
      <c r="N760" t="str">
        <f t="shared" si="24"/>
        <v>13-15</v>
      </c>
      <c r="O760" t="str">
        <f t="shared" si="25"/>
        <v>low sleep</v>
      </c>
      <c r="P760" s="1" t="str" cm="1">
        <f t="array" ref="P760">_xlfn.IFS(L760&lt;=3,"low",L760&lt;=6,"medium",L760&gt;=7,"high")</f>
        <v>high</v>
      </c>
    </row>
    <row r="761" spans="1:16" x14ac:dyDescent="0.3">
      <c r="A761">
        <v>18</v>
      </c>
      <c r="B761" t="s">
        <v>13</v>
      </c>
      <c r="C761">
        <v>3.6</v>
      </c>
      <c r="D761" t="s">
        <v>14</v>
      </c>
      <c r="E761">
        <v>4.7</v>
      </c>
      <c r="F761">
        <v>2.5</v>
      </c>
      <c r="G761">
        <v>2.73</v>
      </c>
      <c r="H761">
        <v>1.2</v>
      </c>
      <c r="I761" t="s">
        <v>19</v>
      </c>
      <c r="J761">
        <v>9</v>
      </c>
      <c r="K761">
        <v>7</v>
      </c>
      <c r="L761">
        <v>6</v>
      </c>
      <c r="M761">
        <v>0</v>
      </c>
      <c r="N761" t="str">
        <f t="shared" si="24"/>
        <v>16-19</v>
      </c>
      <c r="O761" t="str">
        <f t="shared" si="25"/>
        <v>low sleep</v>
      </c>
      <c r="P761" s="1" t="str" cm="1">
        <f t="array" ref="P761">_xlfn.IFS(L761&lt;=3,"low",L761&lt;=6,"medium",L761&gt;=7,"high")</f>
        <v>medium</v>
      </c>
    </row>
    <row r="762" spans="1:16" x14ac:dyDescent="0.3">
      <c r="A762">
        <v>15</v>
      </c>
      <c r="B762" t="s">
        <v>13</v>
      </c>
      <c r="C762">
        <v>6.4</v>
      </c>
      <c r="D762" t="s">
        <v>17</v>
      </c>
      <c r="E762">
        <v>6.9</v>
      </c>
      <c r="F762">
        <v>2.9</v>
      </c>
      <c r="G762">
        <v>2.48</v>
      </c>
      <c r="H762">
        <v>0.9</v>
      </c>
      <c r="I762" t="s">
        <v>15</v>
      </c>
      <c r="J762">
        <v>8</v>
      </c>
      <c r="K762">
        <v>4</v>
      </c>
      <c r="L762">
        <v>8</v>
      </c>
      <c r="M762">
        <v>0</v>
      </c>
      <c r="N762" t="str">
        <f t="shared" si="24"/>
        <v>13-15</v>
      </c>
      <c r="O762" t="str">
        <f t="shared" si="25"/>
        <v>healthy sleep</v>
      </c>
      <c r="P762" s="1" t="str" cm="1">
        <f t="array" ref="P762">_xlfn.IFS(L762&lt;=3,"low",L762&lt;=6,"medium",L762&gt;=7,"high")</f>
        <v>high</v>
      </c>
    </row>
    <row r="763" spans="1:16" x14ac:dyDescent="0.3">
      <c r="A763">
        <v>13</v>
      </c>
      <c r="B763" t="s">
        <v>13</v>
      </c>
      <c r="C763">
        <v>6</v>
      </c>
      <c r="D763" t="s">
        <v>17</v>
      </c>
      <c r="E763">
        <v>4.8</v>
      </c>
      <c r="F763">
        <v>2.6</v>
      </c>
      <c r="G763">
        <v>2.74</v>
      </c>
      <c r="H763">
        <v>1.6</v>
      </c>
      <c r="I763" t="s">
        <v>18</v>
      </c>
      <c r="J763">
        <v>6</v>
      </c>
      <c r="K763">
        <v>10</v>
      </c>
      <c r="L763">
        <v>8</v>
      </c>
      <c r="M763">
        <v>0</v>
      </c>
      <c r="N763" t="str">
        <f t="shared" si="24"/>
        <v>13-15</v>
      </c>
      <c r="O763" t="str">
        <f t="shared" si="25"/>
        <v>low sleep</v>
      </c>
      <c r="P763" s="1" t="str" cm="1">
        <f t="array" ref="P763">_xlfn.IFS(L763&lt;=3,"low",L763&lt;=6,"medium",L763&gt;=7,"high")</f>
        <v>high</v>
      </c>
    </row>
    <row r="764" spans="1:16" x14ac:dyDescent="0.3">
      <c r="A764">
        <v>14</v>
      </c>
      <c r="B764" t="s">
        <v>16</v>
      </c>
      <c r="C764">
        <v>1.3</v>
      </c>
      <c r="D764" t="s">
        <v>17</v>
      </c>
      <c r="E764">
        <v>7.7</v>
      </c>
      <c r="F764">
        <v>1.9</v>
      </c>
      <c r="G764">
        <v>2.27</v>
      </c>
      <c r="H764">
        <v>1.5</v>
      </c>
      <c r="I764" t="s">
        <v>15</v>
      </c>
      <c r="J764">
        <v>7</v>
      </c>
      <c r="K764">
        <v>2</v>
      </c>
      <c r="L764">
        <v>2</v>
      </c>
      <c r="M764">
        <v>0</v>
      </c>
      <c r="N764" t="str">
        <f t="shared" si="24"/>
        <v>13-15</v>
      </c>
      <c r="O764" t="str">
        <f t="shared" si="25"/>
        <v>healthy sleep</v>
      </c>
      <c r="P764" s="1" t="str" cm="1">
        <f t="array" ref="P764">_xlfn.IFS(L764&lt;=3,"low",L764&lt;=6,"medium",L764&gt;=7,"high")</f>
        <v>low</v>
      </c>
    </row>
    <row r="765" spans="1:16" x14ac:dyDescent="0.3">
      <c r="A765">
        <v>18</v>
      </c>
      <c r="B765" t="s">
        <v>13</v>
      </c>
      <c r="C765">
        <v>3.7</v>
      </c>
      <c r="D765" t="s">
        <v>14</v>
      </c>
      <c r="E765">
        <v>7</v>
      </c>
      <c r="F765">
        <v>1.4</v>
      </c>
      <c r="G765">
        <v>2.0499999999999998</v>
      </c>
      <c r="H765">
        <v>0.4</v>
      </c>
      <c r="I765" t="s">
        <v>19</v>
      </c>
      <c r="J765">
        <v>10</v>
      </c>
      <c r="K765">
        <v>9</v>
      </c>
      <c r="L765">
        <v>5</v>
      </c>
      <c r="M765">
        <v>0</v>
      </c>
      <c r="N765" t="str">
        <f t="shared" si="24"/>
        <v>16-19</v>
      </c>
      <c r="O765" t="str">
        <f t="shared" si="25"/>
        <v>healthy sleep</v>
      </c>
      <c r="P765" s="1" t="str" cm="1">
        <f t="array" ref="P765">_xlfn.IFS(L765&lt;=3,"low",L765&lt;=6,"medium",L765&gt;=7,"high")</f>
        <v>medium</v>
      </c>
    </row>
    <row r="766" spans="1:16" x14ac:dyDescent="0.3">
      <c r="A766">
        <v>18</v>
      </c>
      <c r="B766" t="s">
        <v>16</v>
      </c>
      <c r="C766">
        <v>8</v>
      </c>
      <c r="D766" t="s">
        <v>17</v>
      </c>
      <c r="E766">
        <v>4.3</v>
      </c>
      <c r="F766">
        <v>0.8</v>
      </c>
      <c r="G766">
        <v>3.44</v>
      </c>
      <c r="H766">
        <v>0.8</v>
      </c>
      <c r="I766" t="s">
        <v>19</v>
      </c>
      <c r="J766">
        <v>3</v>
      </c>
      <c r="K766">
        <v>4</v>
      </c>
      <c r="L766">
        <v>4</v>
      </c>
      <c r="M766">
        <v>0</v>
      </c>
      <c r="N766" t="str">
        <f t="shared" si="24"/>
        <v>16-19</v>
      </c>
      <c r="O766" t="str">
        <f t="shared" si="25"/>
        <v>low sleep</v>
      </c>
      <c r="P766" s="1" t="str" cm="1">
        <f t="array" ref="P766">_xlfn.IFS(L766&lt;=3,"low",L766&lt;=6,"medium",L766&gt;=7,"high")</f>
        <v>medium</v>
      </c>
    </row>
    <row r="767" spans="1:16" x14ac:dyDescent="0.3">
      <c r="A767">
        <v>19</v>
      </c>
      <c r="B767" t="s">
        <v>16</v>
      </c>
      <c r="C767">
        <v>4.0999999999999996</v>
      </c>
      <c r="D767" t="s">
        <v>20</v>
      </c>
      <c r="E767">
        <v>7.5</v>
      </c>
      <c r="F767">
        <v>2.7</v>
      </c>
      <c r="G767">
        <v>2.66</v>
      </c>
      <c r="H767">
        <v>1.6</v>
      </c>
      <c r="I767" t="s">
        <v>18</v>
      </c>
      <c r="J767">
        <v>5</v>
      </c>
      <c r="K767">
        <v>10</v>
      </c>
      <c r="L767">
        <v>5</v>
      </c>
      <c r="M767">
        <v>0</v>
      </c>
      <c r="N767" t="str">
        <f t="shared" si="24"/>
        <v>16-19</v>
      </c>
      <c r="O767" t="str">
        <f t="shared" si="25"/>
        <v>healthy sleep</v>
      </c>
      <c r="P767" s="1" t="str" cm="1">
        <f t="array" ref="P767">_xlfn.IFS(L767&lt;=3,"low",L767&lt;=6,"medium",L767&gt;=7,"high")</f>
        <v>medium</v>
      </c>
    </row>
    <row r="768" spans="1:16" x14ac:dyDescent="0.3">
      <c r="A768">
        <v>13</v>
      </c>
      <c r="B768" t="s">
        <v>13</v>
      </c>
      <c r="C768">
        <v>3.9</v>
      </c>
      <c r="D768" t="s">
        <v>20</v>
      </c>
      <c r="E768">
        <v>8.6999999999999993</v>
      </c>
      <c r="F768">
        <v>1.5</v>
      </c>
      <c r="G768">
        <v>2.71</v>
      </c>
      <c r="H768">
        <v>0.7</v>
      </c>
      <c r="I768" t="s">
        <v>15</v>
      </c>
      <c r="J768">
        <v>7</v>
      </c>
      <c r="K768">
        <v>1</v>
      </c>
      <c r="L768">
        <v>4</v>
      </c>
      <c r="M768">
        <v>0</v>
      </c>
      <c r="N768" t="str">
        <f t="shared" si="24"/>
        <v>13-15</v>
      </c>
      <c r="O768" t="str">
        <f t="shared" si="25"/>
        <v>healthy sleep</v>
      </c>
      <c r="P768" s="1" t="str" cm="1">
        <f t="array" ref="P768">_xlfn.IFS(L768&lt;=3,"low",L768&lt;=6,"medium",L768&gt;=7,"high")</f>
        <v>medium</v>
      </c>
    </row>
    <row r="769" spans="1:16" x14ac:dyDescent="0.3">
      <c r="A769">
        <v>15</v>
      </c>
      <c r="B769" t="s">
        <v>16</v>
      </c>
      <c r="C769">
        <v>6.4</v>
      </c>
      <c r="D769" t="s">
        <v>14</v>
      </c>
      <c r="E769">
        <v>5.9</v>
      </c>
      <c r="F769">
        <v>1.6</v>
      </c>
      <c r="G769">
        <v>3.97</v>
      </c>
      <c r="H769">
        <v>1</v>
      </c>
      <c r="I769" t="s">
        <v>18</v>
      </c>
      <c r="J769">
        <v>10</v>
      </c>
      <c r="K769">
        <v>2</v>
      </c>
      <c r="L769">
        <v>6</v>
      </c>
      <c r="M769">
        <v>0</v>
      </c>
      <c r="N769" t="str">
        <f t="shared" si="24"/>
        <v>13-15</v>
      </c>
      <c r="O769" t="str">
        <f t="shared" si="25"/>
        <v>low sleep</v>
      </c>
      <c r="P769" s="1" t="str" cm="1">
        <f t="array" ref="P769">_xlfn.IFS(L769&lt;=3,"low",L769&lt;=6,"medium",L769&gt;=7,"high")</f>
        <v>medium</v>
      </c>
    </row>
    <row r="770" spans="1:16" x14ac:dyDescent="0.3">
      <c r="A770">
        <v>19</v>
      </c>
      <c r="B770" t="s">
        <v>16</v>
      </c>
      <c r="C770">
        <v>1.3</v>
      </c>
      <c r="D770" t="s">
        <v>17</v>
      </c>
      <c r="E770">
        <v>6.5</v>
      </c>
      <c r="F770">
        <v>2.1</v>
      </c>
      <c r="G770">
        <v>3.68</v>
      </c>
      <c r="H770">
        <v>1.1000000000000001</v>
      </c>
      <c r="I770" t="s">
        <v>18</v>
      </c>
      <c r="J770">
        <v>7</v>
      </c>
      <c r="K770">
        <v>1</v>
      </c>
      <c r="L770">
        <v>9</v>
      </c>
      <c r="M770">
        <v>0</v>
      </c>
      <c r="N770" t="str">
        <f t="shared" si="24"/>
        <v>16-19</v>
      </c>
      <c r="O770" t="str">
        <f t="shared" si="25"/>
        <v>healthy sleep</v>
      </c>
      <c r="P770" s="1" t="str" cm="1">
        <f t="array" ref="P770">_xlfn.IFS(L770&lt;=3,"low",L770&lt;=6,"medium",L770&gt;=7,"high")</f>
        <v>high</v>
      </c>
    </row>
    <row r="771" spans="1:16" x14ac:dyDescent="0.3">
      <c r="A771">
        <v>18</v>
      </c>
      <c r="B771" t="s">
        <v>16</v>
      </c>
      <c r="C771">
        <v>5</v>
      </c>
      <c r="D771" t="s">
        <v>14</v>
      </c>
      <c r="E771">
        <v>6.6</v>
      </c>
      <c r="F771">
        <v>1.8</v>
      </c>
      <c r="G771">
        <v>3.87</v>
      </c>
      <c r="H771">
        <v>1.2</v>
      </c>
      <c r="I771" t="s">
        <v>18</v>
      </c>
      <c r="J771">
        <v>3</v>
      </c>
      <c r="K771">
        <v>4</v>
      </c>
      <c r="L771">
        <v>2</v>
      </c>
      <c r="M771">
        <v>0</v>
      </c>
      <c r="N771" t="str">
        <f t="shared" ref="N771:N834" si="26">IF(A771&lt;=15,"13-15","16-19")</f>
        <v>16-19</v>
      </c>
      <c r="O771" t="str">
        <f t="shared" ref="O771:O834" si="27">IF(E771&lt;=6,"low sleep","healthy sleep")</f>
        <v>healthy sleep</v>
      </c>
      <c r="P771" s="1" t="str" cm="1">
        <f t="array" ref="P771">_xlfn.IFS(L771&lt;=3,"low",L771&lt;=6,"medium",L771&gt;=7,"high")</f>
        <v>low</v>
      </c>
    </row>
    <row r="772" spans="1:16" x14ac:dyDescent="0.3">
      <c r="A772">
        <v>18</v>
      </c>
      <c r="B772" t="s">
        <v>13</v>
      </c>
      <c r="C772">
        <v>5.5</v>
      </c>
      <c r="D772" t="s">
        <v>20</v>
      </c>
      <c r="E772">
        <v>5.2</v>
      </c>
      <c r="F772">
        <v>1.4</v>
      </c>
      <c r="G772">
        <v>3.24</v>
      </c>
      <c r="H772">
        <v>0.9</v>
      </c>
      <c r="I772" t="s">
        <v>19</v>
      </c>
      <c r="J772">
        <v>10</v>
      </c>
      <c r="K772">
        <v>5</v>
      </c>
      <c r="L772">
        <v>7</v>
      </c>
      <c r="M772">
        <v>0</v>
      </c>
      <c r="N772" t="str">
        <f t="shared" si="26"/>
        <v>16-19</v>
      </c>
      <c r="O772" t="str">
        <f t="shared" si="27"/>
        <v>low sleep</v>
      </c>
      <c r="P772" s="1" t="str" cm="1">
        <f t="array" ref="P772">_xlfn.IFS(L772&lt;=3,"low",L772&lt;=6,"medium",L772&gt;=7,"high")</f>
        <v>high</v>
      </c>
    </row>
    <row r="773" spans="1:16" x14ac:dyDescent="0.3">
      <c r="A773">
        <v>13</v>
      </c>
      <c r="B773" t="s">
        <v>16</v>
      </c>
      <c r="C773">
        <v>7.6</v>
      </c>
      <c r="D773" t="s">
        <v>14</v>
      </c>
      <c r="E773">
        <v>7.9</v>
      </c>
      <c r="F773">
        <v>3</v>
      </c>
      <c r="G773">
        <v>2.54</v>
      </c>
      <c r="H773">
        <v>1.2</v>
      </c>
      <c r="I773" t="s">
        <v>18</v>
      </c>
      <c r="J773">
        <v>8</v>
      </c>
      <c r="K773">
        <v>8</v>
      </c>
      <c r="L773">
        <v>1</v>
      </c>
      <c r="M773">
        <v>0</v>
      </c>
      <c r="N773" t="str">
        <f t="shared" si="26"/>
        <v>13-15</v>
      </c>
      <c r="O773" t="str">
        <f t="shared" si="27"/>
        <v>healthy sleep</v>
      </c>
      <c r="P773" s="1" t="str" cm="1">
        <f t="array" ref="P773">_xlfn.IFS(L773&lt;=3,"low",L773&lt;=6,"medium",L773&gt;=7,"high")</f>
        <v>low</v>
      </c>
    </row>
    <row r="774" spans="1:16" x14ac:dyDescent="0.3">
      <c r="A774">
        <v>19</v>
      </c>
      <c r="B774" t="s">
        <v>16</v>
      </c>
      <c r="C774">
        <v>6.3</v>
      </c>
      <c r="D774" t="s">
        <v>20</v>
      </c>
      <c r="E774">
        <v>5.7</v>
      </c>
      <c r="F774">
        <v>2.2999999999999998</v>
      </c>
      <c r="G774">
        <v>2.16</v>
      </c>
      <c r="H774">
        <v>1.9</v>
      </c>
      <c r="I774" t="s">
        <v>18</v>
      </c>
      <c r="J774">
        <v>6</v>
      </c>
      <c r="K774">
        <v>3</v>
      </c>
      <c r="L774">
        <v>6</v>
      </c>
      <c r="M774">
        <v>0</v>
      </c>
      <c r="N774" t="str">
        <f t="shared" si="26"/>
        <v>16-19</v>
      </c>
      <c r="O774" t="str">
        <f t="shared" si="27"/>
        <v>low sleep</v>
      </c>
      <c r="P774" s="1" t="str" cm="1">
        <f t="array" ref="P774">_xlfn.IFS(L774&lt;=3,"low",L774&lt;=6,"medium",L774&gt;=7,"high")</f>
        <v>medium</v>
      </c>
    </row>
    <row r="775" spans="1:16" x14ac:dyDescent="0.3">
      <c r="A775">
        <v>18</v>
      </c>
      <c r="B775" t="s">
        <v>16</v>
      </c>
      <c r="C775">
        <v>2</v>
      </c>
      <c r="D775" t="s">
        <v>14</v>
      </c>
      <c r="E775">
        <v>5.9</v>
      </c>
      <c r="F775">
        <v>2.9</v>
      </c>
      <c r="G775">
        <v>3.52</v>
      </c>
      <c r="H775">
        <v>1.1000000000000001</v>
      </c>
      <c r="I775" t="s">
        <v>18</v>
      </c>
      <c r="J775">
        <v>8</v>
      </c>
      <c r="K775">
        <v>6</v>
      </c>
      <c r="L775">
        <v>10</v>
      </c>
      <c r="M775">
        <v>0</v>
      </c>
      <c r="N775" t="str">
        <f t="shared" si="26"/>
        <v>16-19</v>
      </c>
      <c r="O775" t="str">
        <f t="shared" si="27"/>
        <v>low sleep</v>
      </c>
      <c r="P775" s="1" t="str" cm="1">
        <f t="array" ref="P775">_xlfn.IFS(L775&lt;=3,"low",L775&lt;=6,"medium",L775&gt;=7,"high")</f>
        <v>high</v>
      </c>
    </row>
    <row r="776" spans="1:16" x14ac:dyDescent="0.3">
      <c r="A776">
        <v>15</v>
      </c>
      <c r="B776" t="s">
        <v>13</v>
      </c>
      <c r="C776">
        <v>4</v>
      </c>
      <c r="D776" t="s">
        <v>17</v>
      </c>
      <c r="E776">
        <v>4.5</v>
      </c>
      <c r="F776">
        <v>1.9</v>
      </c>
      <c r="G776">
        <v>3.22</v>
      </c>
      <c r="H776">
        <v>0.2</v>
      </c>
      <c r="I776" t="s">
        <v>19</v>
      </c>
      <c r="J776">
        <v>4</v>
      </c>
      <c r="K776">
        <v>5</v>
      </c>
      <c r="L776">
        <v>3</v>
      </c>
      <c r="M776">
        <v>0</v>
      </c>
      <c r="N776" t="str">
        <f t="shared" si="26"/>
        <v>13-15</v>
      </c>
      <c r="O776" t="str">
        <f t="shared" si="27"/>
        <v>low sleep</v>
      </c>
      <c r="P776" s="1" t="str" cm="1">
        <f t="array" ref="P776">_xlfn.IFS(L776&lt;=3,"low",L776&lt;=6,"medium",L776&gt;=7,"high")</f>
        <v>low</v>
      </c>
    </row>
    <row r="777" spans="1:16" x14ac:dyDescent="0.3">
      <c r="A777">
        <v>14</v>
      </c>
      <c r="B777" t="s">
        <v>13</v>
      </c>
      <c r="C777">
        <v>4.9000000000000004</v>
      </c>
      <c r="D777" t="s">
        <v>14</v>
      </c>
      <c r="E777">
        <v>5.5</v>
      </c>
      <c r="F777">
        <v>1.6</v>
      </c>
      <c r="G777">
        <v>2.85</v>
      </c>
      <c r="H777">
        <v>0.4</v>
      </c>
      <c r="I777" t="s">
        <v>15</v>
      </c>
      <c r="J777">
        <v>8</v>
      </c>
      <c r="K777">
        <v>1</v>
      </c>
      <c r="L777">
        <v>8</v>
      </c>
      <c r="M777">
        <v>0</v>
      </c>
      <c r="N777" t="str">
        <f t="shared" si="26"/>
        <v>13-15</v>
      </c>
      <c r="O777" t="str">
        <f t="shared" si="27"/>
        <v>low sleep</v>
      </c>
      <c r="P777" s="1" t="str" cm="1">
        <f t="array" ref="P777">_xlfn.IFS(L777&lt;=3,"low",L777&lt;=6,"medium",L777&gt;=7,"high")</f>
        <v>high</v>
      </c>
    </row>
    <row r="778" spans="1:16" x14ac:dyDescent="0.3">
      <c r="A778">
        <v>14</v>
      </c>
      <c r="B778" t="s">
        <v>16</v>
      </c>
      <c r="C778">
        <v>6.9</v>
      </c>
      <c r="D778" t="s">
        <v>17</v>
      </c>
      <c r="E778">
        <v>8</v>
      </c>
      <c r="F778">
        <v>1.6</v>
      </c>
      <c r="G778">
        <v>2.64</v>
      </c>
      <c r="H778">
        <v>0.1</v>
      </c>
      <c r="I778" t="s">
        <v>19</v>
      </c>
      <c r="J778">
        <v>3</v>
      </c>
      <c r="K778">
        <v>3</v>
      </c>
      <c r="L778">
        <v>3</v>
      </c>
      <c r="M778">
        <v>0</v>
      </c>
      <c r="N778" t="str">
        <f t="shared" si="26"/>
        <v>13-15</v>
      </c>
      <c r="O778" t="str">
        <f t="shared" si="27"/>
        <v>healthy sleep</v>
      </c>
      <c r="P778" s="1" t="str" cm="1">
        <f t="array" ref="P778">_xlfn.IFS(L778&lt;=3,"low",L778&lt;=6,"medium",L778&gt;=7,"high")</f>
        <v>low</v>
      </c>
    </row>
    <row r="779" spans="1:16" x14ac:dyDescent="0.3">
      <c r="A779">
        <v>15</v>
      </c>
      <c r="B779" t="s">
        <v>13</v>
      </c>
      <c r="C779">
        <v>5.4</v>
      </c>
      <c r="D779" t="s">
        <v>17</v>
      </c>
      <c r="E779">
        <v>4.2</v>
      </c>
      <c r="F779">
        <v>1.8</v>
      </c>
      <c r="G779">
        <v>2.15</v>
      </c>
      <c r="H779">
        <v>0.3</v>
      </c>
      <c r="I779" t="s">
        <v>19</v>
      </c>
      <c r="J779">
        <v>1</v>
      </c>
      <c r="K779">
        <v>10</v>
      </c>
      <c r="L779">
        <v>5</v>
      </c>
      <c r="M779">
        <v>0</v>
      </c>
      <c r="N779" t="str">
        <f t="shared" si="26"/>
        <v>13-15</v>
      </c>
      <c r="O779" t="str">
        <f t="shared" si="27"/>
        <v>low sleep</v>
      </c>
      <c r="P779" s="1" t="str" cm="1">
        <f t="array" ref="P779">_xlfn.IFS(L779&lt;=3,"low",L779&lt;=6,"medium",L779&gt;=7,"high")</f>
        <v>medium</v>
      </c>
    </row>
    <row r="780" spans="1:16" x14ac:dyDescent="0.3">
      <c r="A780">
        <v>13</v>
      </c>
      <c r="B780" t="s">
        <v>16</v>
      </c>
      <c r="C780">
        <v>3.8</v>
      </c>
      <c r="D780" t="s">
        <v>20</v>
      </c>
      <c r="E780">
        <v>8.9</v>
      </c>
      <c r="F780">
        <v>2.5</v>
      </c>
      <c r="G780">
        <v>2.29</v>
      </c>
      <c r="H780">
        <v>0.6</v>
      </c>
      <c r="I780" t="s">
        <v>18</v>
      </c>
      <c r="J780">
        <v>9</v>
      </c>
      <c r="K780">
        <v>9</v>
      </c>
      <c r="L780">
        <v>7</v>
      </c>
      <c r="M780">
        <v>0</v>
      </c>
      <c r="N780" t="str">
        <f t="shared" si="26"/>
        <v>13-15</v>
      </c>
      <c r="O780" t="str">
        <f t="shared" si="27"/>
        <v>healthy sleep</v>
      </c>
      <c r="P780" s="1" t="str" cm="1">
        <f t="array" ref="P780">_xlfn.IFS(L780&lt;=3,"low",L780&lt;=6,"medium",L780&gt;=7,"high")</f>
        <v>high</v>
      </c>
    </row>
    <row r="781" spans="1:16" x14ac:dyDescent="0.3">
      <c r="A781">
        <v>15</v>
      </c>
      <c r="B781" t="s">
        <v>13</v>
      </c>
      <c r="C781">
        <v>7.8</v>
      </c>
      <c r="D781" t="s">
        <v>20</v>
      </c>
      <c r="E781">
        <v>6.8</v>
      </c>
      <c r="F781">
        <v>0.6</v>
      </c>
      <c r="G781">
        <v>3.2</v>
      </c>
      <c r="H781">
        <v>1.7</v>
      </c>
      <c r="I781" t="s">
        <v>19</v>
      </c>
      <c r="J781">
        <v>1</v>
      </c>
      <c r="K781">
        <v>7</v>
      </c>
      <c r="L781">
        <v>5</v>
      </c>
      <c r="M781">
        <v>0</v>
      </c>
      <c r="N781" t="str">
        <f t="shared" si="26"/>
        <v>13-15</v>
      </c>
      <c r="O781" t="str">
        <f t="shared" si="27"/>
        <v>healthy sleep</v>
      </c>
      <c r="P781" s="1" t="str" cm="1">
        <f t="array" ref="P781">_xlfn.IFS(L781&lt;=3,"low",L781&lt;=6,"medium",L781&gt;=7,"high")</f>
        <v>medium</v>
      </c>
    </row>
    <row r="782" spans="1:16" x14ac:dyDescent="0.3">
      <c r="A782">
        <v>15</v>
      </c>
      <c r="B782" t="s">
        <v>13</v>
      </c>
      <c r="C782">
        <v>3.5</v>
      </c>
      <c r="D782" t="s">
        <v>20</v>
      </c>
      <c r="E782">
        <v>8.8000000000000007</v>
      </c>
      <c r="F782">
        <v>1.8</v>
      </c>
      <c r="G782">
        <v>3.5</v>
      </c>
      <c r="H782">
        <v>0.8</v>
      </c>
      <c r="I782" t="s">
        <v>15</v>
      </c>
      <c r="J782">
        <v>3</v>
      </c>
      <c r="K782">
        <v>6</v>
      </c>
      <c r="L782">
        <v>3</v>
      </c>
      <c r="M782">
        <v>0</v>
      </c>
      <c r="N782" t="str">
        <f t="shared" si="26"/>
        <v>13-15</v>
      </c>
      <c r="O782" t="str">
        <f t="shared" si="27"/>
        <v>healthy sleep</v>
      </c>
      <c r="P782" s="1" t="str" cm="1">
        <f t="array" ref="P782">_xlfn.IFS(L782&lt;=3,"low",L782&lt;=6,"medium",L782&gt;=7,"high")</f>
        <v>low</v>
      </c>
    </row>
    <row r="783" spans="1:16" x14ac:dyDescent="0.3">
      <c r="A783">
        <v>19</v>
      </c>
      <c r="B783" t="s">
        <v>16</v>
      </c>
      <c r="C783">
        <v>5.4</v>
      </c>
      <c r="D783" t="s">
        <v>14</v>
      </c>
      <c r="E783">
        <v>7.3</v>
      </c>
      <c r="F783">
        <v>2</v>
      </c>
      <c r="G783">
        <v>3.98</v>
      </c>
      <c r="H783">
        <v>0.9</v>
      </c>
      <c r="I783" t="s">
        <v>19</v>
      </c>
      <c r="J783">
        <v>6</v>
      </c>
      <c r="K783">
        <v>6</v>
      </c>
      <c r="L783">
        <v>1</v>
      </c>
      <c r="M783">
        <v>0</v>
      </c>
      <c r="N783" t="str">
        <f t="shared" si="26"/>
        <v>16-19</v>
      </c>
      <c r="O783" t="str">
        <f t="shared" si="27"/>
        <v>healthy sleep</v>
      </c>
      <c r="P783" s="1" t="str" cm="1">
        <f t="array" ref="P783">_xlfn.IFS(L783&lt;=3,"low",L783&lt;=6,"medium",L783&gt;=7,"high")</f>
        <v>low</v>
      </c>
    </row>
    <row r="784" spans="1:16" x14ac:dyDescent="0.3">
      <c r="A784">
        <v>17</v>
      </c>
      <c r="B784" t="s">
        <v>13</v>
      </c>
      <c r="C784">
        <v>3.8</v>
      </c>
      <c r="D784" t="s">
        <v>20</v>
      </c>
      <c r="E784">
        <v>5.7</v>
      </c>
      <c r="F784">
        <v>2</v>
      </c>
      <c r="G784">
        <v>3.01</v>
      </c>
      <c r="H784">
        <v>1</v>
      </c>
      <c r="I784" t="s">
        <v>15</v>
      </c>
      <c r="J784">
        <v>1</v>
      </c>
      <c r="K784">
        <v>3</v>
      </c>
      <c r="L784">
        <v>1</v>
      </c>
      <c r="M784">
        <v>0</v>
      </c>
      <c r="N784" t="str">
        <f t="shared" si="26"/>
        <v>16-19</v>
      </c>
      <c r="O784" t="str">
        <f t="shared" si="27"/>
        <v>low sleep</v>
      </c>
      <c r="P784" s="1" t="str" cm="1">
        <f t="array" ref="P784">_xlfn.IFS(L784&lt;=3,"low",L784&lt;=6,"medium",L784&gt;=7,"high")</f>
        <v>low</v>
      </c>
    </row>
    <row r="785" spans="1:16" x14ac:dyDescent="0.3">
      <c r="A785">
        <v>17</v>
      </c>
      <c r="B785" t="s">
        <v>13</v>
      </c>
      <c r="C785">
        <v>8</v>
      </c>
      <c r="D785" t="s">
        <v>14</v>
      </c>
      <c r="E785">
        <v>6.9</v>
      </c>
      <c r="F785">
        <v>2.2000000000000002</v>
      </c>
      <c r="G785">
        <v>2.36</v>
      </c>
      <c r="H785">
        <v>1.6</v>
      </c>
      <c r="I785" t="s">
        <v>15</v>
      </c>
      <c r="J785">
        <v>4</v>
      </c>
      <c r="K785">
        <v>2</v>
      </c>
      <c r="L785">
        <v>8</v>
      </c>
      <c r="M785">
        <v>0</v>
      </c>
      <c r="N785" t="str">
        <f t="shared" si="26"/>
        <v>16-19</v>
      </c>
      <c r="O785" t="str">
        <f t="shared" si="27"/>
        <v>healthy sleep</v>
      </c>
      <c r="P785" s="1" t="str" cm="1">
        <f t="array" ref="P785">_xlfn.IFS(L785&lt;=3,"low",L785&lt;=6,"medium",L785&gt;=7,"high")</f>
        <v>high</v>
      </c>
    </row>
    <row r="786" spans="1:16" x14ac:dyDescent="0.3">
      <c r="A786">
        <v>14</v>
      </c>
      <c r="B786" t="s">
        <v>16</v>
      </c>
      <c r="C786">
        <v>3.7</v>
      </c>
      <c r="D786" t="s">
        <v>17</v>
      </c>
      <c r="E786">
        <v>5.7</v>
      </c>
      <c r="F786">
        <v>1.7</v>
      </c>
      <c r="G786">
        <v>2.88</v>
      </c>
      <c r="H786">
        <v>0.2</v>
      </c>
      <c r="I786" t="s">
        <v>15</v>
      </c>
      <c r="J786">
        <v>9</v>
      </c>
      <c r="K786">
        <v>10</v>
      </c>
      <c r="L786">
        <v>3</v>
      </c>
      <c r="M786">
        <v>0</v>
      </c>
      <c r="N786" t="str">
        <f t="shared" si="26"/>
        <v>13-15</v>
      </c>
      <c r="O786" t="str">
        <f t="shared" si="27"/>
        <v>low sleep</v>
      </c>
      <c r="P786" s="1" t="str" cm="1">
        <f t="array" ref="P786">_xlfn.IFS(L786&lt;=3,"low",L786&lt;=6,"medium",L786&gt;=7,"high")</f>
        <v>low</v>
      </c>
    </row>
    <row r="787" spans="1:16" x14ac:dyDescent="0.3">
      <c r="A787">
        <v>19</v>
      </c>
      <c r="B787" t="s">
        <v>16</v>
      </c>
      <c r="C787">
        <v>5</v>
      </c>
      <c r="D787" t="s">
        <v>14</v>
      </c>
      <c r="E787">
        <v>6.3</v>
      </c>
      <c r="F787">
        <v>2.9</v>
      </c>
      <c r="G787">
        <v>2.04</v>
      </c>
      <c r="H787">
        <v>0.5</v>
      </c>
      <c r="I787" t="s">
        <v>19</v>
      </c>
      <c r="J787">
        <v>5</v>
      </c>
      <c r="K787">
        <v>2</v>
      </c>
      <c r="L787">
        <v>2</v>
      </c>
      <c r="M787">
        <v>0</v>
      </c>
      <c r="N787" t="str">
        <f t="shared" si="26"/>
        <v>16-19</v>
      </c>
      <c r="O787" t="str">
        <f t="shared" si="27"/>
        <v>healthy sleep</v>
      </c>
      <c r="P787" s="1" t="str" cm="1">
        <f t="array" ref="P787">_xlfn.IFS(L787&lt;=3,"low",L787&lt;=6,"medium",L787&gt;=7,"high")</f>
        <v>low</v>
      </c>
    </row>
    <row r="788" spans="1:16" x14ac:dyDescent="0.3">
      <c r="A788">
        <v>19</v>
      </c>
      <c r="B788" t="s">
        <v>16</v>
      </c>
      <c r="C788">
        <v>4.2</v>
      </c>
      <c r="D788" t="s">
        <v>14</v>
      </c>
      <c r="E788">
        <v>7.1</v>
      </c>
      <c r="F788">
        <v>2.5</v>
      </c>
      <c r="G788">
        <v>3.91</v>
      </c>
      <c r="H788">
        <v>1.5</v>
      </c>
      <c r="I788" t="s">
        <v>18</v>
      </c>
      <c r="J788">
        <v>6</v>
      </c>
      <c r="K788">
        <v>8</v>
      </c>
      <c r="L788">
        <v>9</v>
      </c>
      <c r="M788">
        <v>0</v>
      </c>
      <c r="N788" t="str">
        <f t="shared" si="26"/>
        <v>16-19</v>
      </c>
      <c r="O788" t="str">
        <f t="shared" si="27"/>
        <v>healthy sleep</v>
      </c>
      <c r="P788" s="1" t="str" cm="1">
        <f t="array" ref="P788">_xlfn.IFS(L788&lt;=3,"low",L788&lt;=6,"medium",L788&gt;=7,"high")</f>
        <v>high</v>
      </c>
    </row>
    <row r="789" spans="1:16" x14ac:dyDescent="0.3">
      <c r="A789">
        <v>16</v>
      </c>
      <c r="B789" t="s">
        <v>13</v>
      </c>
      <c r="C789">
        <v>4.5999999999999996</v>
      </c>
      <c r="D789" t="s">
        <v>14</v>
      </c>
      <c r="E789">
        <v>8.1999999999999993</v>
      </c>
      <c r="F789">
        <v>1.5</v>
      </c>
      <c r="G789">
        <v>2.13</v>
      </c>
      <c r="H789">
        <v>1</v>
      </c>
      <c r="I789" t="s">
        <v>15</v>
      </c>
      <c r="J789">
        <v>3</v>
      </c>
      <c r="K789">
        <v>2</v>
      </c>
      <c r="L789">
        <v>2</v>
      </c>
      <c r="M789">
        <v>0</v>
      </c>
      <c r="N789" t="str">
        <f t="shared" si="26"/>
        <v>16-19</v>
      </c>
      <c r="O789" t="str">
        <f t="shared" si="27"/>
        <v>healthy sleep</v>
      </c>
      <c r="P789" s="1" t="str" cm="1">
        <f t="array" ref="P789">_xlfn.IFS(L789&lt;=3,"low",L789&lt;=6,"medium",L789&gt;=7,"high")</f>
        <v>low</v>
      </c>
    </row>
    <row r="790" spans="1:16" x14ac:dyDescent="0.3">
      <c r="A790">
        <v>18</v>
      </c>
      <c r="B790" t="s">
        <v>13</v>
      </c>
      <c r="C790">
        <v>5.5</v>
      </c>
      <c r="D790" t="s">
        <v>14</v>
      </c>
      <c r="E790">
        <v>5</v>
      </c>
      <c r="F790">
        <v>0.9</v>
      </c>
      <c r="G790">
        <v>2.93</v>
      </c>
      <c r="H790">
        <v>1.1000000000000001</v>
      </c>
      <c r="I790" t="s">
        <v>15</v>
      </c>
      <c r="J790">
        <v>4</v>
      </c>
      <c r="K790">
        <v>10</v>
      </c>
      <c r="L790">
        <v>10</v>
      </c>
      <c r="M790">
        <v>0</v>
      </c>
      <c r="N790" t="str">
        <f t="shared" si="26"/>
        <v>16-19</v>
      </c>
      <c r="O790" t="str">
        <f t="shared" si="27"/>
        <v>low sleep</v>
      </c>
      <c r="P790" s="1" t="str" cm="1">
        <f t="array" ref="P790">_xlfn.IFS(L790&lt;=3,"low",L790&lt;=6,"medium",L790&gt;=7,"high")</f>
        <v>high</v>
      </c>
    </row>
    <row r="791" spans="1:16" x14ac:dyDescent="0.3">
      <c r="A791">
        <v>19</v>
      </c>
      <c r="B791" t="s">
        <v>16</v>
      </c>
      <c r="C791">
        <v>1.8</v>
      </c>
      <c r="D791" t="s">
        <v>14</v>
      </c>
      <c r="E791">
        <v>4.5</v>
      </c>
      <c r="F791">
        <v>2.8</v>
      </c>
      <c r="G791">
        <v>3.22</v>
      </c>
      <c r="H791">
        <v>1.6</v>
      </c>
      <c r="I791" t="s">
        <v>19</v>
      </c>
      <c r="J791">
        <v>5</v>
      </c>
      <c r="K791">
        <v>3</v>
      </c>
      <c r="L791">
        <v>10</v>
      </c>
      <c r="M791">
        <v>0</v>
      </c>
      <c r="N791" t="str">
        <f t="shared" si="26"/>
        <v>16-19</v>
      </c>
      <c r="O791" t="str">
        <f t="shared" si="27"/>
        <v>low sleep</v>
      </c>
      <c r="P791" s="1" t="str" cm="1">
        <f t="array" ref="P791">_xlfn.IFS(L791&lt;=3,"low",L791&lt;=6,"medium",L791&gt;=7,"high")</f>
        <v>high</v>
      </c>
    </row>
    <row r="792" spans="1:16" x14ac:dyDescent="0.3">
      <c r="A792">
        <v>14</v>
      </c>
      <c r="B792" t="s">
        <v>16</v>
      </c>
      <c r="C792">
        <v>6.6</v>
      </c>
      <c r="D792" t="s">
        <v>17</v>
      </c>
      <c r="E792">
        <v>6.2</v>
      </c>
      <c r="F792">
        <v>1.8</v>
      </c>
      <c r="G792">
        <v>2.36</v>
      </c>
      <c r="H792">
        <v>1.7</v>
      </c>
      <c r="I792" t="s">
        <v>18</v>
      </c>
      <c r="J792">
        <v>4</v>
      </c>
      <c r="K792">
        <v>1</v>
      </c>
      <c r="L792">
        <v>8</v>
      </c>
      <c r="M792">
        <v>0</v>
      </c>
      <c r="N792" t="str">
        <f t="shared" si="26"/>
        <v>13-15</v>
      </c>
      <c r="O792" t="str">
        <f t="shared" si="27"/>
        <v>healthy sleep</v>
      </c>
      <c r="P792" s="1" t="str" cm="1">
        <f t="array" ref="P792">_xlfn.IFS(L792&lt;=3,"low",L792&lt;=6,"medium",L792&gt;=7,"high")</f>
        <v>high</v>
      </c>
    </row>
    <row r="793" spans="1:16" x14ac:dyDescent="0.3">
      <c r="A793">
        <v>15</v>
      </c>
      <c r="B793" t="s">
        <v>16</v>
      </c>
      <c r="C793">
        <v>4.4000000000000004</v>
      </c>
      <c r="D793" t="s">
        <v>17</v>
      </c>
      <c r="E793">
        <v>5.3</v>
      </c>
      <c r="F793">
        <v>0.9</v>
      </c>
      <c r="G793">
        <v>3.75</v>
      </c>
      <c r="H793">
        <v>0.5</v>
      </c>
      <c r="I793" t="s">
        <v>18</v>
      </c>
      <c r="J793">
        <v>10</v>
      </c>
      <c r="K793">
        <v>5</v>
      </c>
      <c r="L793">
        <v>5</v>
      </c>
      <c r="M793">
        <v>0</v>
      </c>
      <c r="N793" t="str">
        <f t="shared" si="26"/>
        <v>13-15</v>
      </c>
      <c r="O793" t="str">
        <f t="shared" si="27"/>
        <v>low sleep</v>
      </c>
      <c r="P793" s="1" t="str" cm="1">
        <f t="array" ref="P793">_xlfn.IFS(L793&lt;=3,"low",L793&lt;=6,"medium",L793&gt;=7,"high")</f>
        <v>medium</v>
      </c>
    </row>
    <row r="794" spans="1:16" x14ac:dyDescent="0.3">
      <c r="A794">
        <v>14</v>
      </c>
      <c r="B794" t="s">
        <v>16</v>
      </c>
      <c r="C794">
        <v>4.7</v>
      </c>
      <c r="D794" t="s">
        <v>17</v>
      </c>
      <c r="E794">
        <v>4.4000000000000004</v>
      </c>
      <c r="F794">
        <v>2.1</v>
      </c>
      <c r="G794">
        <v>3.92</v>
      </c>
      <c r="H794">
        <v>0.9</v>
      </c>
      <c r="I794" t="s">
        <v>15</v>
      </c>
      <c r="J794">
        <v>10</v>
      </c>
      <c r="K794">
        <v>1</v>
      </c>
      <c r="L794">
        <v>4</v>
      </c>
      <c r="M794">
        <v>0</v>
      </c>
      <c r="N794" t="str">
        <f t="shared" si="26"/>
        <v>13-15</v>
      </c>
      <c r="O794" t="str">
        <f t="shared" si="27"/>
        <v>low sleep</v>
      </c>
      <c r="P794" s="1" t="str" cm="1">
        <f t="array" ref="P794">_xlfn.IFS(L794&lt;=3,"low",L794&lt;=6,"medium",L794&gt;=7,"high")</f>
        <v>medium</v>
      </c>
    </row>
    <row r="795" spans="1:16" x14ac:dyDescent="0.3">
      <c r="A795">
        <v>18</v>
      </c>
      <c r="B795" t="s">
        <v>16</v>
      </c>
      <c r="C795">
        <v>7.1</v>
      </c>
      <c r="D795" t="s">
        <v>14</v>
      </c>
      <c r="E795">
        <v>5.7</v>
      </c>
      <c r="F795">
        <v>0.6</v>
      </c>
      <c r="G795">
        <v>2.9</v>
      </c>
      <c r="H795">
        <v>1.7</v>
      </c>
      <c r="I795" t="s">
        <v>19</v>
      </c>
      <c r="J795">
        <v>3</v>
      </c>
      <c r="K795">
        <v>1</v>
      </c>
      <c r="L795">
        <v>6</v>
      </c>
      <c r="M795">
        <v>0</v>
      </c>
      <c r="N795" t="str">
        <f t="shared" si="26"/>
        <v>16-19</v>
      </c>
      <c r="O795" t="str">
        <f t="shared" si="27"/>
        <v>low sleep</v>
      </c>
      <c r="P795" s="1" t="str" cm="1">
        <f t="array" ref="P795">_xlfn.IFS(L795&lt;=3,"low",L795&lt;=6,"medium",L795&gt;=7,"high")</f>
        <v>medium</v>
      </c>
    </row>
    <row r="796" spans="1:16" x14ac:dyDescent="0.3">
      <c r="A796">
        <v>17</v>
      </c>
      <c r="B796" t="s">
        <v>13</v>
      </c>
      <c r="C796">
        <v>4</v>
      </c>
      <c r="D796" t="s">
        <v>20</v>
      </c>
      <c r="E796">
        <v>8.5</v>
      </c>
      <c r="F796">
        <v>1</v>
      </c>
      <c r="G796">
        <v>2.16</v>
      </c>
      <c r="H796">
        <v>0.1</v>
      </c>
      <c r="I796" t="s">
        <v>15</v>
      </c>
      <c r="J796">
        <v>1</v>
      </c>
      <c r="K796">
        <v>7</v>
      </c>
      <c r="L796">
        <v>5</v>
      </c>
      <c r="M796">
        <v>0</v>
      </c>
      <c r="N796" t="str">
        <f t="shared" si="26"/>
        <v>16-19</v>
      </c>
      <c r="O796" t="str">
        <f t="shared" si="27"/>
        <v>healthy sleep</v>
      </c>
      <c r="P796" s="1" t="str" cm="1">
        <f t="array" ref="P796">_xlfn.IFS(L796&lt;=3,"low",L796&lt;=6,"medium",L796&gt;=7,"high")</f>
        <v>medium</v>
      </c>
    </row>
    <row r="797" spans="1:16" x14ac:dyDescent="0.3">
      <c r="A797">
        <v>18</v>
      </c>
      <c r="B797" t="s">
        <v>16</v>
      </c>
      <c r="C797">
        <v>5.5</v>
      </c>
      <c r="D797" t="s">
        <v>14</v>
      </c>
      <c r="E797">
        <v>5.3</v>
      </c>
      <c r="F797">
        <v>2.6</v>
      </c>
      <c r="G797">
        <v>3.09</v>
      </c>
      <c r="H797">
        <v>2</v>
      </c>
      <c r="I797" t="s">
        <v>15</v>
      </c>
      <c r="J797">
        <v>8</v>
      </c>
      <c r="K797">
        <v>6</v>
      </c>
      <c r="L797">
        <v>3</v>
      </c>
      <c r="M797">
        <v>0</v>
      </c>
      <c r="N797" t="str">
        <f t="shared" si="26"/>
        <v>16-19</v>
      </c>
      <c r="O797" t="str">
        <f t="shared" si="27"/>
        <v>low sleep</v>
      </c>
      <c r="P797" s="1" t="str" cm="1">
        <f t="array" ref="P797">_xlfn.IFS(L797&lt;=3,"low",L797&lt;=6,"medium",L797&gt;=7,"high")</f>
        <v>low</v>
      </c>
    </row>
    <row r="798" spans="1:16" x14ac:dyDescent="0.3">
      <c r="A798">
        <v>19</v>
      </c>
      <c r="B798" t="s">
        <v>13</v>
      </c>
      <c r="C798">
        <v>5.6</v>
      </c>
      <c r="D798" t="s">
        <v>17</v>
      </c>
      <c r="E798">
        <v>6.5</v>
      </c>
      <c r="F798">
        <v>1.4</v>
      </c>
      <c r="G798">
        <v>3.19</v>
      </c>
      <c r="H798">
        <v>0</v>
      </c>
      <c r="I798" t="s">
        <v>18</v>
      </c>
      <c r="J798">
        <v>9</v>
      </c>
      <c r="K798">
        <v>9</v>
      </c>
      <c r="L798">
        <v>7</v>
      </c>
      <c r="M798">
        <v>0</v>
      </c>
      <c r="N798" t="str">
        <f t="shared" si="26"/>
        <v>16-19</v>
      </c>
      <c r="O798" t="str">
        <f t="shared" si="27"/>
        <v>healthy sleep</v>
      </c>
      <c r="P798" s="1" t="str" cm="1">
        <f t="array" ref="P798">_xlfn.IFS(L798&lt;=3,"low",L798&lt;=6,"medium",L798&gt;=7,"high")</f>
        <v>high</v>
      </c>
    </row>
    <row r="799" spans="1:16" x14ac:dyDescent="0.3">
      <c r="A799">
        <v>14</v>
      </c>
      <c r="B799" t="s">
        <v>16</v>
      </c>
      <c r="C799">
        <v>3.7</v>
      </c>
      <c r="D799" t="s">
        <v>20</v>
      </c>
      <c r="E799">
        <v>7.1</v>
      </c>
      <c r="F799">
        <v>1.7</v>
      </c>
      <c r="G799">
        <v>2.5</v>
      </c>
      <c r="H799">
        <v>1.8</v>
      </c>
      <c r="I799" t="s">
        <v>19</v>
      </c>
      <c r="J799">
        <v>10</v>
      </c>
      <c r="K799">
        <v>4</v>
      </c>
      <c r="L799">
        <v>5</v>
      </c>
      <c r="M799">
        <v>0</v>
      </c>
      <c r="N799" t="str">
        <f t="shared" si="26"/>
        <v>13-15</v>
      </c>
      <c r="O799" t="str">
        <f t="shared" si="27"/>
        <v>healthy sleep</v>
      </c>
      <c r="P799" s="1" t="str" cm="1">
        <f t="array" ref="P799">_xlfn.IFS(L799&lt;=3,"low",L799&lt;=6,"medium",L799&gt;=7,"high")</f>
        <v>medium</v>
      </c>
    </row>
    <row r="800" spans="1:16" x14ac:dyDescent="0.3">
      <c r="A800">
        <v>16</v>
      </c>
      <c r="B800" t="s">
        <v>13</v>
      </c>
      <c r="C800">
        <v>1.8</v>
      </c>
      <c r="D800" t="s">
        <v>17</v>
      </c>
      <c r="E800">
        <v>7.4</v>
      </c>
      <c r="F800">
        <v>2.2999999999999998</v>
      </c>
      <c r="G800">
        <v>3.76</v>
      </c>
      <c r="H800">
        <v>0.8</v>
      </c>
      <c r="I800" t="s">
        <v>15</v>
      </c>
      <c r="J800">
        <v>9</v>
      </c>
      <c r="K800">
        <v>5</v>
      </c>
      <c r="L800">
        <v>8</v>
      </c>
      <c r="M800">
        <v>0</v>
      </c>
      <c r="N800" t="str">
        <f t="shared" si="26"/>
        <v>16-19</v>
      </c>
      <c r="O800" t="str">
        <f t="shared" si="27"/>
        <v>healthy sleep</v>
      </c>
      <c r="P800" s="1" t="str" cm="1">
        <f t="array" ref="P800">_xlfn.IFS(L800&lt;=3,"low",L800&lt;=6,"medium",L800&gt;=7,"high")</f>
        <v>high</v>
      </c>
    </row>
    <row r="801" spans="1:16" x14ac:dyDescent="0.3">
      <c r="A801">
        <v>16</v>
      </c>
      <c r="B801" t="s">
        <v>16</v>
      </c>
      <c r="C801">
        <v>7.6</v>
      </c>
      <c r="D801" t="s">
        <v>17</v>
      </c>
      <c r="E801">
        <v>4.2</v>
      </c>
      <c r="F801">
        <v>2.8</v>
      </c>
      <c r="G801">
        <v>3.87</v>
      </c>
      <c r="H801">
        <v>0.7</v>
      </c>
      <c r="I801" t="s">
        <v>18</v>
      </c>
      <c r="J801">
        <v>10</v>
      </c>
      <c r="K801">
        <v>2</v>
      </c>
      <c r="L801">
        <v>9</v>
      </c>
      <c r="M801">
        <v>0</v>
      </c>
      <c r="N801" t="str">
        <f t="shared" si="26"/>
        <v>16-19</v>
      </c>
      <c r="O801" t="str">
        <f t="shared" si="27"/>
        <v>low sleep</v>
      </c>
      <c r="P801" s="1" t="str" cm="1">
        <f t="array" ref="P801">_xlfn.IFS(L801&lt;=3,"low",L801&lt;=6,"medium",L801&gt;=7,"high")</f>
        <v>high</v>
      </c>
    </row>
    <row r="802" spans="1:16" x14ac:dyDescent="0.3">
      <c r="A802">
        <v>18</v>
      </c>
      <c r="B802" t="s">
        <v>13</v>
      </c>
      <c r="C802">
        <v>5.7</v>
      </c>
      <c r="D802" t="s">
        <v>17</v>
      </c>
      <c r="E802">
        <v>8</v>
      </c>
      <c r="F802">
        <v>2.5</v>
      </c>
      <c r="G802">
        <v>3.4</v>
      </c>
      <c r="H802">
        <v>0.1</v>
      </c>
      <c r="I802" t="s">
        <v>15</v>
      </c>
      <c r="J802">
        <v>5</v>
      </c>
      <c r="K802">
        <v>2</v>
      </c>
      <c r="L802">
        <v>1</v>
      </c>
      <c r="M802">
        <v>0</v>
      </c>
      <c r="N802" t="str">
        <f t="shared" si="26"/>
        <v>16-19</v>
      </c>
      <c r="O802" t="str">
        <f t="shared" si="27"/>
        <v>healthy sleep</v>
      </c>
      <c r="P802" s="1" t="str" cm="1">
        <f t="array" ref="P802">_xlfn.IFS(L802&lt;=3,"low",L802&lt;=6,"medium",L802&gt;=7,"high")</f>
        <v>low</v>
      </c>
    </row>
    <row r="803" spans="1:16" x14ac:dyDescent="0.3">
      <c r="A803">
        <v>14</v>
      </c>
      <c r="B803" t="s">
        <v>16</v>
      </c>
      <c r="C803">
        <v>6.1</v>
      </c>
      <c r="D803" t="s">
        <v>14</v>
      </c>
      <c r="E803">
        <v>7</v>
      </c>
      <c r="F803">
        <v>2.7</v>
      </c>
      <c r="G803">
        <v>3.97</v>
      </c>
      <c r="H803">
        <v>1</v>
      </c>
      <c r="I803" t="s">
        <v>19</v>
      </c>
      <c r="J803">
        <v>1</v>
      </c>
      <c r="K803">
        <v>8</v>
      </c>
      <c r="L803">
        <v>8</v>
      </c>
      <c r="M803">
        <v>0</v>
      </c>
      <c r="N803" t="str">
        <f t="shared" si="26"/>
        <v>13-15</v>
      </c>
      <c r="O803" t="str">
        <f t="shared" si="27"/>
        <v>healthy sleep</v>
      </c>
      <c r="P803" s="1" t="str" cm="1">
        <f t="array" ref="P803">_xlfn.IFS(L803&lt;=3,"low",L803&lt;=6,"medium",L803&gt;=7,"high")</f>
        <v>high</v>
      </c>
    </row>
    <row r="804" spans="1:16" x14ac:dyDescent="0.3">
      <c r="A804">
        <v>13</v>
      </c>
      <c r="B804" t="s">
        <v>16</v>
      </c>
      <c r="C804">
        <v>6</v>
      </c>
      <c r="D804" t="s">
        <v>14</v>
      </c>
      <c r="E804">
        <v>7.2</v>
      </c>
      <c r="F804">
        <v>0.6</v>
      </c>
      <c r="G804">
        <v>2.11</v>
      </c>
      <c r="H804">
        <v>1.1000000000000001</v>
      </c>
      <c r="I804" t="s">
        <v>15</v>
      </c>
      <c r="J804">
        <v>1</v>
      </c>
      <c r="K804">
        <v>3</v>
      </c>
      <c r="L804">
        <v>6</v>
      </c>
      <c r="M804">
        <v>0</v>
      </c>
      <c r="N804" t="str">
        <f t="shared" si="26"/>
        <v>13-15</v>
      </c>
      <c r="O804" t="str">
        <f t="shared" si="27"/>
        <v>healthy sleep</v>
      </c>
      <c r="P804" s="1" t="str" cm="1">
        <f t="array" ref="P804">_xlfn.IFS(L804&lt;=3,"low",L804&lt;=6,"medium",L804&gt;=7,"high")</f>
        <v>medium</v>
      </c>
    </row>
    <row r="805" spans="1:16" x14ac:dyDescent="0.3">
      <c r="A805">
        <v>15</v>
      </c>
      <c r="B805" t="s">
        <v>16</v>
      </c>
      <c r="C805">
        <v>3.1</v>
      </c>
      <c r="D805" t="s">
        <v>17</v>
      </c>
      <c r="E805">
        <v>4.2</v>
      </c>
      <c r="F805">
        <v>2.4</v>
      </c>
      <c r="G805">
        <v>3.41</v>
      </c>
      <c r="H805">
        <v>0.2</v>
      </c>
      <c r="I805" t="s">
        <v>15</v>
      </c>
      <c r="J805">
        <v>3</v>
      </c>
      <c r="K805">
        <v>7</v>
      </c>
      <c r="L805">
        <v>5</v>
      </c>
      <c r="M805">
        <v>0</v>
      </c>
      <c r="N805" t="str">
        <f t="shared" si="26"/>
        <v>13-15</v>
      </c>
      <c r="O805" t="str">
        <f t="shared" si="27"/>
        <v>low sleep</v>
      </c>
      <c r="P805" s="1" t="str" cm="1">
        <f t="array" ref="P805">_xlfn.IFS(L805&lt;=3,"low",L805&lt;=6,"medium",L805&gt;=7,"high")</f>
        <v>medium</v>
      </c>
    </row>
    <row r="806" spans="1:16" x14ac:dyDescent="0.3">
      <c r="A806">
        <v>17</v>
      </c>
      <c r="B806" t="s">
        <v>13</v>
      </c>
      <c r="C806">
        <v>7.6</v>
      </c>
      <c r="D806" t="s">
        <v>14</v>
      </c>
      <c r="E806">
        <v>6</v>
      </c>
      <c r="F806">
        <v>2</v>
      </c>
      <c r="G806">
        <v>3.82</v>
      </c>
      <c r="H806">
        <v>1.5</v>
      </c>
      <c r="I806" t="s">
        <v>15</v>
      </c>
      <c r="J806">
        <v>8</v>
      </c>
      <c r="K806">
        <v>9</v>
      </c>
      <c r="L806">
        <v>7</v>
      </c>
      <c r="M806">
        <v>0</v>
      </c>
      <c r="N806" t="str">
        <f t="shared" si="26"/>
        <v>16-19</v>
      </c>
      <c r="O806" t="str">
        <f t="shared" si="27"/>
        <v>low sleep</v>
      </c>
      <c r="P806" s="1" t="str" cm="1">
        <f t="array" ref="P806">_xlfn.IFS(L806&lt;=3,"low",L806&lt;=6,"medium",L806&gt;=7,"high")</f>
        <v>high</v>
      </c>
    </row>
    <row r="807" spans="1:16" x14ac:dyDescent="0.3">
      <c r="A807">
        <v>17</v>
      </c>
      <c r="B807" t="s">
        <v>13</v>
      </c>
      <c r="C807">
        <v>6</v>
      </c>
      <c r="D807" t="s">
        <v>20</v>
      </c>
      <c r="E807">
        <v>5.3</v>
      </c>
      <c r="F807">
        <v>2.7</v>
      </c>
      <c r="G807">
        <v>3.2</v>
      </c>
      <c r="H807">
        <v>1.4</v>
      </c>
      <c r="I807" t="s">
        <v>19</v>
      </c>
      <c r="J807">
        <v>8</v>
      </c>
      <c r="K807">
        <v>2</v>
      </c>
      <c r="L807">
        <v>4</v>
      </c>
      <c r="M807">
        <v>0</v>
      </c>
      <c r="N807" t="str">
        <f t="shared" si="26"/>
        <v>16-19</v>
      </c>
      <c r="O807" t="str">
        <f t="shared" si="27"/>
        <v>low sleep</v>
      </c>
      <c r="P807" s="1" t="str" cm="1">
        <f t="array" ref="P807">_xlfn.IFS(L807&lt;=3,"low",L807&lt;=6,"medium",L807&gt;=7,"high")</f>
        <v>medium</v>
      </c>
    </row>
    <row r="808" spans="1:16" x14ac:dyDescent="0.3">
      <c r="A808">
        <v>13</v>
      </c>
      <c r="B808" t="s">
        <v>16</v>
      </c>
      <c r="C808">
        <v>3.5</v>
      </c>
      <c r="D808" t="s">
        <v>14</v>
      </c>
      <c r="E808">
        <v>5.3</v>
      </c>
      <c r="F808">
        <v>2.7</v>
      </c>
      <c r="G808">
        <v>3.7</v>
      </c>
      <c r="H808">
        <v>0.5</v>
      </c>
      <c r="I808" t="s">
        <v>15</v>
      </c>
      <c r="J808">
        <v>3</v>
      </c>
      <c r="K808">
        <v>7</v>
      </c>
      <c r="L808">
        <v>2</v>
      </c>
      <c r="M808">
        <v>0</v>
      </c>
      <c r="N808" t="str">
        <f t="shared" si="26"/>
        <v>13-15</v>
      </c>
      <c r="O808" t="str">
        <f t="shared" si="27"/>
        <v>low sleep</v>
      </c>
      <c r="P808" s="1" t="str" cm="1">
        <f t="array" ref="P808">_xlfn.IFS(L808&lt;=3,"low",L808&lt;=6,"medium",L808&gt;=7,"high")</f>
        <v>low</v>
      </c>
    </row>
    <row r="809" spans="1:16" x14ac:dyDescent="0.3">
      <c r="A809">
        <v>14</v>
      </c>
      <c r="B809" t="s">
        <v>16</v>
      </c>
      <c r="C809">
        <v>1.3</v>
      </c>
      <c r="D809" t="s">
        <v>17</v>
      </c>
      <c r="E809">
        <v>7.5</v>
      </c>
      <c r="F809">
        <v>1.4</v>
      </c>
      <c r="G809">
        <v>3.85</v>
      </c>
      <c r="H809">
        <v>1.6</v>
      </c>
      <c r="I809" t="s">
        <v>19</v>
      </c>
      <c r="J809">
        <v>10</v>
      </c>
      <c r="K809">
        <v>8</v>
      </c>
      <c r="L809">
        <v>7</v>
      </c>
      <c r="M809">
        <v>0</v>
      </c>
      <c r="N809" t="str">
        <f t="shared" si="26"/>
        <v>13-15</v>
      </c>
      <c r="O809" t="str">
        <f t="shared" si="27"/>
        <v>healthy sleep</v>
      </c>
      <c r="P809" s="1" t="str" cm="1">
        <f t="array" ref="P809">_xlfn.IFS(L809&lt;=3,"low",L809&lt;=6,"medium",L809&gt;=7,"high")</f>
        <v>high</v>
      </c>
    </row>
    <row r="810" spans="1:16" x14ac:dyDescent="0.3">
      <c r="A810">
        <v>18</v>
      </c>
      <c r="B810" t="s">
        <v>16</v>
      </c>
      <c r="C810">
        <v>2.8</v>
      </c>
      <c r="D810" t="s">
        <v>17</v>
      </c>
      <c r="E810">
        <v>7</v>
      </c>
      <c r="F810">
        <v>2.9</v>
      </c>
      <c r="G810">
        <v>3.91</v>
      </c>
      <c r="H810">
        <v>1.1000000000000001</v>
      </c>
      <c r="I810" t="s">
        <v>19</v>
      </c>
      <c r="J810">
        <v>9</v>
      </c>
      <c r="K810">
        <v>9</v>
      </c>
      <c r="L810">
        <v>1</v>
      </c>
      <c r="M810">
        <v>0</v>
      </c>
      <c r="N810" t="str">
        <f t="shared" si="26"/>
        <v>16-19</v>
      </c>
      <c r="O810" t="str">
        <f t="shared" si="27"/>
        <v>healthy sleep</v>
      </c>
      <c r="P810" s="1" t="str" cm="1">
        <f t="array" ref="P810">_xlfn.IFS(L810&lt;=3,"low",L810&lt;=6,"medium",L810&gt;=7,"high")</f>
        <v>low</v>
      </c>
    </row>
    <row r="811" spans="1:16" x14ac:dyDescent="0.3">
      <c r="A811">
        <v>14</v>
      </c>
      <c r="B811" t="s">
        <v>13</v>
      </c>
      <c r="C811">
        <v>3.9</v>
      </c>
      <c r="D811" t="s">
        <v>20</v>
      </c>
      <c r="E811">
        <v>4.8</v>
      </c>
      <c r="F811">
        <v>0.8</v>
      </c>
      <c r="G811">
        <v>3.32</v>
      </c>
      <c r="H811">
        <v>0.3</v>
      </c>
      <c r="I811" t="s">
        <v>18</v>
      </c>
      <c r="J811">
        <v>5</v>
      </c>
      <c r="K811">
        <v>2</v>
      </c>
      <c r="L811">
        <v>5</v>
      </c>
      <c r="M811">
        <v>0</v>
      </c>
      <c r="N811" t="str">
        <f t="shared" si="26"/>
        <v>13-15</v>
      </c>
      <c r="O811" t="str">
        <f t="shared" si="27"/>
        <v>low sleep</v>
      </c>
      <c r="P811" s="1" t="str" cm="1">
        <f t="array" ref="P811">_xlfn.IFS(L811&lt;=3,"low",L811&lt;=6,"medium",L811&gt;=7,"high")</f>
        <v>medium</v>
      </c>
    </row>
    <row r="812" spans="1:16" x14ac:dyDescent="0.3">
      <c r="A812">
        <v>19</v>
      </c>
      <c r="B812" t="s">
        <v>13</v>
      </c>
      <c r="C812">
        <v>3.9</v>
      </c>
      <c r="D812" t="s">
        <v>20</v>
      </c>
      <c r="E812">
        <v>4.8</v>
      </c>
      <c r="F812">
        <v>2.8</v>
      </c>
      <c r="G812">
        <v>3.98</v>
      </c>
      <c r="H812">
        <v>1.9</v>
      </c>
      <c r="I812" t="s">
        <v>19</v>
      </c>
      <c r="J812">
        <v>7</v>
      </c>
      <c r="K812">
        <v>5</v>
      </c>
      <c r="L812">
        <v>3</v>
      </c>
      <c r="M812">
        <v>0</v>
      </c>
      <c r="N812" t="str">
        <f t="shared" si="26"/>
        <v>16-19</v>
      </c>
      <c r="O812" t="str">
        <f t="shared" si="27"/>
        <v>low sleep</v>
      </c>
      <c r="P812" s="1" t="str" cm="1">
        <f t="array" ref="P812">_xlfn.IFS(L812&lt;=3,"low",L812&lt;=6,"medium",L812&gt;=7,"high")</f>
        <v>low</v>
      </c>
    </row>
    <row r="813" spans="1:16" x14ac:dyDescent="0.3">
      <c r="A813">
        <v>14</v>
      </c>
      <c r="B813" t="s">
        <v>13</v>
      </c>
      <c r="C813">
        <v>7.4</v>
      </c>
      <c r="D813" t="s">
        <v>14</v>
      </c>
      <c r="E813">
        <v>8.9</v>
      </c>
      <c r="F813">
        <v>2.4</v>
      </c>
      <c r="G813">
        <v>2.29</v>
      </c>
      <c r="H813">
        <v>1.1000000000000001</v>
      </c>
      <c r="I813" t="s">
        <v>15</v>
      </c>
      <c r="J813">
        <v>10</v>
      </c>
      <c r="K813">
        <v>4</v>
      </c>
      <c r="L813">
        <v>8</v>
      </c>
      <c r="M813">
        <v>0</v>
      </c>
      <c r="N813" t="str">
        <f t="shared" si="26"/>
        <v>13-15</v>
      </c>
      <c r="O813" t="str">
        <f t="shared" si="27"/>
        <v>healthy sleep</v>
      </c>
      <c r="P813" s="1" t="str" cm="1">
        <f t="array" ref="P813">_xlfn.IFS(L813&lt;=3,"low",L813&lt;=6,"medium",L813&gt;=7,"high")</f>
        <v>high</v>
      </c>
    </row>
    <row r="814" spans="1:16" x14ac:dyDescent="0.3">
      <c r="A814">
        <v>19</v>
      </c>
      <c r="B814" t="s">
        <v>16</v>
      </c>
      <c r="C814">
        <v>5.4</v>
      </c>
      <c r="D814" t="s">
        <v>17</v>
      </c>
      <c r="E814">
        <v>7.4</v>
      </c>
      <c r="F814">
        <v>1.7</v>
      </c>
      <c r="G814">
        <v>2.88</v>
      </c>
      <c r="H814">
        <v>0.6</v>
      </c>
      <c r="I814" t="s">
        <v>15</v>
      </c>
      <c r="J814">
        <v>6</v>
      </c>
      <c r="K814">
        <v>10</v>
      </c>
      <c r="L814">
        <v>9</v>
      </c>
      <c r="M814">
        <v>0</v>
      </c>
      <c r="N814" t="str">
        <f t="shared" si="26"/>
        <v>16-19</v>
      </c>
      <c r="O814" t="str">
        <f t="shared" si="27"/>
        <v>healthy sleep</v>
      </c>
      <c r="P814" s="1" t="str" cm="1">
        <f t="array" ref="P814">_xlfn.IFS(L814&lt;=3,"low",L814&lt;=6,"medium",L814&gt;=7,"high")</f>
        <v>high</v>
      </c>
    </row>
    <row r="815" spans="1:16" x14ac:dyDescent="0.3">
      <c r="A815">
        <v>19</v>
      </c>
      <c r="B815" t="s">
        <v>16</v>
      </c>
      <c r="C815">
        <v>6.6</v>
      </c>
      <c r="D815" t="s">
        <v>20</v>
      </c>
      <c r="E815">
        <v>6.8</v>
      </c>
      <c r="F815">
        <v>0.8</v>
      </c>
      <c r="G815">
        <v>2.64</v>
      </c>
      <c r="H815">
        <v>1.5</v>
      </c>
      <c r="I815" t="s">
        <v>15</v>
      </c>
      <c r="J815">
        <v>5</v>
      </c>
      <c r="K815">
        <v>4</v>
      </c>
      <c r="L815">
        <v>6</v>
      </c>
      <c r="M815">
        <v>0</v>
      </c>
      <c r="N815" t="str">
        <f t="shared" si="26"/>
        <v>16-19</v>
      </c>
      <c r="O815" t="str">
        <f t="shared" si="27"/>
        <v>healthy sleep</v>
      </c>
      <c r="P815" s="1" t="str" cm="1">
        <f t="array" ref="P815">_xlfn.IFS(L815&lt;=3,"low",L815&lt;=6,"medium",L815&gt;=7,"high")</f>
        <v>medium</v>
      </c>
    </row>
    <row r="816" spans="1:16" x14ac:dyDescent="0.3">
      <c r="A816">
        <v>17</v>
      </c>
      <c r="B816" t="s">
        <v>13</v>
      </c>
      <c r="C816">
        <v>5.9</v>
      </c>
      <c r="D816" t="s">
        <v>14</v>
      </c>
      <c r="E816">
        <v>7.4</v>
      </c>
      <c r="F816">
        <v>1.7</v>
      </c>
      <c r="G816">
        <v>2.5</v>
      </c>
      <c r="H816">
        <v>0.7</v>
      </c>
      <c r="I816" t="s">
        <v>18</v>
      </c>
      <c r="J816">
        <v>6</v>
      </c>
      <c r="K816">
        <v>7</v>
      </c>
      <c r="L816">
        <v>1</v>
      </c>
      <c r="M816">
        <v>0</v>
      </c>
      <c r="N816" t="str">
        <f t="shared" si="26"/>
        <v>16-19</v>
      </c>
      <c r="O816" t="str">
        <f t="shared" si="27"/>
        <v>healthy sleep</v>
      </c>
      <c r="P816" s="1" t="str" cm="1">
        <f t="array" ref="P816">_xlfn.IFS(L816&lt;=3,"low",L816&lt;=6,"medium",L816&gt;=7,"high")</f>
        <v>low</v>
      </c>
    </row>
    <row r="817" spans="1:16" x14ac:dyDescent="0.3">
      <c r="A817">
        <v>17</v>
      </c>
      <c r="B817" t="s">
        <v>13</v>
      </c>
      <c r="C817">
        <v>3.3</v>
      </c>
      <c r="D817" t="s">
        <v>20</v>
      </c>
      <c r="E817">
        <v>5.2</v>
      </c>
      <c r="F817">
        <v>1.8</v>
      </c>
      <c r="G817">
        <v>2.1</v>
      </c>
      <c r="H817">
        <v>1.2</v>
      </c>
      <c r="I817" t="s">
        <v>15</v>
      </c>
      <c r="J817">
        <v>2</v>
      </c>
      <c r="K817">
        <v>3</v>
      </c>
      <c r="L817">
        <v>9</v>
      </c>
      <c r="M817">
        <v>0</v>
      </c>
      <c r="N817" t="str">
        <f t="shared" si="26"/>
        <v>16-19</v>
      </c>
      <c r="O817" t="str">
        <f t="shared" si="27"/>
        <v>low sleep</v>
      </c>
      <c r="P817" s="1" t="str" cm="1">
        <f t="array" ref="P817">_xlfn.IFS(L817&lt;=3,"low",L817&lt;=6,"medium",L817&gt;=7,"high")</f>
        <v>high</v>
      </c>
    </row>
    <row r="818" spans="1:16" x14ac:dyDescent="0.3">
      <c r="A818">
        <v>15</v>
      </c>
      <c r="B818" t="s">
        <v>16</v>
      </c>
      <c r="C818">
        <v>2.8</v>
      </c>
      <c r="D818" t="s">
        <v>14</v>
      </c>
      <c r="E818">
        <v>7.7</v>
      </c>
      <c r="F818">
        <v>1</v>
      </c>
      <c r="G818">
        <v>3.73</v>
      </c>
      <c r="H818">
        <v>0.5</v>
      </c>
      <c r="I818" t="s">
        <v>19</v>
      </c>
      <c r="J818">
        <v>6</v>
      </c>
      <c r="K818">
        <v>10</v>
      </c>
      <c r="L818">
        <v>1</v>
      </c>
      <c r="M818">
        <v>0</v>
      </c>
      <c r="N818" t="str">
        <f t="shared" si="26"/>
        <v>13-15</v>
      </c>
      <c r="O818" t="str">
        <f t="shared" si="27"/>
        <v>healthy sleep</v>
      </c>
      <c r="P818" s="1" t="str" cm="1">
        <f t="array" ref="P818">_xlfn.IFS(L818&lt;=3,"low",L818&lt;=6,"medium",L818&gt;=7,"high")</f>
        <v>low</v>
      </c>
    </row>
    <row r="819" spans="1:16" x14ac:dyDescent="0.3">
      <c r="A819">
        <v>14</v>
      </c>
      <c r="B819" t="s">
        <v>16</v>
      </c>
      <c r="C819">
        <v>7.3</v>
      </c>
      <c r="D819" t="s">
        <v>17</v>
      </c>
      <c r="E819">
        <v>8.8000000000000007</v>
      </c>
      <c r="F819">
        <v>2.5</v>
      </c>
      <c r="G819">
        <v>2.12</v>
      </c>
      <c r="H819">
        <v>0.5</v>
      </c>
      <c r="I819" t="s">
        <v>18</v>
      </c>
      <c r="J819">
        <v>10</v>
      </c>
      <c r="K819">
        <v>10</v>
      </c>
      <c r="L819">
        <v>1</v>
      </c>
      <c r="M819">
        <v>0</v>
      </c>
      <c r="N819" t="str">
        <f t="shared" si="26"/>
        <v>13-15</v>
      </c>
      <c r="O819" t="str">
        <f t="shared" si="27"/>
        <v>healthy sleep</v>
      </c>
      <c r="P819" s="1" t="str" cm="1">
        <f t="array" ref="P819">_xlfn.IFS(L819&lt;=3,"low",L819&lt;=6,"medium",L819&gt;=7,"high")</f>
        <v>low</v>
      </c>
    </row>
    <row r="820" spans="1:16" x14ac:dyDescent="0.3">
      <c r="A820">
        <v>18</v>
      </c>
      <c r="B820" t="s">
        <v>13</v>
      </c>
      <c r="C820">
        <v>2.8</v>
      </c>
      <c r="D820" t="s">
        <v>14</v>
      </c>
      <c r="E820">
        <v>6.9</v>
      </c>
      <c r="F820">
        <v>2.2999999999999998</v>
      </c>
      <c r="G820">
        <v>3.11</v>
      </c>
      <c r="H820">
        <v>0.1</v>
      </c>
      <c r="I820" t="s">
        <v>19</v>
      </c>
      <c r="J820">
        <v>7</v>
      </c>
      <c r="K820">
        <v>1</v>
      </c>
      <c r="L820">
        <v>9</v>
      </c>
      <c r="M820">
        <v>0</v>
      </c>
      <c r="N820" t="str">
        <f t="shared" si="26"/>
        <v>16-19</v>
      </c>
      <c r="O820" t="str">
        <f t="shared" si="27"/>
        <v>healthy sleep</v>
      </c>
      <c r="P820" s="1" t="str" cm="1">
        <f t="array" ref="P820">_xlfn.IFS(L820&lt;=3,"low",L820&lt;=6,"medium",L820&gt;=7,"high")</f>
        <v>high</v>
      </c>
    </row>
    <row r="821" spans="1:16" x14ac:dyDescent="0.3">
      <c r="A821">
        <v>18</v>
      </c>
      <c r="B821" t="s">
        <v>16</v>
      </c>
      <c r="C821">
        <v>7.2</v>
      </c>
      <c r="D821" t="s">
        <v>17</v>
      </c>
      <c r="E821">
        <v>7.7</v>
      </c>
      <c r="F821">
        <v>1.2</v>
      </c>
      <c r="G821">
        <v>3.7</v>
      </c>
      <c r="H821">
        <v>0.1</v>
      </c>
      <c r="I821" t="s">
        <v>15</v>
      </c>
      <c r="J821">
        <v>6</v>
      </c>
      <c r="K821">
        <v>3</v>
      </c>
      <c r="L821">
        <v>9</v>
      </c>
      <c r="M821">
        <v>0</v>
      </c>
      <c r="N821" t="str">
        <f t="shared" si="26"/>
        <v>16-19</v>
      </c>
      <c r="O821" t="str">
        <f t="shared" si="27"/>
        <v>healthy sleep</v>
      </c>
      <c r="P821" s="1" t="str" cm="1">
        <f t="array" ref="P821">_xlfn.IFS(L821&lt;=3,"low",L821&lt;=6,"medium",L821&gt;=7,"high")</f>
        <v>high</v>
      </c>
    </row>
    <row r="822" spans="1:16" x14ac:dyDescent="0.3">
      <c r="A822">
        <v>19</v>
      </c>
      <c r="B822" t="s">
        <v>16</v>
      </c>
      <c r="C822">
        <v>7.1</v>
      </c>
      <c r="D822" t="s">
        <v>17</v>
      </c>
      <c r="E822">
        <v>6.3</v>
      </c>
      <c r="F822">
        <v>0.8</v>
      </c>
      <c r="G822">
        <v>3.66</v>
      </c>
      <c r="H822">
        <v>0.5</v>
      </c>
      <c r="I822" t="s">
        <v>18</v>
      </c>
      <c r="J822">
        <v>3</v>
      </c>
      <c r="K822">
        <v>7</v>
      </c>
      <c r="L822">
        <v>7</v>
      </c>
      <c r="M822">
        <v>0</v>
      </c>
      <c r="N822" t="str">
        <f t="shared" si="26"/>
        <v>16-19</v>
      </c>
      <c r="O822" t="str">
        <f t="shared" si="27"/>
        <v>healthy sleep</v>
      </c>
      <c r="P822" s="1" t="str" cm="1">
        <f t="array" ref="P822">_xlfn.IFS(L822&lt;=3,"low",L822&lt;=6,"medium",L822&gt;=7,"high")</f>
        <v>high</v>
      </c>
    </row>
    <row r="823" spans="1:16" x14ac:dyDescent="0.3">
      <c r="A823">
        <v>13</v>
      </c>
      <c r="B823" t="s">
        <v>16</v>
      </c>
      <c r="C823">
        <v>4.3</v>
      </c>
      <c r="D823" t="s">
        <v>17</v>
      </c>
      <c r="E823">
        <v>4.4000000000000004</v>
      </c>
      <c r="F823">
        <v>0.9</v>
      </c>
      <c r="G823">
        <v>2.35</v>
      </c>
      <c r="H823">
        <v>1.5</v>
      </c>
      <c r="I823" t="s">
        <v>18</v>
      </c>
      <c r="J823">
        <v>3</v>
      </c>
      <c r="K823">
        <v>1</v>
      </c>
      <c r="L823">
        <v>7</v>
      </c>
      <c r="M823">
        <v>0</v>
      </c>
      <c r="N823" t="str">
        <f t="shared" si="26"/>
        <v>13-15</v>
      </c>
      <c r="O823" t="str">
        <f t="shared" si="27"/>
        <v>low sleep</v>
      </c>
      <c r="P823" s="1" t="str" cm="1">
        <f t="array" ref="P823">_xlfn.IFS(L823&lt;=3,"low",L823&lt;=6,"medium",L823&gt;=7,"high")</f>
        <v>high</v>
      </c>
    </row>
    <row r="824" spans="1:16" x14ac:dyDescent="0.3">
      <c r="A824">
        <v>19</v>
      </c>
      <c r="B824" t="s">
        <v>13</v>
      </c>
      <c r="C824">
        <v>1.6</v>
      </c>
      <c r="D824" t="s">
        <v>20</v>
      </c>
      <c r="E824">
        <v>4.4000000000000004</v>
      </c>
      <c r="F824">
        <v>1.4</v>
      </c>
      <c r="G824">
        <v>2.0299999999999998</v>
      </c>
      <c r="H824">
        <v>1.1000000000000001</v>
      </c>
      <c r="I824" t="s">
        <v>18</v>
      </c>
      <c r="J824">
        <v>2</v>
      </c>
      <c r="K824">
        <v>9</v>
      </c>
      <c r="L824">
        <v>5</v>
      </c>
      <c r="M824">
        <v>0</v>
      </c>
      <c r="N824" t="str">
        <f t="shared" si="26"/>
        <v>16-19</v>
      </c>
      <c r="O824" t="str">
        <f t="shared" si="27"/>
        <v>low sleep</v>
      </c>
      <c r="P824" s="1" t="str" cm="1">
        <f t="array" ref="P824">_xlfn.IFS(L824&lt;=3,"low",L824&lt;=6,"medium",L824&gt;=7,"high")</f>
        <v>medium</v>
      </c>
    </row>
    <row r="825" spans="1:16" x14ac:dyDescent="0.3">
      <c r="A825">
        <v>19</v>
      </c>
      <c r="B825" t="s">
        <v>16</v>
      </c>
      <c r="C825">
        <v>1.4</v>
      </c>
      <c r="D825" t="s">
        <v>20</v>
      </c>
      <c r="E825">
        <v>8</v>
      </c>
      <c r="F825">
        <v>2.5</v>
      </c>
      <c r="G825">
        <v>3.54</v>
      </c>
      <c r="H825">
        <v>1.8</v>
      </c>
      <c r="I825" t="s">
        <v>15</v>
      </c>
      <c r="J825">
        <v>4</v>
      </c>
      <c r="K825">
        <v>8</v>
      </c>
      <c r="L825">
        <v>3</v>
      </c>
      <c r="M825">
        <v>0</v>
      </c>
      <c r="N825" t="str">
        <f t="shared" si="26"/>
        <v>16-19</v>
      </c>
      <c r="O825" t="str">
        <f t="shared" si="27"/>
        <v>healthy sleep</v>
      </c>
      <c r="P825" s="1" t="str" cm="1">
        <f t="array" ref="P825">_xlfn.IFS(L825&lt;=3,"low",L825&lt;=6,"medium",L825&gt;=7,"high")</f>
        <v>low</v>
      </c>
    </row>
    <row r="826" spans="1:16" x14ac:dyDescent="0.3">
      <c r="A826">
        <v>18</v>
      </c>
      <c r="B826" t="s">
        <v>16</v>
      </c>
      <c r="C826">
        <v>3.2</v>
      </c>
      <c r="D826" t="s">
        <v>14</v>
      </c>
      <c r="E826">
        <v>6.8</v>
      </c>
      <c r="F826">
        <v>2.2999999999999998</v>
      </c>
      <c r="G826">
        <v>3.16</v>
      </c>
      <c r="H826">
        <v>1.8</v>
      </c>
      <c r="I826" t="s">
        <v>15</v>
      </c>
      <c r="J826">
        <v>4</v>
      </c>
      <c r="K826">
        <v>8</v>
      </c>
      <c r="L826">
        <v>5</v>
      </c>
      <c r="M826">
        <v>0</v>
      </c>
      <c r="N826" t="str">
        <f t="shared" si="26"/>
        <v>16-19</v>
      </c>
      <c r="O826" t="str">
        <f t="shared" si="27"/>
        <v>healthy sleep</v>
      </c>
      <c r="P826" s="1" t="str" cm="1">
        <f t="array" ref="P826">_xlfn.IFS(L826&lt;=3,"low",L826&lt;=6,"medium",L826&gt;=7,"high")</f>
        <v>medium</v>
      </c>
    </row>
    <row r="827" spans="1:16" x14ac:dyDescent="0.3">
      <c r="A827">
        <v>17</v>
      </c>
      <c r="B827" t="s">
        <v>13</v>
      </c>
      <c r="C827">
        <v>1.5</v>
      </c>
      <c r="D827" t="s">
        <v>20</v>
      </c>
      <c r="E827">
        <v>8</v>
      </c>
      <c r="F827">
        <v>0.5</v>
      </c>
      <c r="G827">
        <v>3.01</v>
      </c>
      <c r="H827">
        <v>0.4</v>
      </c>
      <c r="I827" t="s">
        <v>19</v>
      </c>
      <c r="J827">
        <v>10</v>
      </c>
      <c r="K827">
        <v>2</v>
      </c>
      <c r="L827">
        <v>3</v>
      </c>
      <c r="M827">
        <v>0</v>
      </c>
      <c r="N827" t="str">
        <f t="shared" si="26"/>
        <v>16-19</v>
      </c>
      <c r="O827" t="str">
        <f t="shared" si="27"/>
        <v>healthy sleep</v>
      </c>
      <c r="P827" s="1" t="str" cm="1">
        <f t="array" ref="P827">_xlfn.IFS(L827&lt;=3,"low",L827&lt;=6,"medium",L827&gt;=7,"high")</f>
        <v>low</v>
      </c>
    </row>
    <row r="828" spans="1:16" x14ac:dyDescent="0.3">
      <c r="A828">
        <v>18</v>
      </c>
      <c r="B828" t="s">
        <v>13</v>
      </c>
      <c r="C828">
        <v>7.5</v>
      </c>
      <c r="D828" t="s">
        <v>17</v>
      </c>
      <c r="E828">
        <v>5.0999999999999996</v>
      </c>
      <c r="F828">
        <v>2.6</v>
      </c>
      <c r="G828">
        <v>3.82</v>
      </c>
      <c r="H828">
        <v>0.7</v>
      </c>
      <c r="I828" t="s">
        <v>15</v>
      </c>
      <c r="J828">
        <v>7</v>
      </c>
      <c r="K828">
        <v>3</v>
      </c>
      <c r="L828">
        <v>8</v>
      </c>
      <c r="M828">
        <v>0</v>
      </c>
      <c r="N828" t="str">
        <f t="shared" si="26"/>
        <v>16-19</v>
      </c>
      <c r="O828" t="str">
        <f t="shared" si="27"/>
        <v>low sleep</v>
      </c>
      <c r="P828" s="1" t="str" cm="1">
        <f t="array" ref="P828">_xlfn.IFS(L828&lt;=3,"low",L828&lt;=6,"medium",L828&gt;=7,"high")</f>
        <v>high</v>
      </c>
    </row>
    <row r="829" spans="1:16" x14ac:dyDescent="0.3">
      <c r="A829">
        <v>14</v>
      </c>
      <c r="B829" t="s">
        <v>16</v>
      </c>
      <c r="C829">
        <v>3.5</v>
      </c>
      <c r="D829" t="s">
        <v>14</v>
      </c>
      <c r="E829">
        <v>4.5999999999999996</v>
      </c>
      <c r="F829">
        <v>0.7</v>
      </c>
      <c r="G829">
        <v>2.74</v>
      </c>
      <c r="H829">
        <v>1</v>
      </c>
      <c r="I829" t="s">
        <v>15</v>
      </c>
      <c r="J829">
        <v>2</v>
      </c>
      <c r="K829">
        <v>7</v>
      </c>
      <c r="L829">
        <v>8</v>
      </c>
      <c r="M829">
        <v>0</v>
      </c>
      <c r="N829" t="str">
        <f t="shared" si="26"/>
        <v>13-15</v>
      </c>
      <c r="O829" t="str">
        <f t="shared" si="27"/>
        <v>low sleep</v>
      </c>
      <c r="P829" s="1" t="str" cm="1">
        <f t="array" ref="P829">_xlfn.IFS(L829&lt;=3,"low",L829&lt;=6,"medium",L829&gt;=7,"high")</f>
        <v>high</v>
      </c>
    </row>
    <row r="830" spans="1:16" x14ac:dyDescent="0.3">
      <c r="A830">
        <v>17</v>
      </c>
      <c r="B830" t="s">
        <v>13</v>
      </c>
      <c r="C830">
        <v>4.4000000000000004</v>
      </c>
      <c r="D830" t="s">
        <v>20</v>
      </c>
      <c r="E830">
        <v>8.1999999999999993</v>
      </c>
      <c r="F830">
        <v>2.7</v>
      </c>
      <c r="G830">
        <v>3.13</v>
      </c>
      <c r="H830">
        <v>0.3</v>
      </c>
      <c r="I830" t="s">
        <v>19</v>
      </c>
      <c r="J830">
        <v>3</v>
      </c>
      <c r="K830">
        <v>1</v>
      </c>
      <c r="L830">
        <v>2</v>
      </c>
      <c r="M830">
        <v>0</v>
      </c>
      <c r="N830" t="str">
        <f t="shared" si="26"/>
        <v>16-19</v>
      </c>
      <c r="O830" t="str">
        <f t="shared" si="27"/>
        <v>healthy sleep</v>
      </c>
      <c r="P830" s="1" t="str" cm="1">
        <f t="array" ref="P830">_xlfn.IFS(L830&lt;=3,"low",L830&lt;=6,"medium",L830&gt;=7,"high")</f>
        <v>low</v>
      </c>
    </row>
    <row r="831" spans="1:16" x14ac:dyDescent="0.3">
      <c r="A831">
        <v>17</v>
      </c>
      <c r="B831" t="s">
        <v>13</v>
      </c>
      <c r="C831">
        <v>4.5999999999999996</v>
      </c>
      <c r="D831" t="s">
        <v>17</v>
      </c>
      <c r="E831">
        <v>5.0999999999999996</v>
      </c>
      <c r="F831">
        <v>2.5</v>
      </c>
      <c r="G831">
        <v>2.13</v>
      </c>
      <c r="H831">
        <v>1</v>
      </c>
      <c r="I831" t="s">
        <v>19</v>
      </c>
      <c r="J831">
        <v>2</v>
      </c>
      <c r="K831">
        <v>5</v>
      </c>
      <c r="L831">
        <v>6</v>
      </c>
      <c r="M831">
        <v>0</v>
      </c>
      <c r="N831" t="str">
        <f t="shared" si="26"/>
        <v>16-19</v>
      </c>
      <c r="O831" t="str">
        <f t="shared" si="27"/>
        <v>low sleep</v>
      </c>
      <c r="P831" s="1" t="str" cm="1">
        <f t="array" ref="P831">_xlfn.IFS(L831&lt;=3,"low",L831&lt;=6,"medium",L831&gt;=7,"high")</f>
        <v>medium</v>
      </c>
    </row>
    <row r="832" spans="1:16" x14ac:dyDescent="0.3">
      <c r="A832">
        <v>13</v>
      </c>
      <c r="B832" t="s">
        <v>13</v>
      </c>
      <c r="C832">
        <v>5.9</v>
      </c>
      <c r="D832" t="s">
        <v>17</v>
      </c>
      <c r="E832">
        <v>6.6</v>
      </c>
      <c r="F832">
        <v>2.6</v>
      </c>
      <c r="G832">
        <v>3.58</v>
      </c>
      <c r="H832">
        <v>1.6</v>
      </c>
      <c r="I832" t="s">
        <v>19</v>
      </c>
      <c r="J832">
        <v>7</v>
      </c>
      <c r="K832">
        <v>7</v>
      </c>
      <c r="L832">
        <v>10</v>
      </c>
      <c r="M832">
        <v>0</v>
      </c>
      <c r="N832" t="str">
        <f t="shared" si="26"/>
        <v>13-15</v>
      </c>
      <c r="O832" t="str">
        <f t="shared" si="27"/>
        <v>healthy sleep</v>
      </c>
      <c r="P832" s="1" t="str" cm="1">
        <f t="array" ref="P832">_xlfn.IFS(L832&lt;=3,"low",L832&lt;=6,"medium",L832&gt;=7,"high")</f>
        <v>high</v>
      </c>
    </row>
    <row r="833" spans="1:16" x14ac:dyDescent="0.3">
      <c r="A833">
        <v>16</v>
      </c>
      <c r="B833" t="s">
        <v>16</v>
      </c>
      <c r="C833">
        <v>7.8</v>
      </c>
      <c r="D833" t="s">
        <v>17</v>
      </c>
      <c r="E833">
        <v>4.7</v>
      </c>
      <c r="F833">
        <v>1.1000000000000001</v>
      </c>
      <c r="G833">
        <v>3.53</v>
      </c>
      <c r="H833">
        <v>2</v>
      </c>
      <c r="I833" t="s">
        <v>19</v>
      </c>
      <c r="J833">
        <v>9</v>
      </c>
      <c r="K833">
        <v>3</v>
      </c>
      <c r="L833">
        <v>8</v>
      </c>
      <c r="M833">
        <v>0</v>
      </c>
      <c r="N833" t="str">
        <f t="shared" si="26"/>
        <v>16-19</v>
      </c>
      <c r="O833" t="str">
        <f t="shared" si="27"/>
        <v>low sleep</v>
      </c>
      <c r="P833" s="1" t="str" cm="1">
        <f t="array" ref="P833">_xlfn.IFS(L833&lt;=3,"low",L833&lt;=6,"medium",L833&gt;=7,"high")</f>
        <v>high</v>
      </c>
    </row>
    <row r="834" spans="1:16" x14ac:dyDescent="0.3">
      <c r="A834">
        <v>15</v>
      </c>
      <c r="B834" t="s">
        <v>16</v>
      </c>
      <c r="C834">
        <v>4.8</v>
      </c>
      <c r="D834" t="s">
        <v>17</v>
      </c>
      <c r="E834">
        <v>7.3</v>
      </c>
      <c r="F834">
        <v>1.9</v>
      </c>
      <c r="G834">
        <v>2.76</v>
      </c>
      <c r="H834">
        <v>0.9</v>
      </c>
      <c r="I834" t="s">
        <v>18</v>
      </c>
      <c r="J834">
        <v>2</v>
      </c>
      <c r="K834">
        <v>10</v>
      </c>
      <c r="L834">
        <v>1</v>
      </c>
      <c r="M834">
        <v>0</v>
      </c>
      <c r="N834" t="str">
        <f t="shared" si="26"/>
        <v>13-15</v>
      </c>
      <c r="O834" t="str">
        <f t="shared" si="27"/>
        <v>healthy sleep</v>
      </c>
      <c r="P834" s="1" t="str" cm="1">
        <f t="array" ref="P834">_xlfn.IFS(L834&lt;=3,"low",L834&lt;=6,"medium",L834&gt;=7,"high")</f>
        <v>low</v>
      </c>
    </row>
    <row r="835" spans="1:16" x14ac:dyDescent="0.3">
      <c r="A835">
        <v>16</v>
      </c>
      <c r="B835" t="s">
        <v>16</v>
      </c>
      <c r="C835">
        <v>7.4</v>
      </c>
      <c r="D835" t="s">
        <v>17</v>
      </c>
      <c r="E835">
        <v>4.5999999999999996</v>
      </c>
      <c r="F835">
        <v>1</v>
      </c>
      <c r="G835">
        <v>2.23</v>
      </c>
      <c r="H835">
        <v>1.1000000000000001</v>
      </c>
      <c r="I835" t="s">
        <v>15</v>
      </c>
      <c r="J835">
        <v>2</v>
      </c>
      <c r="K835">
        <v>4</v>
      </c>
      <c r="L835">
        <v>5</v>
      </c>
      <c r="M835">
        <v>0</v>
      </c>
      <c r="N835" t="str">
        <f t="shared" ref="N835:N898" si="28">IF(A835&lt;=15,"13-15","16-19")</f>
        <v>16-19</v>
      </c>
      <c r="O835" t="str">
        <f t="shared" ref="O835:O898" si="29">IF(E835&lt;=6,"low sleep","healthy sleep")</f>
        <v>low sleep</v>
      </c>
      <c r="P835" s="1" t="str" cm="1">
        <f t="array" ref="P835">_xlfn.IFS(L835&lt;=3,"low",L835&lt;=6,"medium",L835&gt;=7,"high")</f>
        <v>medium</v>
      </c>
    </row>
    <row r="836" spans="1:16" x14ac:dyDescent="0.3">
      <c r="A836">
        <v>18</v>
      </c>
      <c r="B836" t="s">
        <v>13</v>
      </c>
      <c r="C836">
        <v>2.7</v>
      </c>
      <c r="D836" t="s">
        <v>14</v>
      </c>
      <c r="E836">
        <v>7.9</v>
      </c>
      <c r="F836">
        <v>1.2</v>
      </c>
      <c r="G836">
        <v>2.75</v>
      </c>
      <c r="H836">
        <v>1.9</v>
      </c>
      <c r="I836" t="s">
        <v>19</v>
      </c>
      <c r="J836">
        <v>5</v>
      </c>
      <c r="K836">
        <v>8</v>
      </c>
      <c r="L836">
        <v>3</v>
      </c>
      <c r="M836">
        <v>0</v>
      </c>
      <c r="N836" t="str">
        <f t="shared" si="28"/>
        <v>16-19</v>
      </c>
      <c r="O836" t="str">
        <f t="shared" si="29"/>
        <v>healthy sleep</v>
      </c>
      <c r="P836" s="1" t="str" cm="1">
        <f t="array" ref="P836">_xlfn.IFS(L836&lt;=3,"low",L836&lt;=6,"medium",L836&gt;=7,"high")</f>
        <v>low</v>
      </c>
    </row>
    <row r="837" spans="1:16" x14ac:dyDescent="0.3">
      <c r="A837">
        <v>13</v>
      </c>
      <c r="B837" t="s">
        <v>16</v>
      </c>
      <c r="C837">
        <v>5.3</v>
      </c>
      <c r="D837" t="s">
        <v>17</v>
      </c>
      <c r="E837">
        <v>6.4</v>
      </c>
      <c r="F837">
        <v>1.1000000000000001</v>
      </c>
      <c r="G837">
        <v>3.32</v>
      </c>
      <c r="H837">
        <v>1.9</v>
      </c>
      <c r="I837" t="s">
        <v>19</v>
      </c>
      <c r="J837">
        <v>8</v>
      </c>
      <c r="K837">
        <v>5</v>
      </c>
      <c r="L837">
        <v>10</v>
      </c>
      <c r="M837">
        <v>0</v>
      </c>
      <c r="N837" t="str">
        <f t="shared" si="28"/>
        <v>13-15</v>
      </c>
      <c r="O837" t="str">
        <f t="shared" si="29"/>
        <v>healthy sleep</v>
      </c>
      <c r="P837" s="1" t="str" cm="1">
        <f t="array" ref="P837">_xlfn.IFS(L837&lt;=3,"low",L837&lt;=6,"medium",L837&gt;=7,"high")</f>
        <v>high</v>
      </c>
    </row>
    <row r="838" spans="1:16" x14ac:dyDescent="0.3">
      <c r="A838">
        <v>16</v>
      </c>
      <c r="B838" t="s">
        <v>16</v>
      </c>
      <c r="C838">
        <v>3.6</v>
      </c>
      <c r="D838" t="s">
        <v>20</v>
      </c>
      <c r="E838">
        <v>4.4000000000000004</v>
      </c>
      <c r="F838">
        <v>2.4</v>
      </c>
      <c r="G838">
        <v>2.5299999999999998</v>
      </c>
      <c r="H838">
        <v>0.7</v>
      </c>
      <c r="I838" t="s">
        <v>19</v>
      </c>
      <c r="J838">
        <v>1</v>
      </c>
      <c r="K838">
        <v>7</v>
      </c>
      <c r="L838">
        <v>5</v>
      </c>
      <c r="M838">
        <v>0</v>
      </c>
      <c r="N838" t="str">
        <f t="shared" si="28"/>
        <v>16-19</v>
      </c>
      <c r="O838" t="str">
        <f t="shared" si="29"/>
        <v>low sleep</v>
      </c>
      <c r="P838" s="1" t="str" cm="1">
        <f t="array" ref="P838">_xlfn.IFS(L838&lt;=3,"low",L838&lt;=6,"medium",L838&gt;=7,"high")</f>
        <v>medium</v>
      </c>
    </row>
    <row r="839" spans="1:16" x14ac:dyDescent="0.3">
      <c r="A839">
        <v>18</v>
      </c>
      <c r="B839" t="s">
        <v>13</v>
      </c>
      <c r="C839">
        <v>2.5</v>
      </c>
      <c r="D839" t="s">
        <v>20</v>
      </c>
      <c r="E839">
        <v>5.7</v>
      </c>
      <c r="F839">
        <v>2.1</v>
      </c>
      <c r="G839">
        <v>3.33</v>
      </c>
      <c r="H839">
        <v>0.6</v>
      </c>
      <c r="I839" t="s">
        <v>15</v>
      </c>
      <c r="J839">
        <v>8</v>
      </c>
      <c r="K839">
        <v>4</v>
      </c>
      <c r="L839">
        <v>6</v>
      </c>
      <c r="M839">
        <v>0</v>
      </c>
      <c r="N839" t="str">
        <f t="shared" si="28"/>
        <v>16-19</v>
      </c>
      <c r="O839" t="str">
        <f t="shared" si="29"/>
        <v>low sleep</v>
      </c>
      <c r="P839" s="1" t="str" cm="1">
        <f t="array" ref="P839">_xlfn.IFS(L839&lt;=3,"low",L839&lt;=6,"medium",L839&gt;=7,"high")</f>
        <v>medium</v>
      </c>
    </row>
    <row r="840" spans="1:16" x14ac:dyDescent="0.3">
      <c r="A840">
        <v>15</v>
      </c>
      <c r="B840" t="s">
        <v>13</v>
      </c>
      <c r="C840">
        <v>4.5</v>
      </c>
      <c r="D840" t="s">
        <v>20</v>
      </c>
      <c r="E840">
        <v>7</v>
      </c>
      <c r="F840">
        <v>1.5</v>
      </c>
      <c r="G840">
        <v>3.16</v>
      </c>
      <c r="H840">
        <v>1.7</v>
      </c>
      <c r="I840" t="s">
        <v>19</v>
      </c>
      <c r="J840">
        <v>4</v>
      </c>
      <c r="K840">
        <v>7</v>
      </c>
      <c r="L840">
        <v>10</v>
      </c>
      <c r="M840">
        <v>0</v>
      </c>
      <c r="N840" t="str">
        <f t="shared" si="28"/>
        <v>13-15</v>
      </c>
      <c r="O840" t="str">
        <f t="shared" si="29"/>
        <v>healthy sleep</v>
      </c>
      <c r="P840" s="1" t="str" cm="1">
        <f t="array" ref="P840">_xlfn.IFS(L840&lt;=3,"low",L840&lt;=6,"medium",L840&gt;=7,"high")</f>
        <v>high</v>
      </c>
    </row>
    <row r="841" spans="1:16" x14ac:dyDescent="0.3">
      <c r="A841">
        <v>18</v>
      </c>
      <c r="B841" t="s">
        <v>16</v>
      </c>
      <c r="C841">
        <v>1.9</v>
      </c>
      <c r="D841" t="s">
        <v>20</v>
      </c>
      <c r="E841">
        <v>5.0999999999999996</v>
      </c>
      <c r="F841">
        <v>2.9</v>
      </c>
      <c r="G841">
        <v>2.62</v>
      </c>
      <c r="H841">
        <v>1</v>
      </c>
      <c r="I841" t="s">
        <v>15</v>
      </c>
      <c r="J841">
        <v>4</v>
      </c>
      <c r="K841">
        <v>3</v>
      </c>
      <c r="L841">
        <v>2</v>
      </c>
      <c r="M841">
        <v>0</v>
      </c>
      <c r="N841" t="str">
        <f t="shared" si="28"/>
        <v>16-19</v>
      </c>
      <c r="O841" t="str">
        <f t="shared" si="29"/>
        <v>low sleep</v>
      </c>
      <c r="P841" s="1" t="str" cm="1">
        <f t="array" ref="P841">_xlfn.IFS(L841&lt;=3,"low",L841&lt;=6,"medium",L841&gt;=7,"high")</f>
        <v>low</v>
      </c>
    </row>
    <row r="842" spans="1:16" x14ac:dyDescent="0.3">
      <c r="A842">
        <v>17</v>
      </c>
      <c r="B842" t="s">
        <v>13</v>
      </c>
      <c r="C842">
        <v>3.8</v>
      </c>
      <c r="D842" t="s">
        <v>14</v>
      </c>
      <c r="E842">
        <v>7.7</v>
      </c>
      <c r="F842">
        <v>0.7</v>
      </c>
      <c r="G842">
        <v>3.45</v>
      </c>
      <c r="H842">
        <v>1</v>
      </c>
      <c r="I842" t="s">
        <v>15</v>
      </c>
      <c r="J842">
        <v>2</v>
      </c>
      <c r="K842">
        <v>8</v>
      </c>
      <c r="L842">
        <v>9</v>
      </c>
      <c r="M842">
        <v>0</v>
      </c>
      <c r="N842" t="str">
        <f t="shared" si="28"/>
        <v>16-19</v>
      </c>
      <c r="O842" t="str">
        <f t="shared" si="29"/>
        <v>healthy sleep</v>
      </c>
      <c r="P842" s="1" t="str" cm="1">
        <f t="array" ref="P842">_xlfn.IFS(L842&lt;=3,"low",L842&lt;=6,"medium",L842&gt;=7,"high")</f>
        <v>high</v>
      </c>
    </row>
    <row r="843" spans="1:16" x14ac:dyDescent="0.3">
      <c r="A843">
        <v>18</v>
      </c>
      <c r="B843" t="s">
        <v>16</v>
      </c>
      <c r="C843">
        <v>3.9</v>
      </c>
      <c r="D843" t="s">
        <v>20</v>
      </c>
      <c r="E843">
        <v>4</v>
      </c>
      <c r="F843">
        <v>1.8</v>
      </c>
      <c r="G843">
        <v>2.19</v>
      </c>
      <c r="H843">
        <v>1.4</v>
      </c>
      <c r="I843" t="s">
        <v>18</v>
      </c>
      <c r="J843">
        <v>1</v>
      </c>
      <c r="K843">
        <v>2</v>
      </c>
      <c r="L843">
        <v>5</v>
      </c>
      <c r="M843">
        <v>0</v>
      </c>
      <c r="N843" t="str">
        <f t="shared" si="28"/>
        <v>16-19</v>
      </c>
      <c r="O843" t="str">
        <f t="shared" si="29"/>
        <v>low sleep</v>
      </c>
      <c r="P843" s="1" t="str" cm="1">
        <f t="array" ref="P843">_xlfn.IFS(L843&lt;=3,"low",L843&lt;=6,"medium",L843&gt;=7,"high")</f>
        <v>medium</v>
      </c>
    </row>
    <row r="844" spans="1:16" x14ac:dyDescent="0.3">
      <c r="A844">
        <v>17</v>
      </c>
      <c r="B844" t="s">
        <v>16</v>
      </c>
      <c r="C844">
        <v>1.1000000000000001</v>
      </c>
      <c r="D844" t="s">
        <v>20</v>
      </c>
      <c r="E844">
        <v>8.6999999999999993</v>
      </c>
      <c r="F844">
        <v>2.1</v>
      </c>
      <c r="G844">
        <v>3.01</v>
      </c>
      <c r="H844">
        <v>0.7</v>
      </c>
      <c r="I844" t="s">
        <v>19</v>
      </c>
      <c r="J844">
        <v>1</v>
      </c>
      <c r="K844">
        <v>1</v>
      </c>
      <c r="L844">
        <v>3</v>
      </c>
      <c r="M844">
        <v>0</v>
      </c>
      <c r="N844" t="str">
        <f t="shared" si="28"/>
        <v>16-19</v>
      </c>
      <c r="O844" t="str">
        <f t="shared" si="29"/>
        <v>healthy sleep</v>
      </c>
      <c r="P844" s="1" t="str" cm="1">
        <f t="array" ref="P844">_xlfn.IFS(L844&lt;=3,"low",L844&lt;=6,"medium",L844&gt;=7,"high")</f>
        <v>low</v>
      </c>
    </row>
    <row r="845" spans="1:16" x14ac:dyDescent="0.3">
      <c r="A845">
        <v>15</v>
      </c>
      <c r="B845" t="s">
        <v>16</v>
      </c>
      <c r="C845">
        <v>3.9</v>
      </c>
      <c r="D845" t="s">
        <v>20</v>
      </c>
      <c r="E845">
        <v>8.6999999999999993</v>
      </c>
      <c r="F845">
        <v>1.1000000000000001</v>
      </c>
      <c r="G845">
        <v>2.82</v>
      </c>
      <c r="H845">
        <v>0.3</v>
      </c>
      <c r="I845" t="s">
        <v>18</v>
      </c>
      <c r="J845">
        <v>5</v>
      </c>
      <c r="K845">
        <v>10</v>
      </c>
      <c r="L845">
        <v>6</v>
      </c>
      <c r="M845">
        <v>0</v>
      </c>
      <c r="N845" t="str">
        <f t="shared" si="28"/>
        <v>13-15</v>
      </c>
      <c r="O845" t="str">
        <f t="shared" si="29"/>
        <v>healthy sleep</v>
      </c>
      <c r="P845" s="1" t="str" cm="1">
        <f t="array" ref="P845">_xlfn.IFS(L845&lt;=3,"low",L845&lt;=6,"medium",L845&gt;=7,"high")</f>
        <v>medium</v>
      </c>
    </row>
    <row r="846" spans="1:16" x14ac:dyDescent="0.3">
      <c r="A846">
        <v>16</v>
      </c>
      <c r="B846" t="s">
        <v>13</v>
      </c>
      <c r="C846">
        <v>8</v>
      </c>
      <c r="D846" t="s">
        <v>14</v>
      </c>
      <c r="E846">
        <v>8.1</v>
      </c>
      <c r="F846">
        <v>2.5</v>
      </c>
      <c r="G846">
        <v>2.7</v>
      </c>
      <c r="H846">
        <v>1.7</v>
      </c>
      <c r="I846" t="s">
        <v>19</v>
      </c>
      <c r="J846">
        <v>4</v>
      </c>
      <c r="K846">
        <v>5</v>
      </c>
      <c r="L846">
        <v>7</v>
      </c>
      <c r="M846">
        <v>0</v>
      </c>
      <c r="N846" t="str">
        <f t="shared" si="28"/>
        <v>16-19</v>
      </c>
      <c r="O846" t="str">
        <f t="shared" si="29"/>
        <v>healthy sleep</v>
      </c>
      <c r="P846" s="1" t="str" cm="1">
        <f t="array" ref="P846">_xlfn.IFS(L846&lt;=3,"low",L846&lt;=6,"medium",L846&gt;=7,"high")</f>
        <v>high</v>
      </c>
    </row>
    <row r="847" spans="1:16" x14ac:dyDescent="0.3">
      <c r="A847">
        <v>14</v>
      </c>
      <c r="B847" t="s">
        <v>16</v>
      </c>
      <c r="C847">
        <v>1.2</v>
      </c>
      <c r="D847" t="s">
        <v>17</v>
      </c>
      <c r="E847">
        <v>8.5</v>
      </c>
      <c r="F847">
        <v>2.2999999999999998</v>
      </c>
      <c r="G847">
        <v>3.91</v>
      </c>
      <c r="H847">
        <v>1.8</v>
      </c>
      <c r="I847" t="s">
        <v>18</v>
      </c>
      <c r="J847">
        <v>1</v>
      </c>
      <c r="K847">
        <v>8</v>
      </c>
      <c r="L847">
        <v>1</v>
      </c>
      <c r="M847">
        <v>0</v>
      </c>
      <c r="N847" t="str">
        <f t="shared" si="28"/>
        <v>13-15</v>
      </c>
      <c r="O847" t="str">
        <f t="shared" si="29"/>
        <v>healthy sleep</v>
      </c>
      <c r="P847" s="1" t="str" cm="1">
        <f t="array" ref="P847">_xlfn.IFS(L847&lt;=3,"low",L847&lt;=6,"medium",L847&gt;=7,"high")</f>
        <v>low</v>
      </c>
    </row>
    <row r="848" spans="1:16" x14ac:dyDescent="0.3">
      <c r="A848">
        <v>15</v>
      </c>
      <c r="B848" t="s">
        <v>13</v>
      </c>
      <c r="C848">
        <v>2.2000000000000002</v>
      </c>
      <c r="D848" t="s">
        <v>14</v>
      </c>
      <c r="E848">
        <v>6.1</v>
      </c>
      <c r="F848">
        <v>0.9</v>
      </c>
      <c r="G848">
        <v>3.81</v>
      </c>
      <c r="H848">
        <v>0.1</v>
      </c>
      <c r="I848" t="s">
        <v>18</v>
      </c>
      <c r="J848">
        <v>2</v>
      </c>
      <c r="K848">
        <v>7</v>
      </c>
      <c r="L848">
        <v>3</v>
      </c>
      <c r="M848">
        <v>0</v>
      </c>
      <c r="N848" t="str">
        <f t="shared" si="28"/>
        <v>13-15</v>
      </c>
      <c r="O848" t="str">
        <f t="shared" si="29"/>
        <v>healthy sleep</v>
      </c>
      <c r="P848" s="1" t="str" cm="1">
        <f t="array" ref="P848">_xlfn.IFS(L848&lt;=3,"low",L848&lt;=6,"medium",L848&gt;=7,"high")</f>
        <v>low</v>
      </c>
    </row>
    <row r="849" spans="1:16" x14ac:dyDescent="0.3">
      <c r="A849">
        <v>15</v>
      </c>
      <c r="B849" t="s">
        <v>16</v>
      </c>
      <c r="C849">
        <v>4.2</v>
      </c>
      <c r="D849" t="s">
        <v>17</v>
      </c>
      <c r="E849">
        <v>6.8</v>
      </c>
      <c r="F849">
        <v>1.4</v>
      </c>
      <c r="G849">
        <v>2.0099999999999998</v>
      </c>
      <c r="H849">
        <v>1</v>
      </c>
      <c r="I849" t="s">
        <v>15</v>
      </c>
      <c r="J849">
        <v>6</v>
      </c>
      <c r="K849">
        <v>6</v>
      </c>
      <c r="L849">
        <v>4</v>
      </c>
      <c r="M849">
        <v>0</v>
      </c>
      <c r="N849" t="str">
        <f t="shared" si="28"/>
        <v>13-15</v>
      </c>
      <c r="O849" t="str">
        <f t="shared" si="29"/>
        <v>healthy sleep</v>
      </c>
      <c r="P849" s="1" t="str" cm="1">
        <f t="array" ref="P849">_xlfn.IFS(L849&lt;=3,"low",L849&lt;=6,"medium",L849&gt;=7,"high")</f>
        <v>medium</v>
      </c>
    </row>
    <row r="850" spans="1:16" x14ac:dyDescent="0.3">
      <c r="A850">
        <v>19</v>
      </c>
      <c r="B850" t="s">
        <v>13</v>
      </c>
      <c r="C850">
        <v>6</v>
      </c>
      <c r="D850" t="s">
        <v>20</v>
      </c>
      <c r="E850">
        <v>5.6</v>
      </c>
      <c r="F850">
        <v>1.1000000000000001</v>
      </c>
      <c r="G850">
        <v>2.4300000000000002</v>
      </c>
      <c r="H850">
        <v>1.7</v>
      </c>
      <c r="I850" t="s">
        <v>19</v>
      </c>
      <c r="J850">
        <v>1</v>
      </c>
      <c r="K850">
        <v>3</v>
      </c>
      <c r="L850">
        <v>3</v>
      </c>
      <c r="M850">
        <v>0</v>
      </c>
      <c r="N850" t="str">
        <f t="shared" si="28"/>
        <v>16-19</v>
      </c>
      <c r="O850" t="str">
        <f t="shared" si="29"/>
        <v>low sleep</v>
      </c>
      <c r="P850" s="1" t="str" cm="1">
        <f t="array" ref="P850">_xlfn.IFS(L850&lt;=3,"low",L850&lt;=6,"medium",L850&gt;=7,"high")</f>
        <v>low</v>
      </c>
    </row>
    <row r="851" spans="1:16" x14ac:dyDescent="0.3">
      <c r="A851">
        <v>19</v>
      </c>
      <c r="B851" t="s">
        <v>13</v>
      </c>
      <c r="C851">
        <v>5.4</v>
      </c>
      <c r="D851" t="s">
        <v>14</v>
      </c>
      <c r="E851">
        <v>4.9000000000000004</v>
      </c>
      <c r="F851">
        <v>0.6</v>
      </c>
      <c r="G851">
        <v>3.17</v>
      </c>
      <c r="H851">
        <v>0</v>
      </c>
      <c r="I851" t="s">
        <v>15</v>
      </c>
      <c r="J851">
        <v>5</v>
      </c>
      <c r="K851">
        <v>6</v>
      </c>
      <c r="L851">
        <v>10</v>
      </c>
      <c r="M851">
        <v>0</v>
      </c>
      <c r="N851" t="str">
        <f t="shared" si="28"/>
        <v>16-19</v>
      </c>
      <c r="O851" t="str">
        <f t="shared" si="29"/>
        <v>low sleep</v>
      </c>
      <c r="P851" s="1" t="str" cm="1">
        <f t="array" ref="P851">_xlfn.IFS(L851&lt;=3,"low",L851&lt;=6,"medium",L851&gt;=7,"high")</f>
        <v>high</v>
      </c>
    </row>
    <row r="852" spans="1:16" x14ac:dyDescent="0.3">
      <c r="A852">
        <v>15</v>
      </c>
      <c r="B852" t="s">
        <v>16</v>
      </c>
      <c r="C852">
        <v>2.7</v>
      </c>
      <c r="D852" t="s">
        <v>17</v>
      </c>
      <c r="E852">
        <v>7.6</v>
      </c>
      <c r="F852">
        <v>2.5</v>
      </c>
      <c r="G852">
        <v>2.37</v>
      </c>
      <c r="H852">
        <v>1.9</v>
      </c>
      <c r="I852" t="s">
        <v>18</v>
      </c>
      <c r="J852">
        <v>1</v>
      </c>
      <c r="K852">
        <v>8</v>
      </c>
      <c r="L852">
        <v>7</v>
      </c>
      <c r="M852">
        <v>0</v>
      </c>
      <c r="N852" t="str">
        <f t="shared" si="28"/>
        <v>13-15</v>
      </c>
      <c r="O852" t="str">
        <f t="shared" si="29"/>
        <v>healthy sleep</v>
      </c>
      <c r="P852" s="1" t="str" cm="1">
        <f t="array" ref="P852">_xlfn.IFS(L852&lt;=3,"low",L852&lt;=6,"medium",L852&gt;=7,"high")</f>
        <v>high</v>
      </c>
    </row>
    <row r="853" spans="1:16" x14ac:dyDescent="0.3">
      <c r="A853">
        <v>19</v>
      </c>
      <c r="B853" t="s">
        <v>16</v>
      </c>
      <c r="C853">
        <v>1.9</v>
      </c>
      <c r="D853" t="s">
        <v>20</v>
      </c>
      <c r="E853">
        <v>6.2</v>
      </c>
      <c r="F853">
        <v>0.9</v>
      </c>
      <c r="G853">
        <v>2.4700000000000002</v>
      </c>
      <c r="H853">
        <v>1.4</v>
      </c>
      <c r="I853" t="s">
        <v>15</v>
      </c>
      <c r="J853">
        <v>5</v>
      </c>
      <c r="K853">
        <v>6</v>
      </c>
      <c r="L853">
        <v>7</v>
      </c>
      <c r="M853">
        <v>0</v>
      </c>
      <c r="N853" t="str">
        <f t="shared" si="28"/>
        <v>16-19</v>
      </c>
      <c r="O853" t="str">
        <f t="shared" si="29"/>
        <v>healthy sleep</v>
      </c>
      <c r="P853" s="1" t="str" cm="1">
        <f t="array" ref="P853">_xlfn.IFS(L853&lt;=3,"low",L853&lt;=6,"medium",L853&gt;=7,"high")</f>
        <v>high</v>
      </c>
    </row>
    <row r="854" spans="1:16" x14ac:dyDescent="0.3">
      <c r="A854">
        <v>14</v>
      </c>
      <c r="B854" t="s">
        <v>13</v>
      </c>
      <c r="C854">
        <v>1.5</v>
      </c>
      <c r="D854" t="s">
        <v>20</v>
      </c>
      <c r="E854">
        <v>6.8</v>
      </c>
      <c r="F854">
        <v>0.8</v>
      </c>
      <c r="G854">
        <v>3.14</v>
      </c>
      <c r="H854">
        <v>0</v>
      </c>
      <c r="I854" t="s">
        <v>19</v>
      </c>
      <c r="J854">
        <v>4</v>
      </c>
      <c r="K854">
        <v>5</v>
      </c>
      <c r="L854">
        <v>8</v>
      </c>
      <c r="M854">
        <v>0</v>
      </c>
      <c r="N854" t="str">
        <f t="shared" si="28"/>
        <v>13-15</v>
      </c>
      <c r="O854" t="str">
        <f t="shared" si="29"/>
        <v>healthy sleep</v>
      </c>
      <c r="P854" s="1" t="str" cm="1">
        <f t="array" ref="P854">_xlfn.IFS(L854&lt;=3,"low",L854&lt;=6,"medium",L854&gt;=7,"high")</f>
        <v>high</v>
      </c>
    </row>
    <row r="855" spans="1:16" x14ac:dyDescent="0.3">
      <c r="A855">
        <v>17</v>
      </c>
      <c r="B855" t="s">
        <v>16</v>
      </c>
      <c r="C855">
        <v>2.6</v>
      </c>
      <c r="D855" t="s">
        <v>17</v>
      </c>
      <c r="E855">
        <v>4.8</v>
      </c>
      <c r="F855">
        <v>0.7</v>
      </c>
      <c r="G855">
        <v>2.52</v>
      </c>
      <c r="H855">
        <v>1.8</v>
      </c>
      <c r="I855" t="s">
        <v>19</v>
      </c>
      <c r="J855">
        <v>9</v>
      </c>
      <c r="K855">
        <v>6</v>
      </c>
      <c r="L855">
        <v>6</v>
      </c>
      <c r="M855">
        <v>0</v>
      </c>
      <c r="N855" t="str">
        <f t="shared" si="28"/>
        <v>16-19</v>
      </c>
      <c r="O855" t="str">
        <f t="shared" si="29"/>
        <v>low sleep</v>
      </c>
      <c r="P855" s="1" t="str" cm="1">
        <f t="array" ref="P855">_xlfn.IFS(L855&lt;=3,"low",L855&lt;=6,"medium",L855&gt;=7,"high")</f>
        <v>medium</v>
      </c>
    </row>
    <row r="856" spans="1:16" x14ac:dyDescent="0.3">
      <c r="A856">
        <v>16</v>
      </c>
      <c r="B856" t="s">
        <v>13</v>
      </c>
      <c r="C856">
        <v>1.2</v>
      </c>
      <c r="D856" t="s">
        <v>14</v>
      </c>
      <c r="E856">
        <v>7.3</v>
      </c>
      <c r="F856">
        <v>1</v>
      </c>
      <c r="G856">
        <v>2.36</v>
      </c>
      <c r="H856">
        <v>1.1000000000000001</v>
      </c>
      <c r="I856" t="s">
        <v>19</v>
      </c>
      <c r="J856">
        <v>5</v>
      </c>
      <c r="K856">
        <v>3</v>
      </c>
      <c r="L856">
        <v>6</v>
      </c>
      <c r="M856">
        <v>0</v>
      </c>
      <c r="N856" t="str">
        <f t="shared" si="28"/>
        <v>16-19</v>
      </c>
      <c r="O856" t="str">
        <f t="shared" si="29"/>
        <v>healthy sleep</v>
      </c>
      <c r="P856" s="1" t="str" cm="1">
        <f t="array" ref="P856">_xlfn.IFS(L856&lt;=3,"low",L856&lt;=6,"medium",L856&gt;=7,"high")</f>
        <v>medium</v>
      </c>
    </row>
    <row r="857" spans="1:16" x14ac:dyDescent="0.3">
      <c r="A857">
        <v>18</v>
      </c>
      <c r="B857" t="s">
        <v>16</v>
      </c>
      <c r="C857">
        <v>1.8</v>
      </c>
      <c r="D857" t="s">
        <v>20</v>
      </c>
      <c r="E857">
        <v>7.8</v>
      </c>
      <c r="F857">
        <v>2</v>
      </c>
      <c r="G857">
        <v>2.67</v>
      </c>
      <c r="H857">
        <v>0.8</v>
      </c>
      <c r="I857" t="s">
        <v>15</v>
      </c>
      <c r="J857">
        <v>4</v>
      </c>
      <c r="K857">
        <v>6</v>
      </c>
      <c r="L857">
        <v>3</v>
      </c>
      <c r="M857">
        <v>0</v>
      </c>
      <c r="N857" t="str">
        <f t="shared" si="28"/>
        <v>16-19</v>
      </c>
      <c r="O857" t="str">
        <f t="shared" si="29"/>
        <v>healthy sleep</v>
      </c>
      <c r="P857" s="1" t="str" cm="1">
        <f t="array" ref="P857">_xlfn.IFS(L857&lt;=3,"low",L857&lt;=6,"medium",L857&gt;=7,"high")</f>
        <v>low</v>
      </c>
    </row>
    <row r="858" spans="1:16" x14ac:dyDescent="0.3">
      <c r="A858">
        <v>19</v>
      </c>
      <c r="B858" t="s">
        <v>13</v>
      </c>
      <c r="C858">
        <v>4.8</v>
      </c>
      <c r="D858" t="s">
        <v>20</v>
      </c>
      <c r="E858">
        <v>7.5</v>
      </c>
      <c r="F858">
        <v>1</v>
      </c>
      <c r="G858">
        <v>2.68</v>
      </c>
      <c r="H858">
        <v>1.5</v>
      </c>
      <c r="I858" t="s">
        <v>15</v>
      </c>
      <c r="J858">
        <v>9</v>
      </c>
      <c r="K858">
        <v>4</v>
      </c>
      <c r="L858">
        <v>6</v>
      </c>
      <c r="M858">
        <v>0</v>
      </c>
      <c r="N858" t="str">
        <f t="shared" si="28"/>
        <v>16-19</v>
      </c>
      <c r="O858" t="str">
        <f t="shared" si="29"/>
        <v>healthy sleep</v>
      </c>
      <c r="P858" s="1" t="str" cm="1">
        <f t="array" ref="P858">_xlfn.IFS(L858&lt;=3,"low",L858&lt;=6,"medium",L858&gt;=7,"high")</f>
        <v>medium</v>
      </c>
    </row>
    <row r="859" spans="1:16" x14ac:dyDescent="0.3">
      <c r="A859">
        <v>19</v>
      </c>
      <c r="B859" t="s">
        <v>13</v>
      </c>
      <c r="C859">
        <v>2.1</v>
      </c>
      <c r="D859" t="s">
        <v>20</v>
      </c>
      <c r="E859">
        <v>5.6</v>
      </c>
      <c r="F859">
        <v>2.4</v>
      </c>
      <c r="G859">
        <v>3.56</v>
      </c>
      <c r="H859">
        <v>1</v>
      </c>
      <c r="I859" t="s">
        <v>18</v>
      </c>
      <c r="J859">
        <v>9</v>
      </c>
      <c r="K859">
        <v>3</v>
      </c>
      <c r="L859">
        <v>4</v>
      </c>
      <c r="M859">
        <v>0</v>
      </c>
      <c r="N859" t="str">
        <f t="shared" si="28"/>
        <v>16-19</v>
      </c>
      <c r="O859" t="str">
        <f t="shared" si="29"/>
        <v>low sleep</v>
      </c>
      <c r="P859" s="1" t="str" cm="1">
        <f t="array" ref="P859">_xlfn.IFS(L859&lt;=3,"low",L859&lt;=6,"medium",L859&gt;=7,"high")</f>
        <v>medium</v>
      </c>
    </row>
    <row r="860" spans="1:16" x14ac:dyDescent="0.3">
      <c r="A860">
        <v>15</v>
      </c>
      <c r="B860" t="s">
        <v>13</v>
      </c>
      <c r="C860">
        <v>4.4000000000000004</v>
      </c>
      <c r="D860" t="s">
        <v>14</v>
      </c>
      <c r="E860">
        <v>6</v>
      </c>
      <c r="F860">
        <v>0.5</v>
      </c>
      <c r="G860">
        <v>3.33</v>
      </c>
      <c r="H860">
        <v>0.7</v>
      </c>
      <c r="I860" t="s">
        <v>19</v>
      </c>
      <c r="J860">
        <v>1</v>
      </c>
      <c r="K860">
        <v>6</v>
      </c>
      <c r="L860">
        <v>10</v>
      </c>
      <c r="M860">
        <v>0</v>
      </c>
      <c r="N860" t="str">
        <f t="shared" si="28"/>
        <v>13-15</v>
      </c>
      <c r="O860" t="str">
        <f t="shared" si="29"/>
        <v>low sleep</v>
      </c>
      <c r="P860" s="1" t="str" cm="1">
        <f t="array" ref="P860">_xlfn.IFS(L860&lt;=3,"low",L860&lt;=6,"medium",L860&gt;=7,"high")</f>
        <v>high</v>
      </c>
    </row>
    <row r="861" spans="1:16" x14ac:dyDescent="0.3">
      <c r="A861">
        <v>14</v>
      </c>
      <c r="B861" t="s">
        <v>13</v>
      </c>
      <c r="C861">
        <v>2.8</v>
      </c>
      <c r="D861" t="s">
        <v>20</v>
      </c>
      <c r="E861">
        <v>4.3</v>
      </c>
      <c r="F861">
        <v>3</v>
      </c>
      <c r="G861">
        <v>2.14</v>
      </c>
      <c r="H861">
        <v>1.9</v>
      </c>
      <c r="I861" t="s">
        <v>19</v>
      </c>
      <c r="J861">
        <v>9</v>
      </c>
      <c r="K861">
        <v>3</v>
      </c>
      <c r="L861">
        <v>7</v>
      </c>
      <c r="M861">
        <v>0</v>
      </c>
      <c r="N861" t="str">
        <f t="shared" si="28"/>
        <v>13-15</v>
      </c>
      <c r="O861" t="str">
        <f t="shared" si="29"/>
        <v>low sleep</v>
      </c>
      <c r="P861" s="1" t="str" cm="1">
        <f t="array" ref="P861">_xlfn.IFS(L861&lt;=3,"low",L861&lt;=6,"medium",L861&gt;=7,"high")</f>
        <v>high</v>
      </c>
    </row>
    <row r="862" spans="1:16" x14ac:dyDescent="0.3">
      <c r="A862">
        <v>15</v>
      </c>
      <c r="B862" t="s">
        <v>13</v>
      </c>
      <c r="C862">
        <v>3.5</v>
      </c>
      <c r="D862" t="s">
        <v>17</v>
      </c>
      <c r="E862">
        <v>4.5</v>
      </c>
      <c r="F862">
        <v>2.7</v>
      </c>
      <c r="G862">
        <v>2.4700000000000002</v>
      </c>
      <c r="H862">
        <v>1.4</v>
      </c>
      <c r="I862" t="s">
        <v>15</v>
      </c>
      <c r="J862">
        <v>1</v>
      </c>
      <c r="K862">
        <v>5</v>
      </c>
      <c r="L862">
        <v>10</v>
      </c>
      <c r="M862">
        <v>0</v>
      </c>
      <c r="N862" t="str">
        <f t="shared" si="28"/>
        <v>13-15</v>
      </c>
      <c r="O862" t="str">
        <f t="shared" si="29"/>
        <v>low sleep</v>
      </c>
      <c r="P862" s="1" t="str" cm="1">
        <f t="array" ref="P862">_xlfn.IFS(L862&lt;=3,"low",L862&lt;=6,"medium",L862&gt;=7,"high")</f>
        <v>high</v>
      </c>
    </row>
    <row r="863" spans="1:16" x14ac:dyDescent="0.3">
      <c r="A863">
        <v>15</v>
      </c>
      <c r="B863" t="s">
        <v>13</v>
      </c>
      <c r="C863">
        <v>6.8</v>
      </c>
      <c r="D863" t="s">
        <v>20</v>
      </c>
      <c r="E863">
        <v>6.6</v>
      </c>
      <c r="F863">
        <v>2.1</v>
      </c>
      <c r="G863">
        <v>3.43</v>
      </c>
      <c r="H863">
        <v>1.7</v>
      </c>
      <c r="I863" t="s">
        <v>15</v>
      </c>
      <c r="J863">
        <v>10</v>
      </c>
      <c r="K863">
        <v>10</v>
      </c>
      <c r="L863">
        <v>8</v>
      </c>
      <c r="M863">
        <v>0</v>
      </c>
      <c r="N863" t="str">
        <f t="shared" si="28"/>
        <v>13-15</v>
      </c>
      <c r="O863" t="str">
        <f t="shared" si="29"/>
        <v>healthy sleep</v>
      </c>
      <c r="P863" s="1" t="str" cm="1">
        <f t="array" ref="P863">_xlfn.IFS(L863&lt;=3,"low",L863&lt;=6,"medium",L863&gt;=7,"high")</f>
        <v>high</v>
      </c>
    </row>
    <row r="864" spans="1:16" x14ac:dyDescent="0.3">
      <c r="A864">
        <v>14</v>
      </c>
      <c r="B864" t="s">
        <v>13</v>
      </c>
      <c r="C864">
        <v>7</v>
      </c>
      <c r="D864" t="s">
        <v>14</v>
      </c>
      <c r="E864">
        <v>5.2</v>
      </c>
      <c r="F864">
        <v>1.4</v>
      </c>
      <c r="G864">
        <v>3.27</v>
      </c>
      <c r="H864">
        <v>1.7</v>
      </c>
      <c r="I864" t="s">
        <v>19</v>
      </c>
      <c r="J864">
        <v>5</v>
      </c>
      <c r="K864">
        <v>7</v>
      </c>
      <c r="L864">
        <v>8</v>
      </c>
      <c r="M864">
        <v>0</v>
      </c>
      <c r="N864" t="str">
        <f t="shared" si="28"/>
        <v>13-15</v>
      </c>
      <c r="O864" t="str">
        <f t="shared" si="29"/>
        <v>low sleep</v>
      </c>
      <c r="P864" s="1" t="str" cm="1">
        <f t="array" ref="P864">_xlfn.IFS(L864&lt;=3,"low",L864&lt;=6,"medium",L864&gt;=7,"high")</f>
        <v>high</v>
      </c>
    </row>
    <row r="865" spans="1:16" x14ac:dyDescent="0.3">
      <c r="A865">
        <v>17</v>
      </c>
      <c r="B865" t="s">
        <v>16</v>
      </c>
      <c r="C865">
        <v>7.5</v>
      </c>
      <c r="D865" t="s">
        <v>20</v>
      </c>
      <c r="E865">
        <v>8.1</v>
      </c>
      <c r="F865">
        <v>2.8</v>
      </c>
      <c r="G865">
        <v>2.58</v>
      </c>
      <c r="H865">
        <v>0.5</v>
      </c>
      <c r="I865" t="s">
        <v>19</v>
      </c>
      <c r="J865">
        <v>2</v>
      </c>
      <c r="K865">
        <v>2</v>
      </c>
      <c r="L865">
        <v>3</v>
      </c>
      <c r="M865">
        <v>0</v>
      </c>
      <c r="N865" t="str">
        <f t="shared" si="28"/>
        <v>16-19</v>
      </c>
      <c r="O865" t="str">
        <f t="shared" si="29"/>
        <v>healthy sleep</v>
      </c>
      <c r="P865" s="1" t="str" cm="1">
        <f t="array" ref="P865">_xlfn.IFS(L865&lt;=3,"low",L865&lt;=6,"medium",L865&gt;=7,"high")</f>
        <v>low</v>
      </c>
    </row>
    <row r="866" spans="1:16" x14ac:dyDescent="0.3">
      <c r="A866">
        <v>17</v>
      </c>
      <c r="B866" t="s">
        <v>16</v>
      </c>
      <c r="C866">
        <v>2.5</v>
      </c>
      <c r="D866" t="s">
        <v>14</v>
      </c>
      <c r="E866">
        <v>4.4000000000000004</v>
      </c>
      <c r="F866">
        <v>2</v>
      </c>
      <c r="G866">
        <v>3.29</v>
      </c>
      <c r="H866">
        <v>0.7</v>
      </c>
      <c r="I866" t="s">
        <v>15</v>
      </c>
      <c r="J866">
        <v>4</v>
      </c>
      <c r="K866">
        <v>6</v>
      </c>
      <c r="L866">
        <v>5</v>
      </c>
      <c r="M866">
        <v>0</v>
      </c>
      <c r="N866" t="str">
        <f t="shared" si="28"/>
        <v>16-19</v>
      </c>
      <c r="O866" t="str">
        <f t="shared" si="29"/>
        <v>low sleep</v>
      </c>
      <c r="P866" s="1" t="str" cm="1">
        <f t="array" ref="P866">_xlfn.IFS(L866&lt;=3,"low",L866&lt;=6,"medium",L866&gt;=7,"high")</f>
        <v>medium</v>
      </c>
    </row>
    <row r="867" spans="1:16" x14ac:dyDescent="0.3">
      <c r="A867">
        <v>15</v>
      </c>
      <c r="B867" t="s">
        <v>13</v>
      </c>
      <c r="C867">
        <v>6.5</v>
      </c>
      <c r="D867" t="s">
        <v>17</v>
      </c>
      <c r="E867">
        <v>5.4</v>
      </c>
      <c r="F867">
        <v>2.1</v>
      </c>
      <c r="G867">
        <v>3.44</v>
      </c>
      <c r="H867">
        <v>1.8</v>
      </c>
      <c r="I867" t="s">
        <v>15</v>
      </c>
      <c r="J867">
        <v>7</v>
      </c>
      <c r="K867">
        <v>3</v>
      </c>
      <c r="L867">
        <v>6</v>
      </c>
      <c r="M867">
        <v>0</v>
      </c>
      <c r="N867" t="str">
        <f t="shared" si="28"/>
        <v>13-15</v>
      </c>
      <c r="O867" t="str">
        <f t="shared" si="29"/>
        <v>low sleep</v>
      </c>
      <c r="P867" s="1" t="str" cm="1">
        <f t="array" ref="P867">_xlfn.IFS(L867&lt;=3,"low",L867&lt;=6,"medium",L867&gt;=7,"high")</f>
        <v>medium</v>
      </c>
    </row>
    <row r="868" spans="1:16" x14ac:dyDescent="0.3">
      <c r="A868">
        <v>13</v>
      </c>
      <c r="B868" t="s">
        <v>13</v>
      </c>
      <c r="C868">
        <v>7.7</v>
      </c>
      <c r="D868" t="s">
        <v>14</v>
      </c>
      <c r="E868">
        <v>4.4000000000000004</v>
      </c>
      <c r="F868">
        <v>2</v>
      </c>
      <c r="G868">
        <v>3.09</v>
      </c>
      <c r="H868">
        <v>1</v>
      </c>
      <c r="I868" t="s">
        <v>18</v>
      </c>
      <c r="J868">
        <v>8</v>
      </c>
      <c r="K868">
        <v>7</v>
      </c>
      <c r="L868">
        <v>8</v>
      </c>
      <c r="M868">
        <v>1</v>
      </c>
      <c r="N868" t="str">
        <f t="shared" si="28"/>
        <v>13-15</v>
      </c>
      <c r="O868" t="str">
        <f t="shared" si="29"/>
        <v>low sleep</v>
      </c>
      <c r="P868" s="1" t="str" cm="1">
        <f t="array" ref="P868">_xlfn.IFS(L868&lt;=3,"low",L868&lt;=6,"medium",L868&gt;=7,"high")</f>
        <v>high</v>
      </c>
    </row>
    <row r="869" spans="1:16" x14ac:dyDescent="0.3">
      <c r="A869">
        <v>18</v>
      </c>
      <c r="B869" t="s">
        <v>16</v>
      </c>
      <c r="C869">
        <v>3.2</v>
      </c>
      <c r="D869" t="s">
        <v>20</v>
      </c>
      <c r="E869">
        <v>7.8</v>
      </c>
      <c r="F869">
        <v>0.7</v>
      </c>
      <c r="G869">
        <v>3.46</v>
      </c>
      <c r="H869">
        <v>1.3</v>
      </c>
      <c r="I869" t="s">
        <v>15</v>
      </c>
      <c r="J869">
        <v>5</v>
      </c>
      <c r="K869">
        <v>10</v>
      </c>
      <c r="L869">
        <v>6</v>
      </c>
      <c r="M869">
        <v>0</v>
      </c>
      <c r="N869" t="str">
        <f t="shared" si="28"/>
        <v>16-19</v>
      </c>
      <c r="O869" t="str">
        <f t="shared" si="29"/>
        <v>healthy sleep</v>
      </c>
      <c r="P869" s="1" t="str" cm="1">
        <f t="array" ref="P869">_xlfn.IFS(L869&lt;=3,"low",L869&lt;=6,"medium",L869&gt;=7,"high")</f>
        <v>medium</v>
      </c>
    </row>
    <row r="870" spans="1:16" x14ac:dyDescent="0.3">
      <c r="A870">
        <v>16</v>
      </c>
      <c r="B870" t="s">
        <v>16</v>
      </c>
      <c r="C870">
        <v>5.3</v>
      </c>
      <c r="D870" t="s">
        <v>17</v>
      </c>
      <c r="E870">
        <v>4.3</v>
      </c>
      <c r="F870">
        <v>1.5</v>
      </c>
      <c r="G870">
        <v>2.54</v>
      </c>
      <c r="H870">
        <v>0.3</v>
      </c>
      <c r="I870" t="s">
        <v>18</v>
      </c>
      <c r="J870">
        <v>7</v>
      </c>
      <c r="K870">
        <v>7</v>
      </c>
      <c r="L870">
        <v>10</v>
      </c>
      <c r="M870">
        <v>1</v>
      </c>
      <c r="N870" t="str">
        <f t="shared" si="28"/>
        <v>16-19</v>
      </c>
      <c r="O870" t="str">
        <f t="shared" si="29"/>
        <v>low sleep</v>
      </c>
      <c r="P870" s="1" t="str" cm="1">
        <f t="array" ref="P870">_xlfn.IFS(L870&lt;=3,"low",L870&lt;=6,"medium",L870&gt;=7,"high")</f>
        <v>high</v>
      </c>
    </row>
    <row r="871" spans="1:16" x14ac:dyDescent="0.3">
      <c r="A871">
        <v>14</v>
      </c>
      <c r="B871" t="s">
        <v>13</v>
      </c>
      <c r="C871">
        <v>5</v>
      </c>
      <c r="D871" t="s">
        <v>17</v>
      </c>
      <c r="E871">
        <v>5.2</v>
      </c>
      <c r="F871">
        <v>0.5</v>
      </c>
      <c r="G871">
        <v>3.55</v>
      </c>
      <c r="H871">
        <v>0.4</v>
      </c>
      <c r="I871" t="s">
        <v>15</v>
      </c>
      <c r="J871">
        <v>10</v>
      </c>
      <c r="K871">
        <v>6</v>
      </c>
      <c r="L871">
        <v>8</v>
      </c>
      <c r="M871">
        <v>0</v>
      </c>
      <c r="N871" t="str">
        <f t="shared" si="28"/>
        <v>13-15</v>
      </c>
      <c r="O871" t="str">
        <f t="shared" si="29"/>
        <v>low sleep</v>
      </c>
      <c r="P871" s="1" t="str" cm="1">
        <f t="array" ref="P871">_xlfn.IFS(L871&lt;=3,"low",L871&lt;=6,"medium",L871&gt;=7,"high")</f>
        <v>high</v>
      </c>
    </row>
    <row r="872" spans="1:16" x14ac:dyDescent="0.3">
      <c r="A872">
        <v>19</v>
      </c>
      <c r="B872" t="s">
        <v>13</v>
      </c>
      <c r="C872">
        <v>6.1</v>
      </c>
      <c r="D872" t="s">
        <v>14</v>
      </c>
      <c r="E872">
        <v>7.1</v>
      </c>
      <c r="F872">
        <v>2.2999999999999998</v>
      </c>
      <c r="G872">
        <v>3.22</v>
      </c>
      <c r="H872">
        <v>0.5</v>
      </c>
      <c r="I872" t="s">
        <v>15</v>
      </c>
      <c r="J872">
        <v>4</v>
      </c>
      <c r="K872">
        <v>3</v>
      </c>
      <c r="L872">
        <v>7</v>
      </c>
      <c r="M872">
        <v>0</v>
      </c>
      <c r="N872" t="str">
        <f t="shared" si="28"/>
        <v>16-19</v>
      </c>
      <c r="O872" t="str">
        <f t="shared" si="29"/>
        <v>healthy sleep</v>
      </c>
      <c r="P872" s="1" t="str" cm="1">
        <f t="array" ref="P872">_xlfn.IFS(L872&lt;=3,"low",L872&lt;=6,"medium",L872&gt;=7,"high")</f>
        <v>high</v>
      </c>
    </row>
    <row r="873" spans="1:16" x14ac:dyDescent="0.3">
      <c r="A873">
        <v>17</v>
      </c>
      <c r="B873" t="s">
        <v>13</v>
      </c>
      <c r="C873">
        <v>4.2</v>
      </c>
      <c r="D873" t="s">
        <v>17</v>
      </c>
      <c r="E873">
        <v>7.3</v>
      </c>
      <c r="F873">
        <v>2.6</v>
      </c>
      <c r="G873">
        <v>3.2</v>
      </c>
      <c r="H873">
        <v>0.2</v>
      </c>
      <c r="I873" t="s">
        <v>18</v>
      </c>
      <c r="J873">
        <v>7</v>
      </c>
      <c r="K873">
        <v>1</v>
      </c>
      <c r="L873">
        <v>3</v>
      </c>
      <c r="M873">
        <v>0</v>
      </c>
      <c r="N873" t="str">
        <f t="shared" si="28"/>
        <v>16-19</v>
      </c>
      <c r="O873" t="str">
        <f t="shared" si="29"/>
        <v>healthy sleep</v>
      </c>
      <c r="P873" s="1" t="str" cm="1">
        <f t="array" ref="P873">_xlfn.IFS(L873&lt;=3,"low",L873&lt;=6,"medium",L873&gt;=7,"high")</f>
        <v>low</v>
      </c>
    </row>
    <row r="874" spans="1:16" x14ac:dyDescent="0.3">
      <c r="A874">
        <v>15</v>
      </c>
      <c r="B874" t="s">
        <v>13</v>
      </c>
      <c r="C874">
        <v>4.7</v>
      </c>
      <c r="D874" t="s">
        <v>14</v>
      </c>
      <c r="E874">
        <v>8.1999999999999993</v>
      </c>
      <c r="F874">
        <v>2.2999999999999998</v>
      </c>
      <c r="G874">
        <v>3.35</v>
      </c>
      <c r="H874">
        <v>0.6</v>
      </c>
      <c r="I874" t="s">
        <v>15</v>
      </c>
      <c r="J874">
        <v>6</v>
      </c>
      <c r="K874">
        <v>2</v>
      </c>
      <c r="L874">
        <v>5</v>
      </c>
      <c r="M874">
        <v>0</v>
      </c>
      <c r="N874" t="str">
        <f t="shared" si="28"/>
        <v>13-15</v>
      </c>
      <c r="O874" t="str">
        <f t="shared" si="29"/>
        <v>healthy sleep</v>
      </c>
      <c r="P874" s="1" t="str" cm="1">
        <f t="array" ref="P874">_xlfn.IFS(L874&lt;=3,"low",L874&lt;=6,"medium",L874&gt;=7,"high")</f>
        <v>medium</v>
      </c>
    </row>
    <row r="875" spans="1:16" x14ac:dyDescent="0.3">
      <c r="A875">
        <v>18</v>
      </c>
      <c r="B875" t="s">
        <v>13</v>
      </c>
      <c r="C875">
        <v>1.6</v>
      </c>
      <c r="D875" t="s">
        <v>17</v>
      </c>
      <c r="E875">
        <v>5.8</v>
      </c>
      <c r="F875">
        <v>0.6</v>
      </c>
      <c r="G875">
        <v>3.63</v>
      </c>
      <c r="H875">
        <v>1.1000000000000001</v>
      </c>
      <c r="I875" t="s">
        <v>18</v>
      </c>
      <c r="J875">
        <v>6</v>
      </c>
      <c r="K875">
        <v>9</v>
      </c>
      <c r="L875">
        <v>7</v>
      </c>
      <c r="M875">
        <v>0</v>
      </c>
      <c r="N875" t="str">
        <f t="shared" si="28"/>
        <v>16-19</v>
      </c>
      <c r="O875" t="str">
        <f t="shared" si="29"/>
        <v>low sleep</v>
      </c>
      <c r="P875" s="1" t="str" cm="1">
        <f t="array" ref="P875">_xlfn.IFS(L875&lt;=3,"low",L875&lt;=6,"medium",L875&gt;=7,"high")</f>
        <v>high</v>
      </c>
    </row>
    <row r="876" spans="1:16" x14ac:dyDescent="0.3">
      <c r="A876">
        <v>14</v>
      </c>
      <c r="B876" t="s">
        <v>16</v>
      </c>
      <c r="C876">
        <v>1.7</v>
      </c>
      <c r="D876" t="s">
        <v>17</v>
      </c>
      <c r="E876">
        <v>6.5</v>
      </c>
      <c r="F876">
        <v>2.7</v>
      </c>
      <c r="G876">
        <v>2.06</v>
      </c>
      <c r="H876">
        <v>0.1</v>
      </c>
      <c r="I876" t="s">
        <v>19</v>
      </c>
      <c r="J876">
        <v>9</v>
      </c>
      <c r="K876">
        <v>5</v>
      </c>
      <c r="L876">
        <v>9</v>
      </c>
      <c r="M876">
        <v>0</v>
      </c>
      <c r="N876" t="str">
        <f t="shared" si="28"/>
        <v>13-15</v>
      </c>
      <c r="O876" t="str">
        <f t="shared" si="29"/>
        <v>healthy sleep</v>
      </c>
      <c r="P876" s="1" t="str" cm="1">
        <f t="array" ref="P876">_xlfn.IFS(L876&lt;=3,"low",L876&lt;=6,"medium",L876&gt;=7,"high")</f>
        <v>high</v>
      </c>
    </row>
    <row r="877" spans="1:16" x14ac:dyDescent="0.3">
      <c r="A877">
        <v>18</v>
      </c>
      <c r="B877" t="s">
        <v>13</v>
      </c>
      <c r="C877">
        <v>4.5999999999999996</v>
      </c>
      <c r="D877" t="s">
        <v>14</v>
      </c>
      <c r="E877">
        <v>4.0999999999999996</v>
      </c>
      <c r="F877">
        <v>1.4</v>
      </c>
      <c r="G877">
        <v>2.2799999999999998</v>
      </c>
      <c r="H877">
        <v>0.4</v>
      </c>
      <c r="I877" t="s">
        <v>19</v>
      </c>
      <c r="J877">
        <v>4</v>
      </c>
      <c r="K877">
        <v>10</v>
      </c>
      <c r="L877">
        <v>10</v>
      </c>
      <c r="M877">
        <v>0</v>
      </c>
      <c r="N877" t="str">
        <f t="shared" si="28"/>
        <v>16-19</v>
      </c>
      <c r="O877" t="str">
        <f t="shared" si="29"/>
        <v>low sleep</v>
      </c>
      <c r="P877" s="1" t="str" cm="1">
        <f t="array" ref="P877">_xlfn.IFS(L877&lt;=3,"low",L877&lt;=6,"medium",L877&gt;=7,"high")</f>
        <v>high</v>
      </c>
    </row>
    <row r="878" spans="1:16" x14ac:dyDescent="0.3">
      <c r="A878">
        <v>13</v>
      </c>
      <c r="B878" t="s">
        <v>16</v>
      </c>
      <c r="C878">
        <v>2.5</v>
      </c>
      <c r="D878" t="s">
        <v>17</v>
      </c>
      <c r="E878">
        <v>6.8</v>
      </c>
      <c r="F878">
        <v>2.8</v>
      </c>
      <c r="G878">
        <v>2.77</v>
      </c>
      <c r="H878">
        <v>0.5</v>
      </c>
      <c r="I878" t="s">
        <v>15</v>
      </c>
      <c r="J878">
        <v>2</v>
      </c>
      <c r="K878">
        <v>6</v>
      </c>
      <c r="L878">
        <v>10</v>
      </c>
      <c r="M878">
        <v>0</v>
      </c>
      <c r="N878" t="str">
        <f t="shared" si="28"/>
        <v>13-15</v>
      </c>
      <c r="O878" t="str">
        <f t="shared" si="29"/>
        <v>healthy sleep</v>
      </c>
      <c r="P878" s="1" t="str" cm="1">
        <f t="array" ref="P878">_xlfn.IFS(L878&lt;=3,"low",L878&lt;=6,"medium",L878&gt;=7,"high")</f>
        <v>high</v>
      </c>
    </row>
    <row r="879" spans="1:16" x14ac:dyDescent="0.3">
      <c r="A879">
        <v>16</v>
      </c>
      <c r="B879" t="s">
        <v>16</v>
      </c>
      <c r="C879">
        <v>4.2</v>
      </c>
      <c r="D879" t="s">
        <v>17</v>
      </c>
      <c r="E879">
        <v>6.3</v>
      </c>
      <c r="F879">
        <v>1.2</v>
      </c>
      <c r="G879">
        <v>3.72</v>
      </c>
      <c r="H879">
        <v>1.9</v>
      </c>
      <c r="I879" t="s">
        <v>15</v>
      </c>
      <c r="J879">
        <v>5</v>
      </c>
      <c r="K879">
        <v>3</v>
      </c>
      <c r="L879">
        <v>7</v>
      </c>
      <c r="M879">
        <v>0</v>
      </c>
      <c r="N879" t="str">
        <f t="shared" si="28"/>
        <v>16-19</v>
      </c>
      <c r="O879" t="str">
        <f t="shared" si="29"/>
        <v>healthy sleep</v>
      </c>
      <c r="P879" s="1" t="str" cm="1">
        <f t="array" ref="P879">_xlfn.IFS(L879&lt;=3,"low",L879&lt;=6,"medium",L879&gt;=7,"high")</f>
        <v>high</v>
      </c>
    </row>
    <row r="880" spans="1:16" x14ac:dyDescent="0.3">
      <c r="A880">
        <v>19</v>
      </c>
      <c r="B880" t="s">
        <v>16</v>
      </c>
      <c r="C880">
        <v>1.2</v>
      </c>
      <c r="D880" t="s">
        <v>17</v>
      </c>
      <c r="E880">
        <v>4.8</v>
      </c>
      <c r="F880">
        <v>1.7</v>
      </c>
      <c r="G880">
        <v>2.16</v>
      </c>
      <c r="H880">
        <v>0.6</v>
      </c>
      <c r="I880" t="s">
        <v>19</v>
      </c>
      <c r="J880">
        <v>10</v>
      </c>
      <c r="K880">
        <v>10</v>
      </c>
      <c r="L880">
        <v>10</v>
      </c>
      <c r="M880">
        <v>0</v>
      </c>
      <c r="N880" t="str">
        <f t="shared" si="28"/>
        <v>16-19</v>
      </c>
      <c r="O880" t="str">
        <f t="shared" si="29"/>
        <v>low sleep</v>
      </c>
      <c r="P880" s="1" t="str" cm="1">
        <f t="array" ref="P880">_xlfn.IFS(L880&lt;=3,"low",L880&lt;=6,"medium",L880&gt;=7,"high")</f>
        <v>high</v>
      </c>
    </row>
    <row r="881" spans="1:16" x14ac:dyDescent="0.3">
      <c r="A881">
        <v>15</v>
      </c>
      <c r="B881" t="s">
        <v>13</v>
      </c>
      <c r="C881">
        <v>2.7</v>
      </c>
      <c r="D881" t="s">
        <v>14</v>
      </c>
      <c r="E881">
        <v>7.2</v>
      </c>
      <c r="F881">
        <v>2.9</v>
      </c>
      <c r="G881">
        <v>3.27</v>
      </c>
      <c r="H881">
        <v>0.8</v>
      </c>
      <c r="I881" t="s">
        <v>19</v>
      </c>
      <c r="J881">
        <v>5</v>
      </c>
      <c r="K881">
        <v>2</v>
      </c>
      <c r="L881">
        <v>9</v>
      </c>
      <c r="M881">
        <v>0</v>
      </c>
      <c r="N881" t="str">
        <f t="shared" si="28"/>
        <v>13-15</v>
      </c>
      <c r="O881" t="str">
        <f t="shared" si="29"/>
        <v>healthy sleep</v>
      </c>
      <c r="P881" s="1" t="str" cm="1">
        <f t="array" ref="P881">_xlfn.IFS(L881&lt;=3,"low",L881&lt;=6,"medium",L881&gt;=7,"high")</f>
        <v>high</v>
      </c>
    </row>
    <row r="882" spans="1:16" x14ac:dyDescent="0.3">
      <c r="A882">
        <v>13</v>
      </c>
      <c r="B882" t="s">
        <v>13</v>
      </c>
      <c r="C882">
        <v>1.5</v>
      </c>
      <c r="D882" t="s">
        <v>20</v>
      </c>
      <c r="E882">
        <v>5.2</v>
      </c>
      <c r="F882">
        <v>0.8</v>
      </c>
      <c r="G882">
        <v>2.16</v>
      </c>
      <c r="H882">
        <v>0.9</v>
      </c>
      <c r="I882" t="s">
        <v>19</v>
      </c>
      <c r="J882">
        <v>10</v>
      </c>
      <c r="K882">
        <v>6</v>
      </c>
      <c r="L882">
        <v>8</v>
      </c>
      <c r="M882">
        <v>0</v>
      </c>
      <c r="N882" t="str">
        <f t="shared" si="28"/>
        <v>13-15</v>
      </c>
      <c r="O882" t="str">
        <f t="shared" si="29"/>
        <v>low sleep</v>
      </c>
      <c r="P882" s="1" t="str" cm="1">
        <f t="array" ref="P882">_xlfn.IFS(L882&lt;=3,"low",L882&lt;=6,"medium",L882&gt;=7,"high")</f>
        <v>high</v>
      </c>
    </row>
    <row r="883" spans="1:16" x14ac:dyDescent="0.3">
      <c r="A883">
        <v>15</v>
      </c>
      <c r="B883" t="s">
        <v>13</v>
      </c>
      <c r="C883">
        <v>3.2</v>
      </c>
      <c r="D883" t="s">
        <v>14</v>
      </c>
      <c r="E883">
        <v>5.6</v>
      </c>
      <c r="F883">
        <v>0.7</v>
      </c>
      <c r="G883">
        <v>3.1</v>
      </c>
      <c r="H883">
        <v>1.5</v>
      </c>
      <c r="I883" t="s">
        <v>18</v>
      </c>
      <c r="J883">
        <v>6</v>
      </c>
      <c r="K883">
        <v>3</v>
      </c>
      <c r="L883">
        <v>1</v>
      </c>
      <c r="M883">
        <v>0</v>
      </c>
      <c r="N883" t="str">
        <f t="shared" si="28"/>
        <v>13-15</v>
      </c>
      <c r="O883" t="str">
        <f t="shared" si="29"/>
        <v>low sleep</v>
      </c>
      <c r="P883" s="1" t="str" cm="1">
        <f t="array" ref="P883">_xlfn.IFS(L883&lt;=3,"low",L883&lt;=6,"medium",L883&gt;=7,"high")</f>
        <v>low</v>
      </c>
    </row>
    <row r="884" spans="1:16" x14ac:dyDescent="0.3">
      <c r="A884">
        <v>19</v>
      </c>
      <c r="B884" t="s">
        <v>16</v>
      </c>
      <c r="C884">
        <v>7.3</v>
      </c>
      <c r="D884" t="s">
        <v>20</v>
      </c>
      <c r="E884">
        <v>7.4</v>
      </c>
      <c r="F884">
        <v>1.5</v>
      </c>
      <c r="G884">
        <v>2.84</v>
      </c>
      <c r="H884">
        <v>1</v>
      </c>
      <c r="I884" t="s">
        <v>19</v>
      </c>
      <c r="J884">
        <v>9</v>
      </c>
      <c r="K884">
        <v>8</v>
      </c>
      <c r="L884">
        <v>5</v>
      </c>
      <c r="M884">
        <v>0</v>
      </c>
      <c r="N884" t="str">
        <f t="shared" si="28"/>
        <v>16-19</v>
      </c>
      <c r="O884" t="str">
        <f t="shared" si="29"/>
        <v>healthy sleep</v>
      </c>
      <c r="P884" s="1" t="str" cm="1">
        <f t="array" ref="P884">_xlfn.IFS(L884&lt;=3,"low",L884&lt;=6,"medium",L884&gt;=7,"high")</f>
        <v>medium</v>
      </c>
    </row>
    <row r="885" spans="1:16" x14ac:dyDescent="0.3">
      <c r="A885">
        <v>16</v>
      </c>
      <c r="B885" t="s">
        <v>13</v>
      </c>
      <c r="C885">
        <v>2</v>
      </c>
      <c r="D885" t="s">
        <v>14</v>
      </c>
      <c r="E885">
        <v>8.1999999999999993</v>
      </c>
      <c r="F885">
        <v>1</v>
      </c>
      <c r="G885">
        <v>3.15</v>
      </c>
      <c r="H885">
        <v>0.9</v>
      </c>
      <c r="I885" t="s">
        <v>19</v>
      </c>
      <c r="J885">
        <v>9</v>
      </c>
      <c r="K885">
        <v>7</v>
      </c>
      <c r="L885">
        <v>10</v>
      </c>
      <c r="M885">
        <v>0</v>
      </c>
      <c r="N885" t="str">
        <f t="shared" si="28"/>
        <v>16-19</v>
      </c>
      <c r="O885" t="str">
        <f t="shared" si="29"/>
        <v>healthy sleep</v>
      </c>
      <c r="P885" s="1" t="str" cm="1">
        <f t="array" ref="P885">_xlfn.IFS(L885&lt;=3,"low",L885&lt;=6,"medium",L885&gt;=7,"high")</f>
        <v>high</v>
      </c>
    </row>
    <row r="886" spans="1:16" x14ac:dyDescent="0.3">
      <c r="A886">
        <v>19</v>
      </c>
      <c r="B886" t="s">
        <v>13</v>
      </c>
      <c r="C886">
        <v>2.5</v>
      </c>
      <c r="D886" t="s">
        <v>17</v>
      </c>
      <c r="E886">
        <v>7.1</v>
      </c>
      <c r="F886">
        <v>1.9</v>
      </c>
      <c r="G886">
        <v>2.35</v>
      </c>
      <c r="H886">
        <v>1.1000000000000001</v>
      </c>
      <c r="I886" t="s">
        <v>15</v>
      </c>
      <c r="J886">
        <v>4</v>
      </c>
      <c r="K886">
        <v>4</v>
      </c>
      <c r="L886">
        <v>8</v>
      </c>
      <c r="M886">
        <v>0</v>
      </c>
      <c r="N886" t="str">
        <f t="shared" si="28"/>
        <v>16-19</v>
      </c>
      <c r="O886" t="str">
        <f t="shared" si="29"/>
        <v>healthy sleep</v>
      </c>
      <c r="P886" s="1" t="str" cm="1">
        <f t="array" ref="P886">_xlfn.IFS(L886&lt;=3,"low",L886&lt;=6,"medium",L886&gt;=7,"high")</f>
        <v>high</v>
      </c>
    </row>
    <row r="887" spans="1:16" x14ac:dyDescent="0.3">
      <c r="A887">
        <v>16</v>
      </c>
      <c r="B887" t="s">
        <v>16</v>
      </c>
      <c r="C887">
        <v>7.7</v>
      </c>
      <c r="D887" t="s">
        <v>14</v>
      </c>
      <c r="E887">
        <v>4.7</v>
      </c>
      <c r="F887">
        <v>2.9</v>
      </c>
      <c r="G887">
        <v>2.17</v>
      </c>
      <c r="H887">
        <v>1.2</v>
      </c>
      <c r="I887" t="s">
        <v>19</v>
      </c>
      <c r="J887">
        <v>5</v>
      </c>
      <c r="K887">
        <v>7</v>
      </c>
      <c r="L887">
        <v>6</v>
      </c>
      <c r="M887">
        <v>0</v>
      </c>
      <c r="N887" t="str">
        <f t="shared" si="28"/>
        <v>16-19</v>
      </c>
      <c r="O887" t="str">
        <f t="shared" si="29"/>
        <v>low sleep</v>
      </c>
      <c r="P887" s="1" t="str" cm="1">
        <f t="array" ref="P887">_xlfn.IFS(L887&lt;=3,"low",L887&lt;=6,"medium",L887&gt;=7,"high")</f>
        <v>medium</v>
      </c>
    </row>
    <row r="888" spans="1:16" x14ac:dyDescent="0.3">
      <c r="A888">
        <v>19</v>
      </c>
      <c r="B888" t="s">
        <v>16</v>
      </c>
      <c r="C888">
        <v>3.9</v>
      </c>
      <c r="D888" t="s">
        <v>20</v>
      </c>
      <c r="E888">
        <v>7.9</v>
      </c>
      <c r="F888">
        <v>2.1</v>
      </c>
      <c r="G888">
        <v>3.52</v>
      </c>
      <c r="H888">
        <v>0.6</v>
      </c>
      <c r="I888" t="s">
        <v>18</v>
      </c>
      <c r="J888">
        <v>3</v>
      </c>
      <c r="K888">
        <v>2</v>
      </c>
      <c r="L888">
        <v>4</v>
      </c>
      <c r="M888">
        <v>0</v>
      </c>
      <c r="N888" t="str">
        <f t="shared" si="28"/>
        <v>16-19</v>
      </c>
      <c r="O888" t="str">
        <f t="shared" si="29"/>
        <v>healthy sleep</v>
      </c>
      <c r="P888" s="1" t="str" cm="1">
        <f t="array" ref="P888">_xlfn.IFS(L888&lt;=3,"low",L888&lt;=6,"medium",L888&gt;=7,"high")</f>
        <v>medium</v>
      </c>
    </row>
    <row r="889" spans="1:16" x14ac:dyDescent="0.3">
      <c r="A889">
        <v>16</v>
      </c>
      <c r="B889" t="s">
        <v>16</v>
      </c>
      <c r="C889">
        <v>3.5</v>
      </c>
      <c r="D889" t="s">
        <v>17</v>
      </c>
      <c r="E889">
        <v>6.1</v>
      </c>
      <c r="F889">
        <v>2.7</v>
      </c>
      <c r="G889">
        <v>3.83</v>
      </c>
      <c r="H889">
        <v>0.1</v>
      </c>
      <c r="I889" t="s">
        <v>19</v>
      </c>
      <c r="J889">
        <v>4</v>
      </c>
      <c r="K889">
        <v>5</v>
      </c>
      <c r="L889">
        <v>10</v>
      </c>
      <c r="M889">
        <v>0</v>
      </c>
      <c r="N889" t="str">
        <f t="shared" si="28"/>
        <v>16-19</v>
      </c>
      <c r="O889" t="str">
        <f t="shared" si="29"/>
        <v>healthy sleep</v>
      </c>
      <c r="P889" s="1" t="str" cm="1">
        <f t="array" ref="P889">_xlfn.IFS(L889&lt;=3,"low",L889&lt;=6,"medium",L889&gt;=7,"high")</f>
        <v>high</v>
      </c>
    </row>
    <row r="890" spans="1:16" x14ac:dyDescent="0.3">
      <c r="A890">
        <v>17</v>
      </c>
      <c r="B890" t="s">
        <v>13</v>
      </c>
      <c r="C890">
        <v>4.9000000000000004</v>
      </c>
      <c r="D890" t="s">
        <v>14</v>
      </c>
      <c r="E890">
        <v>6.4</v>
      </c>
      <c r="F890">
        <v>2.5</v>
      </c>
      <c r="G890">
        <v>2.64</v>
      </c>
      <c r="H890">
        <v>1.9</v>
      </c>
      <c r="I890" t="s">
        <v>19</v>
      </c>
      <c r="J890">
        <v>6</v>
      </c>
      <c r="K890">
        <v>2</v>
      </c>
      <c r="L890">
        <v>10</v>
      </c>
      <c r="M890">
        <v>0</v>
      </c>
      <c r="N890" t="str">
        <f t="shared" si="28"/>
        <v>16-19</v>
      </c>
      <c r="O890" t="str">
        <f t="shared" si="29"/>
        <v>healthy sleep</v>
      </c>
      <c r="P890" s="1" t="str" cm="1">
        <f t="array" ref="P890">_xlfn.IFS(L890&lt;=3,"low",L890&lt;=6,"medium",L890&gt;=7,"high")</f>
        <v>high</v>
      </c>
    </row>
    <row r="891" spans="1:16" x14ac:dyDescent="0.3">
      <c r="A891">
        <v>14</v>
      </c>
      <c r="B891" t="s">
        <v>13</v>
      </c>
      <c r="C891">
        <v>3.4</v>
      </c>
      <c r="D891" t="s">
        <v>20</v>
      </c>
      <c r="E891">
        <v>5.8</v>
      </c>
      <c r="F891">
        <v>3</v>
      </c>
      <c r="G891">
        <v>3.32</v>
      </c>
      <c r="H891">
        <v>0.6</v>
      </c>
      <c r="I891" t="s">
        <v>19</v>
      </c>
      <c r="J891">
        <v>1</v>
      </c>
      <c r="K891">
        <v>4</v>
      </c>
      <c r="L891">
        <v>4</v>
      </c>
      <c r="M891">
        <v>0</v>
      </c>
      <c r="N891" t="str">
        <f t="shared" si="28"/>
        <v>13-15</v>
      </c>
      <c r="O891" t="str">
        <f t="shared" si="29"/>
        <v>low sleep</v>
      </c>
      <c r="P891" s="1" t="str" cm="1">
        <f t="array" ref="P891">_xlfn.IFS(L891&lt;=3,"low",L891&lt;=6,"medium",L891&gt;=7,"high")</f>
        <v>medium</v>
      </c>
    </row>
    <row r="892" spans="1:16" x14ac:dyDescent="0.3">
      <c r="A892">
        <v>18</v>
      </c>
      <c r="B892" t="s">
        <v>13</v>
      </c>
      <c r="C892">
        <v>2.5</v>
      </c>
      <c r="D892" t="s">
        <v>17</v>
      </c>
      <c r="E892">
        <v>4.5999999999999996</v>
      </c>
      <c r="F892">
        <v>2.2000000000000002</v>
      </c>
      <c r="G892">
        <v>2.0499999999999998</v>
      </c>
      <c r="H892">
        <v>0.7</v>
      </c>
      <c r="I892" t="s">
        <v>19</v>
      </c>
      <c r="J892">
        <v>9</v>
      </c>
      <c r="K892">
        <v>5</v>
      </c>
      <c r="L892">
        <v>10</v>
      </c>
      <c r="M892">
        <v>0</v>
      </c>
      <c r="N892" t="str">
        <f t="shared" si="28"/>
        <v>16-19</v>
      </c>
      <c r="O892" t="str">
        <f t="shared" si="29"/>
        <v>low sleep</v>
      </c>
      <c r="P892" s="1" t="str" cm="1">
        <f t="array" ref="P892">_xlfn.IFS(L892&lt;=3,"low",L892&lt;=6,"medium",L892&gt;=7,"high")</f>
        <v>high</v>
      </c>
    </row>
    <row r="893" spans="1:16" x14ac:dyDescent="0.3">
      <c r="A893">
        <v>16</v>
      </c>
      <c r="B893" t="s">
        <v>13</v>
      </c>
      <c r="C893">
        <v>4.8</v>
      </c>
      <c r="D893" t="s">
        <v>20</v>
      </c>
      <c r="E893">
        <v>5.4</v>
      </c>
      <c r="F893">
        <v>0.9</v>
      </c>
      <c r="G893">
        <v>2.06</v>
      </c>
      <c r="H893">
        <v>1.9</v>
      </c>
      <c r="I893" t="s">
        <v>15</v>
      </c>
      <c r="J893">
        <v>8</v>
      </c>
      <c r="K893">
        <v>3</v>
      </c>
      <c r="L893">
        <v>2</v>
      </c>
      <c r="M893">
        <v>0</v>
      </c>
      <c r="N893" t="str">
        <f t="shared" si="28"/>
        <v>16-19</v>
      </c>
      <c r="O893" t="str">
        <f t="shared" si="29"/>
        <v>low sleep</v>
      </c>
      <c r="P893" s="1" t="str" cm="1">
        <f t="array" ref="P893">_xlfn.IFS(L893&lt;=3,"low",L893&lt;=6,"medium",L893&gt;=7,"high")</f>
        <v>low</v>
      </c>
    </row>
    <row r="894" spans="1:16" x14ac:dyDescent="0.3">
      <c r="A894">
        <v>19</v>
      </c>
      <c r="B894" t="s">
        <v>13</v>
      </c>
      <c r="C894">
        <v>7.4</v>
      </c>
      <c r="D894" t="s">
        <v>17</v>
      </c>
      <c r="E894">
        <v>6.1</v>
      </c>
      <c r="F894">
        <v>1.1000000000000001</v>
      </c>
      <c r="G894">
        <v>2.15</v>
      </c>
      <c r="H894">
        <v>1.6</v>
      </c>
      <c r="I894" t="s">
        <v>18</v>
      </c>
      <c r="J894">
        <v>4</v>
      </c>
      <c r="K894">
        <v>4</v>
      </c>
      <c r="L894">
        <v>1</v>
      </c>
      <c r="M894">
        <v>0</v>
      </c>
      <c r="N894" t="str">
        <f t="shared" si="28"/>
        <v>16-19</v>
      </c>
      <c r="O894" t="str">
        <f t="shared" si="29"/>
        <v>healthy sleep</v>
      </c>
      <c r="P894" s="1" t="str" cm="1">
        <f t="array" ref="P894">_xlfn.IFS(L894&lt;=3,"low",L894&lt;=6,"medium",L894&gt;=7,"high")</f>
        <v>low</v>
      </c>
    </row>
    <row r="895" spans="1:16" x14ac:dyDescent="0.3">
      <c r="A895">
        <v>16</v>
      </c>
      <c r="B895" t="s">
        <v>16</v>
      </c>
      <c r="C895">
        <v>2.1</v>
      </c>
      <c r="D895" t="s">
        <v>14</v>
      </c>
      <c r="E895">
        <v>4.8</v>
      </c>
      <c r="F895">
        <v>1.3</v>
      </c>
      <c r="G895">
        <v>2.29</v>
      </c>
      <c r="H895">
        <v>1.8</v>
      </c>
      <c r="I895" t="s">
        <v>18</v>
      </c>
      <c r="J895">
        <v>6</v>
      </c>
      <c r="K895">
        <v>9</v>
      </c>
      <c r="L895">
        <v>2</v>
      </c>
      <c r="M895">
        <v>0</v>
      </c>
      <c r="N895" t="str">
        <f t="shared" si="28"/>
        <v>16-19</v>
      </c>
      <c r="O895" t="str">
        <f t="shared" si="29"/>
        <v>low sleep</v>
      </c>
      <c r="P895" s="1" t="str" cm="1">
        <f t="array" ref="P895">_xlfn.IFS(L895&lt;=3,"low",L895&lt;=6,"medium",L895&gt;=7,"high")</f>
        <v>low</v>
      </c>
    </row>
    <row r="896" spans="1:16" x14ac:dyDescent="0.3">
      <c r="A896">
        <v>19</v>
      </c>
      <c r="B896" t="s">
        <v>13</v>
      </c>
      <c r="C896">
        <v>2.1</v>
      </c>
      <c r="D896" t="s">
        <v>17</v>
      </c>
      <c r="E896">
        <v>6.8</v>
      </c>
      <c r="F896">
        <v>2.2000000000000002</v>
      </c>
      <c r="G896">
        <v>2.33</v>
      </c>
      <c r="H896">
        <v>1</v>
      </c>
      <c r="I896" t="s">
        <v>19</v>
      </c>
      <c r="J896">
        <v>7</v>
      </c>
      <c r="K896">
        <v>6</v>
      </c>
      <c r="L896">
        <v>7</v>
      </c>
      <c r="M896">
        <v>0</v>
      </c>
      <c r="N896" t="str">
        <f t="shared" si="28"/>
        <v>16-19</v>
      </c>
      <c r="O896" t="str">
        <f t="shared" si="29"/>
        <v>healthy sleep</v>
      </c>
      <c r="P896" s="1" t="str" cm="1">
        <f t="array" ref="P896">_xlfn.IFS(L896&lt;=3,"low",L896&lt;=6,"medium",L896&gt;=7,"high")</f>
        <v>high</v>
      </c>
    </row>
    <row r="897" spans="1:16" x14ac:dyDescent="0.3">
      <c r="A897">
        <v>16</v>
      </c>
      <c r="B897" t="s">
        <v>13</v>
      </c>
      <c r="C897">
        <v>1.8</v>
      </c>
      <c r="D897" t="s">
        <v>14</v>
      </c>
      <c r="E897">
        <v>4.9000000000000004</v>
      </c>
      <c r="F897">
        <v>2.2999999999999998</v>
      </c>
      <c r="G897">
        <v>2.67</v>
      </c>
      <c r="H897">
        <v>1.4</v>
      </c>
      <c r="I897" t="s">
        <v>19</v>
      </c>
      <c r="J897">
        <v>3</v>
      </c>
      <c r="K897">
        <v>8</v>
      </c>
      <c r="L897">
        <v>6</v>
      </c>
      <c r="M897">
        <v>0</v>
      </c>
      <c r="N897" t="str">
        <f t="shared" si="28"/>
        <v>16-19</v>
      </c>
      <c r="O897" t="str">
        <f t="shared" si="29"/>
        <v>low sleep</v>
      </c>
      <c r="P897" s="1" t="str" cm="1">
        <f t="array" ref="P897">_xlfn.IFS(L897&lt;=3,"low",L897&lt;=6,"medium",L897&gt;=7,"high")</f>
        <v>medium</v>
      </c>
    </row>
    <row r="898" spans="1:16" x14ac:dyDescent="0.3">
      <c r="A898">
        <v>18</v>
      </c>
      <c r="B898" t="s">
        <v>13</v>
      </c>
      <c r="C898">
        <v>6.8</v>
      </c>
      <c r="D898" t="s">
        <v>20</v>
      </c>
      <c r="E898">
        <v>5.4</v>
      </c>
      <c r="F898">
        <v>0.9</v>
      </c>
      <c r="G898">
        <v>2.64</v>
      </c>
      <c r="H898">
        <v>0.3</v>
      </c>
      <c r="I898" t="s">
        <v>18</v>
      </c>
      <c r="J898">
        <v>9</v>
      </c>
      <c r="K898">
        <v>1</v>
      </c>
      <c r="L898">
        <v>8</v>
      </c>
      <c r="M898">
        <v>0</v>
      </c>
      <c r="N898" t="str">
        <f t="shared" si="28"/>
        <v>16-19</v>
      </c>
      <c r="O898" t="str">
        <f t="shared" si="29"/>
        <v>low sleep</v>
      </c>
      <c r="P898" s="1" t="str" cm="1">
        <f t="array" ref="P898">_xlfn.IFS(L898&lt;=3,"low",L898&lt;=6,"medium",L898&gt;=7,"high")</f>
        <v>high</v>
      </c>
    </row>
    <row r="899" spans="1:16" x14ac:dyDescent="0.3">
      <c r="A899">
        <v>18</v>
      </c>
      <c r="B899" t="s">
        <v>13</v>
      </c>
      <c r="C899">
        <v>7.9</v>
      </c>
      <c r="D899" t="s">
        <v>14</v>
      </c>
      <c r="E899">
        <v>4.0999999999999996</v>
      </c>
      <c r="F899">
        <v>2.8</v>
      </c>
      <c r="G899">
        <v>3.25</v>
      </c>
      <c r="H899">
        <v>1.4</v>
      </c>
      <c r="I899" t="s">
        <v>18</v>
      </c>
      <c r="J899">
        <v>4</v>
      </c>
      <c r="K899">
        <v>2</v>
      </c>
      <c r="L899">
        <v>4</v>
      </c>
      <c r="M899">
        <v>0</v>
      </c>
      <c r="N899" t="str">
        <f t="shared" ref="N899:N962" si="30">IF(A899&lt;=15,"13-15","16-19")</f>
        <v>16-19</v>
      </c>
      <c r="O899" t="str">
        <f t="shared" ref="O899:O962" si="31">IF(E899&lt;=6,"low sleep","healthy sleep")</f>
        <v>low sleep</v>
      </c>
      <c r="P899" s="1" t="str" cm="1">
        <f t="array" ref="P899">_xlfn.IFS(L899&lt;=3,"low",L899&lt;=6,"medium",L899&gt;=7,"high")</f>
        <v>medium</v>
      </c>
    </row>
    <row r="900" spans="1:16" x14ac:dyDescent="0.3">
      <c r="A900">
        <v>15</v>
      </c>
      <c r="B900" t="s">
        <v>13</v>
      </c>
      <c r="C900">
        <v>7.6</v>
      </c>
      <c r="D900" t="s">
        <v>20</v>
      </c>
      <c r="E900">
        <v>6</v>
      </c>
      <c r="F900">
        <v>2.9</v>
      </c>
      <c r="G900">
        <v>2.72</v>
      </c>
      <c r="H900">
        <v>1.8</v>
      </c>
      <c r="I900" t="s">
        <v>18</v>
      </c>
      <c r="J900">
        <v>1</v>
      </c>
      <c r="K900">
        <v>9</v>
      </c>
      <c r="L900">
        <v>6</v>
      </c>
      <c r="M900">
        <v>0</v>
      </c>
      <c r="N900" t="str">
        <f t="shared" si="30"/>
        <v>13-15</v>
      </c>
      <c r="O900" t="str">
        <f t="shared" si="31"/>
        <v>low sleep</v>
      </c>
      <c r="P900" s="1" t="str" cm="1">
        <f t="array" ref="P900">_xlfn.IFS(L900&lt;=3,"low",L900&lt;=6,"medium",L900&gt;=7,"high")</f>
        <v>medium</v>
      </c>
    </row>
    <row r="901" spans="1:16" x14ac:dyDescent="0.3">
      <c r="A901">
        <v>18</v>
      </c>
      <c r="B901" t="s">
        <v>13</v>
      </c>
      <c r="C901">
        <v>6.1</v>
      </c>
      <c r="D901" t="s">
        <v>17</v>
      </c>
      <c r="E901">
        <v>5.8</v>
      </c>
      <c r="F901">
        <v>1.8</v>
      </c>
      <c r="G901">
        <v>3.59</v>
      </c>
      <c r="H901">
        <v>0.2</v>
      </c>
      <c r="I901" t="s">
        <v>15</v>
      </c>
      <c r="J901">
        <v>2</v>
      </c>
      <c r="K901">
        <v>5</v>
      </c>
      <c r="L901">
        <v>4</v>
      </c>
      <c r="M901">
        <v>0</v>
      </c>
      <c r="N901" t="str">
        <f t="shared" si="30"/>
        <v>16-19</v>
      </c>
      <c r="O901" t="str">
        <f t="shared" si="31"/>
        <v>low sleep</v>
      </c>
      <c r="P901" s="1" t="str" cm="1">
        <f t="array" ref="P901">_xlfn.IFS(L901&lt;=3,"low",L901&lt;=6,"medium",L901&gt;=7,"high")</f>
        <v>medium</v>
      </c>
    </row>
    <row r="902" spans="1:16" x14ac:dyDescent="0.3">
      <c r="A902">
        <v>16</v>
      </c>
      <c r="B902" t="s">
        <v>16</v>
      </c>
      <c r="C902">
        <v>1.4</v>
      </c>
      <c r="D902" t="s">
        <v>20</v>
      </c>
      <c r="E902">
        <v>5.7</v>
      </c>
      <c r="F902">
        <v>1.8</v>
      </c>
      <c r="G902">
        <v>2</v>
      </c>
      <c r="H902">
        <v>1.4</v>
      </c>
      <c r="I902" t="s">
        <v>15</v>
      </c>
      <c r="J902">
        <v>4</v>
      </c>
      <c r="K902">
        <v>8</v>
      </c>
      <c r="L902">
        <v>7</v>
      </c>
      <c r="M902">
        <v>0</v>
      </c>
      <c r="N902" t="str">
        <f t="shared" si="30"/>
        <v>16-19</v>
      </c>
      <c r="O902" t="str">
        <f t="shared" si="31"/>
        <v>low sleep</v>
      </c>
      <c r="P902" s="1" t="str" cm="1">
        <f t="array" ref="P902">_xlfn.IFS(L902&lt;=3,"low",L902&lt;=6,"medium",L902&gt;=7,"high")</f>
        <v>high</v>
      </c>
    </row>
    <row r="903" spans="1:16" x14ac:dyDescent="0.3">
      <c r="A903">
        <v>19</v>
      </c>
      <c r="B903" t="s">
        <v>13</v>
      </c>
      <c r="C903">
        <v>6.3</v>
      </c>
      <c r="D903" t="s">
        <v>17</v>
      </c>
      <c r="E903">
        <v>5.7</v>
      </c>
      <c r="F903">
        <v>1.4</v>
      </c>
      <c r="G903">
        <v>2.0299999999999998</v>
      </c>
      <c r="H903">
        <v>1.1000000000000001</v>
      </c>
      <c r="I903" t="s">
        <v>15</v>
      </c>
      <c r="J903">
        <v>4</v>
      </c>
      <c r="K903">
        <v>6</v>
      </c>
      <c r="L903">
        <v>1</v>
      </c>
      <c r="M903">
        <v>0</v>
      </c>
      <c r="N903" t="str">
        <f t="shared" si="30"/>
        <v>16-19</v>
      </c>
      <c r="O903" t="str">
        <f t="shared" si="31"/>
        <v>low sleep</v>
      </c>
      <c r="P903" s="1" t="str" cm="1">
        <f t="array" ref="P903">_xlfn.IFS(L903&lt;=3,"low",L903&lt;=6,"medium",L903&gt;=7,"high")</f>
        <v>low</v>
      </c>
    </row>
    <row r="904" spans="1:16" x14ac:dyDescent="0.3">
      <c r="A904">
        <v>13</v>
      </c>
      <c r="B904" t="s">
        <v>13</v>
      </c>
      <c r="C904">
        <v>1.3</v>
      </c>
      <c r="D904" t="s">
        <v>14</v>
      </c>
      <c r="E904">
        <v>5.7</v>
      </c>
      <c r="F904">
        <v>1.1000000000000001</v>
      </c>
      <c r="G904">
        <v>3.74</v>
      </c>
      <c r="H904">
        <v>1.3</v>
      </c>
      <c r="I904" t="s">
        <v>15</v>
      </c>
      <c r="J904">
        <v>9</v>
      </c>
      <c r="K904">
        <v>5</v>
      </c>
      <c r="L904">
        <v>10</v>
      </c>
      <c r="M904">
        <v>0</v>
      </c>
      <c r="N904" t="str">
        <f t="shared" si="30"/>
        <v>13-15</v>
      </c>
      <c r="O904" t="str">
        <f t="shared" si="31"/>
        <v>low sleep</v>
      </c>
      <c r="P904" s="1" t="str" cm="1">
        <f t="array" ref="P904">_xlfn.IFS(L904&lt;=3,"low",L904&lt;=6,"medium",L904&gt;=7,"high")</f>
        <v>high</v>
      </c>
    </row>
    <row r="905" spans="1:16" x14ac:dyDescent="0.3">
      <c r="A905">
        <v>17</v>
      </c>
      <c r="B905" t="s">
        <v>13</v>
      </c>
      <c r="C905">
        <v>5.0999999999999996</v>
      </c>
      <c r="D905" t="s">
        <v>17</v>
      </c>
      <c r="E905">
        <v>5.0999999999999996</v>
      </c>
      <c r="F905">
        <v>2.9</v>
      </c>
      <c r="G905">
        <v>3.99</v>
      </c>
      <c r="H905">
        <v>0.6</v>
      </c>
      <c r="I905" t="s">
        <v>19</v>
      </c>
      <c r="J905">
        <v>4</v>
      </c>
      <c r="K905">
        <v>2</v>
      </c>
      <c r="L905">
        <v>9</v>
      </c>
      <c r="M905">
        <v>0</v>
      </c>
      <c r="N905" t="str">
        <f t="shared" si="30"/>
        <v>16-19</v>
      </c>
      <c r="O905" t="str">
        <f t="shared" si="31"/>
        <v>low sleep</v>
      </c>
      <c r="P905" s="1" t="str" cm="1">
        <f t="array" ref="P905">_xlfn.IFS(L905&lt;=3,"low",L905&lt;=6,"medium",L905&gt;=7,"high")</f>
        <v>high</v>
      </c>
    </row>
    <row r="906" spans="1:16" x14ac:dyDescent="0.3">
      <c r="A906">
        <v>19</v>
      </c>
      <c r="B906" t="s">
        <v>16</v>
      </c>
      <c r="C906">
        <v>4</v>
      </c>
      <c r="D906" t="s">
        <v>14</v>
      </c>
      <c r="E906">
        <v>8.1999999999999993</v>
      </c>
      <c r="F906">
        <v>1.4</v>
      </c>
      <c r="G906">
        <v>3.63</v>
      </c>
      <c r="H906">
        <v>1.3</v>
      </c>
      <c r="I906" t="s">
        <v>15</v>
      </c>
      <c r="J906">
        <v>5</v>
      </c>
      <c r="K906">
        <v>3</v>
      </c>
      <c r="L906">
        <v>10</v>
      </c>
      <c r="M906">
        <v>0</v>
      </c>
      <c r="N906" t="str">
        <f t="shared" si="30"/>
        <v>16-19</v>
      </c>
      <c r="O906" t="str">
        <f t="shared" si="31"/>
        <v>healthy sleep</v>
      </c>
      <c r="P906" s="1" t="str" cm="1">
        <f t="array" ref="P906">_xlfn.IFS(L906&lt;=3,"low",L906&lt;=6,"medium",L906&gt;=7,"high")</f>
        <v>high</v>
      </c>
    </row>
    <row r="907" spans="1:16" x14ac:dyDescent="0.3">
      <c r="A907">
        <v>17</v>
      </c>
      <c r="B907" t="s">
        <v>16</v>
      </c>
      <c r="C907">
        <v>7.6</v>
      </c>
      <c r="D907" t="s">
        <v>14</v>
      </c>
      <c r="E907">
        <v>7.3</v>
      </c>
      <c r="F907">
        <v>1.9</v>
      </c>
      <c r="G907">
        <v>3.05</v>
      </c>
      <c r="H907">
        <v>1.1000000000000001</v>
      </c>
      <c r="I907" t="s">
        <v>19</v>
      </c>
      <c r="J907">
        <v>10</v>
      </c>
      <c r="K907">
        <v>8</v>
      </c>
      <c r="L907">
        <v>1</v>
      </c>
      <c r="M907">
        <v>0</v>
      </c>
      <c r="N907" t="str">
        <f t="shared" si="30"/>
        <v>16-19</v>
      </c>
      <c r="O907" t="str">
        <f t="shared" si="31"/>
        <v>healthy sleep</v>
      </c>
      <c r="P907" s="1" t="str" cm="1">
        <f t="array" ref="P907">_xlfn.IFS(L907&lt;=3,"low",L907&lt;=6,"medium",L907&gt;=7,"high")</f>
        <v>low</v>
      </c>
    </row>
    <row r="908" spans="1:16" x14ac:dyDescent="0.3">
      <c r="A908">
        <v>19</v>
      </c>
      <c r="B908" t="s">
        <v>13</v>
      </c>
      <c r="C908">
        <v>3.8</v>
      </c>
      <c r="D908" t="s">
        <v>17</v>
      </c>
      <c r="E908">
        <v>7.4</v>
      </c>
      <c r="F908">
        <v>2.6</v>
      </c>
      <c r="G908">
        <v>2.25</v>
      </c>
      <c r="H908">
        <v>0.5</v>
      </c>
      <c r="I908" t="s">
        <v>15</v>
      </c>
      <c r="J908">
        <v>7</v>
      </c>
      <c r="K908">
        <v>4</v>
      </c>
      <c r="L908">
        <v>8</v>
      </c>
      <c r="M908">
        <v>0</v>
      </c>
      <c r="N908" t="str">
        <f t="shared" si="30"/>
        <v>16-19</v>
      </c>
      <c r="O908" t="str">
        <f t="shared" si="31"/>
        <v>healthy sleep</v>
      </c>
      <c r="P908" s="1" t="str" cm="1">
        <f t="array" ref="P908">_xlfn.IFS(L908&lt;=3,"low",L908&lt;=6,"medium",L908&gt;=7,"high")</f>
        <v>high</v>
      </c>
    </row>
    <row r="909" spans="1:16" x14ac:dyDescent="0.3">
      <c r="A909">
        <v>17</v>
      </c>
      <c r="B909" t="s">
        <v>13</v>
      </c>
      <c r="C909">
        <v>5.2</v>
      </c>
      <c r="D909" t="s">
        <v>14</v>
      </c>
      <c r="E909">
        <v>4.7</v>
      </c>
      <c r="F909">
        <v>2.4</v>
      </c>
      <c r="G909">
        <v>2.77</v>
      </c>
      <c r="H909">
        <v>1.3</v>
      </c>
      <c r="I909" t="s">
        <v>18</v>
      </c>
      <c r="J909">
        <v>9</v>
      </c>
      <c r="K909">
        <v>6</v>
      </c>
      <c r="L909">
        <v>9</v>
      </c>
      <c r="M909">
        <v>0</v>
      </c>
      <c r="N909" t="str">
        <f t="shared" si="30"/>
        <v>16-19</v>
      </c>
      <c r="O909" t="str">
        <f t="shared" si="31"/>
        <v>low sleep</v>
      </c>
      <c r="P909" s="1" t="str" cm="1">
        <f t="array" ref="P909">_xlfn.IFS(L909&lt;=3,"low",L909&lt;=6,"medium",L909&gt;=7,"high")</f>
        <v>high</v>
      </c>
    </row>
    <row r="910" spans="1:16" x14ac:dyDescent="0.3">
      <c r="A910">
        <v>13</v>
      </c>
      <c r="B910" t="s">
        <v>13</v>
      </c>
      <c r="C910">
        <v>5</v>
      </c>
      <c r="D910" t="s">
        <v>20</v>
      </c>
      <c r="E910">
        <v>8.6</v>
      </c>
      <c r="F910">
        <v>0.7</v>
      </c>
      <c r="G910">
        <v>2.99</v>
      </c>
      <c r="H910">
        <v>1.5</v>
      </c>
      <c r="I910" t="s">
        <v>15</v>
      </c>
      <c r="J910">
        <v>3</v>
      </c>
      <c r="K910">
        <v>8</v>
      </c>
      <c r="L910">
        <v>3</v>
      </c>
      <c r="M910">
        <v>0</v>
      </c>
      <c r="N910" t="str">
        <f t="shared" si="30"/>
        <v>13-15</v>
      </c>
      <c r="O910" t="str">
        <f t="shared" si="31"/>
        <v>healthy sleep</v>
      </c>
      <c r="P910" s="1" t="str" cm="1">
        <f t="array" ref="P910">_xlfn.IFS(L910&lt;=3,"low",L910&lt;=6,"medium",L910&gt;=7,"high")</f>
        <v>low</v>
      </c>
    </row>
    <row r="911" spans="1:16" x14ac:dyDescent="0.3">
      <c r="A911">
        <v>19</v>
      </c>
      <c r="B911" t="s">
        <v>16</v>
      </c>
      <c r="C911">
        <v>7.4</v>
      </c>
      <c r="D911" t="s">
        <v>20</v>
      </c>
      <c r="E911">
        <v>8.3000000000000007</v>
      </c>
      <c r="F911">
        <v>1.4</v>
      </c>
      <c r="G911">
        <v>3.64</v>
      </c>
      <c r="H911">
        <v>0.4</v>
      </c>
      <c r="I911" t="s">
        <v>15</v>
      </c>
      <c r="J911">
        <v>6</v>
      </c>
      <c r="K911">
        <v>9</v>
      </c>
      <c r="L911">
        <v>6</v>
      </c>
      <c r="M911">
        <v>0</v>
      </c>
      <c r="N911" t="str">
        <f t="shared" si="30"/>
        <v>16-19</v>
      </c>
      <c r="O911" t="str">
        <f t="shared" si="31"/>
        <v>healthy sleep</v>
      </c>
      <c r="P911" s="1" t="str" cm="1">
        <f t="array" ref="P911">_xlfn.IFS(L911&lt;=3,"low",L911&lt;=6,"medium",L911&gt;=7,"high")</f>
        <v>medium</v>
      </c>
    </row>
    <row r="912" spans="1:16" x14ac:dyDescent="0.3">
      <c r="A912">
        <v>16</v>
      </c>
      <c r="B912" t="s">
        <v>13</v>
      </c>
      <c r="C912">
        <v>6.1</v>
      </c>
      <c r="D912" t="s">
        <v>17</v>
      </c>
      <c r="E912">
        <v>6.8</v>
      </c>
      <c r="F912">
        <v>0.8</v>
      </c>
      <c r="G912">
        <v>2.61</v>
      </c>
      <c r="H912">
        <v>0.9</v>
      </c>
      <c r="I912" t="s">
        <v>15</v>
      </c>
      <c r="J912">
        <v>10</v>
      </c>
      <c r="K912">
        <v>10</v>
      </c>
      <c r="L912">
        <v>4</v>
      </c>
      <c r="M912">
        <v>0</v>
      </c>
      <c r="N912" t="str">
        <f t="shared" si="30"/>
        <v>16-19</v>
      </c>
      <c r="O912" t="str">
        <f t="shared" si="31"/>
        <v>healthy sleep</v>
      </c>
      <c r="P912" s="1" t="str" cm="1">
        <f t="array" ref="P912">_xlfn.IFS(L912&lt;=3,"low",L912&lt;=6,"medium",L912&gt;=7,"high")</f>
        <v>medium</v>
      </c>
    </row>
    <row r="913" spans="1:16" x14ac:dyDescent="0.3">
      <c r="A913">
        <v>13</v>
      </c>
      <c r="B913" t="s">
        <v>16</v>
      </c>
      <c r="C913">
        <v>7.4</v>
      </c>
      <c r="D913" t="s">
        <v>20</v>
      </c>
      <c r="E913">
        <v>6.7</v>
      </c>
      <c r="F913">
        <v>2</v>
      </c>
      <c r="G913">
        <v>2.42</v>
      </c>
      <c r="H913">
        <v>1.5</v>
      </c>
      <c r="I913" t="s">
        <v>15</v>
      </c>
      <c r="J913">
        <v>10</v>
      </c>
      <c r="K913">
        <v>1</v>
      </c>
      <c r="L913">
        <v>1</v>
      </c>
      <c r="M913">
        <v>0</v>
      </c>
      <c r="N913" t="str">
        <f t="shared" si="30"/>
        <v>13-15</v>
      </c>
      <c r="O913" t="str">
        <f t="shared" si="31"/>
        <v>healthy sleep</v>
      </c>
      <c r="P913" s="1" t="str" cm="1">
        <f t="array" ref="P913">_xlfn.IFS(L913&lt;=3,"low",L913&lt;=6,"medium",L913&gt;=7,"high")</f>
        <v>low</v>
      </c>
    </row>
    <row r="914" spans="1:16" x14ac:dyDescent="0.3">
      <c r="A914">
        <v>16</v>
      </c>
      <c r="B914" t="s">
        <v>13</v>
      </c>
      <c r="C914">
        <v>3.5</v>
      </c>
      <c r="D914" t="s">
        <v>20</v>
      </c>
      <c r="E914">
        <v>4.4000000000000004</v>
      </c>
      <c r="F914">
        <v>1.5</v>
      </c>
      <c r="G914">
        <v>2.7</v>
      </c>
      <c r="H914">
        <v>0.8</v>
      </c>
      <c r="I914" t="s">
        <v>18</v>
      </c>
      <c r="J914">
        <v>2</v>
      </c>
      <c r="K914">
        <v>10</v>
      </c>
      <c r="L914">
        <v>8</v>
      </c>
      <c r="M914">
        <v>0</v>
      </c>
      <c r="N914" t="str">
        <f t="shared" si="30"/>
        <v>16-19</v>
      </c>
      <c r="O914" t="str">
        <f t="shared" si="31"/>
        <v>low sleep</v>
      </c>
      <c r="P914" s="1" t="str" cm="1">
        <f t="array" ref="P914">_xlfn.IFS(L914&lt;=3,"low",L914&lt;=6,"medium",L914&gt;=7,"high")</f>
        <v>high</v>
      </c>
    </row>
    <row r="915" spans="1:16" x14ac:dyDescent="0.3">
      <c r="A915">
        <v>14</v>
      </c>
      <c r="B915" t="s">
        <v>13</v>
      </c>
      <c r="C915">
        <v>5.0999999999999996</v>
      </c>
      <c r="D915" t="s">
        <v>14</v>
      </c>
      <c r="E915">
        <v>6.3</v>
      </c>
      <c r="F915">
        <v>1.6</v>
      </c>
      <c r="G915">
        <v>2.7</v>
      </c>
      <c r="H915">
        <v>0.1</v>
      </c>
      <c r="I915" t="s">
        <v>19</v>
      </c>
      <c r="J915">
        <v>7</v>
      </c>
      <c r="K915">
        <v>2</v>
      </c>
      <c r="L915">
        <v>7</v>
      </c>
      <c r="M915">
        <v>0</v>
      </c>
      <c r="N915" t="str">
        <f t="shared" si="30"/>
        <v>13-15</v>
      </c>
      <c r="O915" t="str">
        <f t="shared" si="31"/>
        <v>healthy sleep</v>
      </c>
      <c r="P915" s="1" t="str" cm="1">
        <f t="array" ref="P915">_xlfn.IFS(L915&lt;=3,"low",L915&lt;=6,"medium",L915&gt;=7,"high")</f>
        <v>high</v>
      </c>
    </row>
    <row r="916" spans="1:16" x14ac:dyDescent="0.3">
      <c r="A916">
        <v>17</v>
      </c>
      <c r="B916" t="s">
        <v>13</v>
      </c>
      <c r="C916">
        <v>4.8</v>
      </c>
      <c r="D916" t="s">
        <v>17</v>
      </c>
      <c r="E916">
        <v>6</v>
      </c>
      <c r="F916">
        <v>2.1</v>
      </c>
      <c r="G916">
        <v>2.39</v>
      </c>
      <c r="H916">
        <v>1.8</v>
      </c>
      <c r="I916" t="s">
        <v>18</v>
      </c>
      <c r="J916">
        <v>5</v>
      </c>
      <c r="K916">
        <v>8</v>
      </c>
      <c r="L916">
        <v>7</v>
      </c>
      <c r="M916">
        <v>0</v>
      </c>
      <c r="N916" t="str">
        <f t="shared" si="30"/>
        <v>16-19</v>
      </c>
      <c r="O916" t="str">
        <f t="shared" si="31"/>
        <v>low sleep</v>
      </c>
      <c r="P916" s="1" t="str" cm="1">
        <f t="array" ref="P916">_xlfn.IFS(L916&lt;=3,"low",L916&lt;=6,"medium",L916&gt;=7,"high")</f>
        <v>high</v>
      </c>
    </row>
    <row r="917" spans="1:16" x14ac:dyDescent="0.3">
      <c r="A917">
        <v>14</v>
      </c>
      <c r="B917" t="s">
        <v>13</v>
      </c>
      <c r="C917">
        <v>7.5</v>
      </c>
      <c r="D917" t="s">
        <v>20</v>
      </c>
      <c r="E917">
        <v>7.6</v>
      </c>
      <c r="F917">
        <v>2.8</v>
      </c>
      <c r="G917">
        <v>3.1</v>
      </c>
      <c r="H917">
        <v>0.7</v>
      </c>
      <c r="I917" t="s">
        <v>19</v>
      </c>
      <c r="J917">
        <v>3</v>
      </c>
      <c r="K917">
        <v>1</v>
      </c>
      <c r="L917">
        <v>2</v>
      </c>
      <c r="M917">
        <v>0</v>
      </c>
      <c r="N917" t="str">
        <f t="shared" si="30"/>
        <v>13-15</v>
      </c>
      <c r="O917" t="str">
        <f t="shared" si="31"/>
        <v>healthy sleep</v>
      </c>
      <c r="P917" s="1" t="str" cm="1">
        <f t="array" ref="P917">_xlfn.IFS(L917&lt;=3,"low",L917&lt;=6,"medium",L917&gt;=7,"high")</f>
        <v>low</v>
      </c>
    </row>
    <row r="918" spans="1:16" x14ac:dyDescent="0.3">
      <c r="A918">
        <v>19</v>
      </c>
      <c r="B918" t="s">
        <v>13</v>
      </c>
      <c r="C918">
        <v>4.7</v>
      </c>
      <c r="D918" t="s">
        <v>20</v>
      </c>
      <c r="E918">
        <v>8.6999999999999993</v>
      </c>
      <c r="F918">
        <v>2</v>
      </c>
      <c r="G918">
        <v>3.23</v>
      </c>
      <c r="H918">
        <v>1.7</v>
      </c>
      <c r="I918" t="s">
        <v>15</v>
      </c>
      <c r="J918">
        <v>4</v>
      </c>
      <c r="K918">
        <v>10</v>
      </c>
      <c r="L918">
        <v>3</v>
      </c>
      <c r="M918">
        <v>0</v>
      </c>
      <c r="N918" t="str">
        <f t="shared" si="30"/>
        <v>16-19</v>
      </c>
      <c r="O918" t="str">
        <f t="shared" si="31"/>
        <v>healthy sleep</v>
      </c>
      <c r="P918" s="1" t="str" cm="1">
        <f t="array" ref="P918">_xlfn.IFS(L918&lt;=3,"low",L918&lt;=6,"medium",L918&gt;=7,"high")</f>
        <v>low</v>
      </c>
    </row>
    <row r="919" spans="1:16" x14ac:dyDescent="0.3">
      <c r="A919">
        <v>19</v>
      </c>
      <c r="B919" t="s">
        <v>13</v>
      </c>
      <c r="C919">
        <v>3.3</v>
      </c>
      <c r="D919" t="s">
        <v>17</v>
      </c>
      <c r="E919">
        <v>8.5</v>
      </c>
      <c r="F919">
        <v>1.2</v>
      </c>
      <c r="G919">
        <v>3.29</v>
      </c>
      <c r="H919">
        <v>0.5</v>
      </c>
      <c r="I919" t="s">
        <v>19</v>
      </c>
      <c r="J919">
        <v>6</v>
      </c>
      <c r="K919">
        <v>2</v>
      </c>
      <c r="L919">
        <v>9</v>
      </c>
      <c r="M919">
        <v>0</v>
      </c>
      <c r="N919" t="str">
        <f t="shared" si="30"/>
        <v>16-19</v>
      </c>
      <c r="O919" t="str">
        <f t="shared" si="31"/>
        <v>healthy sleep</v>
      </c>
      <c r="P919" s="1" t="str" cm="1">
        <f t="array" ref="P919">_xlfn.IFS(L919&lt;=3,"low",L919&lt;=6,"medium",L919&gt;=7,"high")</f>
        <v>high</v>
      </c>
    </row>
    <row r="920" spans="1:16" x14ac:dyDescent="0.3">
      <c r="A920">
        <v>16</v>
      </c>
      <c r="B920" t="s">
        <v>16</v>
      </c>
      <c r="C920">
        <v>6.9</v>
      </c>
      <c r="D920" t="s">
        <v>14</v>
      </c>
      <c r="E920">
        <v>5.8</v>
      </c>
      <c r="F920">
        <v>0.6</v>
      </c>
      <c r="G920">
        <v>3.65</v>
      </c>
      <c r="H920">
        <v>0.5</v>
      </c>
      <c r="I920" t="s">
        <v>18</v>
      </c>
      <c r="J920">
        <v>10</v>
      </c>
      <c r="K920">
        <v>8</v>
      </c>
      <c r="L920">
        <v>10</v>
      </c>
      <c r="M920">
        <v>1</v>
      </c>
      <c r="N920" t="str">
        <f t="shared" si="30"/>
        <v>16-19</v>
      </c>
      <c r="O920" t="str">
        <f t="shared" si="31"/>
        <v>low sleep</v>
      </c>
      <c r="P920" s="1" t="str" cm="1">
        <f t="array" ref="P920">_xlfn.IFS(L920&lt;=3,"low",L920&lt;=6,"medium",L920&gt;=7,"high")</f>
        <v>high</v>
      </c>
    </row>
    <row r="921" spans="1:16" x14ac:dyDescent="0.3">
      <c r="A921">
        <v>15</v>
      </c>
      <c r="B921" t="s">
        <v>13</v>
      </c>
      <c r="C921">
        <v>5.4</v>
      </c>
      <c r="D921" t="s">
        <v>14</v>
      </c>
      <c r="E921">
        <v>4.2</v>
      </c>
      <c r="F921">
        <v>1.5</v>
      </c>
      <c r="G921">
        <v>2.72</v>
      </c>
      <c r="H921">
        <v>0.4</v>
      </c>
      <c r="I921" t="s">
        <v>18</v>
      </c>
      <c r="J921">
        <v>1</v>
      </c>
      <c r="K921">
        <v>6</v>
      </c>
      <c r="L921">
        <v>5</v>
      </c>
      <c r="M921">
        <v>0</v>
      </c>
      <c r="N921" t="str">
        <f t="shared" si="30"/>
        <v>13-15</v>
      </c>
      <c r="O921" t="str">
        <f t="shared" si="31"/>
        <v>low sleep</v>
      </c>
      <c r="P921" s="1" t="str" cm="1">
        <f t="array" ref="P921">_xlfn.IFS(L921&lt;=3,"low",L921&lt;=6,"medium",L921&gt;=7,"high")</f>
        <v>medium</v>
      </c>
    </row>
    <row r="922" spans="1:16" x14ac:dyDescent="0.3">
      <c r="A922">
        <v>13</v>
      </c>
      <c r="B922" t="s">
        <v>16</v>
      </c>
      <c r="C922">
        <v>5.2</v>
      </c>
      <c r="D922" t="s">
        <v>20</v>
      </c>
      <c r="E922">
        <v>7.7</v>
      </c>
      <c r="F922">
        <v>2.7</v>
      </c>
      <c r="G922">
        <v>2.84</v>
      </c>
      <c r="H922">
        <v>0.8</v>
      </c>
      <c r="I922" t="s">
        <v>18</v>
      </c>
      <c r="J922">
        <v>2</v>
      </c>
      <c r="K922">
        <v>5</v>
      </c>
      <c r="L922">
        <v>5</v>
      </c>
      <c r="M922">
        <v>0</v>
      </c>
      <c r="N922" t="str">
        <f t="shared" si="30"/>
        <v>13-15</v>
      </c>
      <c r="O922" t="str">
        <f t="shared" si="31"/>
        <v>healthy sleep</v>
      </c>
      <c r="P922" s="1" t="str" cm="1">
        <f t="array" ref="P922">_xlfn.IFS(L922&lt;=3,"low",L922&lt;=6,"medium",L922&gt;=7,"high")</f>
        <v>medium</v>
      </c>
    </row>
    <row r="923" spans="1:16" x14ac:dyDescent="0.3">
      <c r="A923">
        <v>15</v>
      </c>
      <c r="B923" t="s">
        <v>16</v>
      </c>
      <c r="C923">
        <v>3.3</v>
      </c>
      <c r="D923" t="s">
        <v>14</v>
      </c>
      <c r="E923">
        <v>6.5</v>
      </c>
      <c r="F923">
        <v>1.3</v>
      </c>
      <c r="G923">
        <v>2.44</v>
      </c>
      <c r="H923">
        <v>0.3</v>
      </c>
      <c r="I923" t="s">
        <v>19</v>
      </c>
      <c r="J923">
        <v>7</v>
      </c>
      <c r="K923">
        <v>6</v>
      </c>
      <c r="L923">
        <v>7</v>
      </c>
      <c r="M923">
        <v>0</v>
      </c>
      <c r="N923" t="str">
        <f t="shared" si="30"/>
        <v>13-15</v>
      </c>
      <c r="O923" t="str">
        <f t="shared" si="31"/>
        <v>healthy sleep</v>
      </c>
      <c r="P923" s="1" t="str" cm="1">
        <f t="array" ref="P923">_xlfn.IFS(L923&lt;=3,"low",L923&lt;=6,"medium",L923&gt;=7,"high")</f>
        <v>high</v>
      </c>
    </row>
    <row r="924" spans="1:16" x14ac:dyDescent="0.3">
      <c r="A924">
        <v>15</v>
      </c>
      <c r="B924" t="s">
        <v>16</v>
      </c>
      <c r="C924">
        <v>7.3</v>
      </c>
      <c r="D924" t="s">
        <v>20</v>
      </c>
      <c r="E924">
        <v>7.6</v>
      </c>
      <c r="F924">
        <v>1.9</v>
      </c>
      <c r="G924">
        <v>2.31</v>
      </c>
      <c r="H924">
        <v>0.8</v>
      </c>
      <c r="I924" t="s">
        <v>19</v>
      </c>
      <c r="J924">
        <v>8</v>
      </c>
      <c r="K924">
        <v>7</v>
      </c>
      <c r="L924">
        <v>5</v>
      </c>
      <c r="M924">
        <v>0</v>
      </c>
      <c r="N924" t="str">
        <f t="shared" si="30"/>
        <v>13-15</v>
      </c>
      <c r="O924" t="str">
        <f t="shared" si="31"/>
        <v>healthy sleep</v>
      </c>
      <c r="P924" s="1" t="str" cm="1">
        <f t="array" ref="P924">_xlfn.IFS(L924&lt;=3,"low",L924&lt;=6,"medium",L924&gt;=7,"high")</f>
        <v>medium</v>
      </c>
    </row>
    <row r="925" spans="1:16" x14ac:dyDescent="0.3">
      <c r="A925">
        <v>17</v>
      </c>
      <c r="B925" t="s">
        <v>13</v>
      </c>
      <c r="C925">
        <v>7.6</v>
      </c>
      <c r="D925" t="s">
        <v>20</v>
      </c>
      <c r="E925">
        <v>4.9000000000000004</v>
      </c>
      <c r="F925">
        <v>0.6</v>
      </c>
      <c r="G925">
        <v>2.56</v>
      </c>
      <c r="H925">
        <v>0.8</v>
      </c>
      <c r="I925" t="s">
        <v>15</v>
      </c>
      <c r="J925">
        <v>4</v>
      </c>
      <c r="K925">
        <v>1</v>
      </c>
      <c r="L925">
        <v>9</v>
      </c>
      <c r="M925">
        <v>0</v>
      </c>
      <c r="N925" t="str">
        <f t="shared" si="30"/>
        <v>16-19</v>
      </c>
      <c r="O925" t="str">
        <f t="shared" si="31"/>
        <v>low sleep</v>
      </c>
      <c r="P925" s="1" t="str" cm="1">
        <f t="array" ref="P925">_xlfn.IFS(L925&lt;=3,"low",L925&lt;=6,"medium",L925&gt;=7,"high")</f>
        <v>high</v>
      </c>
    </row>
    <row r="926" spans="1:16" x14ac:dyDescent="0.3">
      <c r="A926">
        <v>17</v>
      </c>
      <c r="B926" t="s">
        <v>13</v>
      </c>
      <c r="C926">
        <v>1.7</v>
      </c>
      <c r="D926" t="s">
        <v>20</v>
      </c>
      <c r="E926">
        <v>7</v>
      </c>
      <c r="F926">
        <v>0.8</v>
      </c>
      <c r="G926">
        <v>3.39</v>
      </c>
      <c r="H926">
        <v>0.9</v>
      </c>
      <c r="I926" t="s">
        <v>18</v>
      </c>
      <c r="J926">
        <v>7</v>
      </c>
      <c r="K926">
        <v>7</v>
      </c>
      <c r="L926">
        <v>10</v>
      </c>
      <c r="M926">
        <v>0</v>
      </c>
      <c r="N926" t="str">
        <f t="shared" si="30"/>
        <v>16-19</v>
      </c>
      <c r="O926" t="str">
        <f t="shared" si="31"/>
        <v>healthy sleep</v>
      </c>
      <c r="P926" s="1" t="str" cm="1">
        <f t="array" ref="P926">_xlfn.IFS(L926&lt;=3,"low",L926&lt;=6,"medium",L926&gt;=7,"high")</f>
        <v>high</v>
      </c>
    </row>
    <row r="927" spans="1:16" x14ac:dyDescent="0.3">
      <c r="A927">
        <v>18</v>
      </c>
      <c r="B927" t="s">
        <v>13</v>
      </c>
      <c r="C927">
        <v>1.5</v>
      </c>
      <c r="D927" t="s">
        <v>20</v>
      </c>
      <c r="E927">
        <v>5.6</v>
      </c>
      <c r="F927">
        <v>2.9</v>
      </c>
      <c r="G927">
        <v>2.57</v>
      </c>
      <c r="H927">
        <v>0.6</v>
      </c>
      <c r="I927" t="s">
        <v>18</v>
      </c>
      <c r="J927">
        <v>5</v>
      </c>
      <c r="K927">
        <v>8</v>
      </c>
      <c r="L927">
        <v>4</v>
      </c>
      <c r="M927">
        <v>0</v>
      </c>
      <c r="N927" t="str">
        <f t="shared" si="30"/>
        <v>16-19</v>
      </c>
      <c r="O927" t="str">
        <f t="shared" si="31"/>
        <v>low sleep</v>
      </c>
      <c r="P927" s="1" t="str" cm="1">
        <f t="array" ref="P927">_xlfn.IFS(L927&lt;=3,"low",L927&lt;=6,"medium",L927&gt;=7,"high")</f>
        <v>medium</v>
      </c>
    </row>
    <row r="928" spans="1:16" x14ac:dyDescent="0.3">
      <c r="A928">
        <v>17</v>
      </c>
      <c r="B928" t="s">
        <v>13</v>
      </c>
      <c r="C928">
        <v>7.3</v>
      </c>
      <c r="D928" t="s">
        <v>20</v>
      </c>
      <c r="E928">
        <v>8.5</v>
      </c>
      <c r="F928">
        <v>1.5</v>
      </c>
      <c r="G928">
        <v>3.54</v>
      </c>
      <c r="H928">
        <v>1.2</v>
      </c>
      <c r="I928" t="s">
        <v>15</v>
      </c>
      <c r="J928">
        <v>3</v>
      </c>
      <c r="K928">
        <v>3</v>
      </c>
      <c r="L928">
        <v>7</v>
      </c>
      <c r="M928">
        <v>0</v>
      </c>
      <c r="N928" t="str">
        <f t="shared" si="30"/>
        <v>16-19</v>
      </c>
      <c r="O928" t="str">
        <f t="shared" si="31"/>
        <v>healthy sleep</v>
      </c>
      <c r="P928" s="1" t="str" cm="1">
        <f t="array" ref="P928">_xlfn.IFS(L928&lt;=3,"low",L928&lt;=6,"medium",L928&gt;=7,"high")</f>
        <v>high</v>
      </c>
    </row>
    <row r="929" spans="1:16" x14ac:dyDescent="0.3">
      <c r="A929">
        <v>14</v>
      </c>
      <c r="B929" t="s">
        <v>13</v>
      </c>
      <c r="C929">
        <v>2.8</v>
      </c>
      <c r="D929" t="s">
        <v>20</v>
      </c>
      <c r="E929">
        <v>6.2</v>
      </c>
      <c r="F929">
        <v>1.2</v>
      </c>
      <c r="G929">
        <v>3.21</v>
      </c>
      <c r="H929">
        <v>1</v>
      </c>
      <c r="I929" t="s">
        <v>15</v>
      </c>
      <c r="J929">
        <v>3</v>
      </c>
      <c r="K929">
        <v>10</v>
      </c>
      <c r="L929">
        <v>6</v>
      </c>
      <c r="M929">
        <v>0</v>
      </c>
      <c r="N929" t="str">
        <f t="shared" si="30"/>
        <v>13-15</v>
      </c>
      <c r="O929" t="str">
        <f t="shared" si="31"/>
        <v>healthy sleep</v>
      </c>
      <c r="P929" s="1" t="str" cm="1">
        <f t="array" ref="P929">_xlfn.IFS(L929&lt;=3,"low",L929&lt;=6,"medium",L929&gt;=7,"high")</f>
        <v>medium</v>
      </c>
    </row>
    <row r="930" spans="1:16" x14ac:dyDescent="0.3">
      <c r="A930">
        <v>15</v>
      </c>
      <c r="B930" t="s">
        <v>13</v>
      </c>
      <c r="C930">
        <v>1.2</v>
      </c>
      <c r="D930" t="s">
        <v>20</v>
      </c>
      <c r="E930">
        <v>7.4</v>
      </c>
      <c r="F930">
        <v>2.7</v>
      </c>
      <c r="G930">
        <v>2.92</v>
      </c>
      <c r="H930">
        <v>1.4</v>
      </c>
      <c r="I930" t="s">
        <v>15</v>
      </c>
      <c r="J930">
        <v>3</v>
      </c>
      <c r="K930">
        <v>7</v>
      </c>
      <c r="L930">
        <v>4</v>
      </c>
      <c r="M930">
        <v>0</v>
      </c>
      <c r="N930" t="str">
        <f t="shared" si="30"/>
        <v>13-15</v>
      </c>
      <c r="O930" t="str">
        <f t="shared" si="31"/>
        <v>healthy sleep</v>
      </c>
      <c r="P930" s="1" t="str" cm="1">
        <f t="array" ref="P930">_xlfn.IFS(L930&lt;=3,"low",L930&lt;=6,"medium",L930&gt;=7,"high")</f>
        <v>medium</v>
      </c>
    </row>
    <row r="931" spans="1:16" x14ac:dyDescent="0.3">
      <c r="A931">
        <v>16</v>
      </c>
      <c r="B931" t="s">
        <v>16</v>
      </c>
      <c r="C931">
        <v>2.5</v>
      </c>
      <c r="D931" t="s">
        <v>17</v>
      </c>
      <c r="E931">
        <v>8.9</v>
      </c>
      <c r="F931">
        <v>1.2</v>
      </c>
      <c r="G931">
        <v>3.33</v>
      </c>
      <c r="H931">
        <v>1.5</v>
      </c>
      <c r="I931" t="s">
        <v>18</v>
      </c>
      <c r="J931">
        <v>4</v>
      </c>
      <c r="K931">
        <v>4</v>
      </c>
      <c r="L931">
        <v>10</v>
      </c>
      <c r="M931">
        <v>0</v>
      </c>
      <c r="N931" t="str">
        <f t="shared" si="30"/>
        <v>16-19</v>
      </c>
      <c r="O931" t="str">
        <f t="shared" si="31"/>
        <v>healthy sleep</v>
      </c>
      <c r="P931" s="1" t="str" cm="1">
        <f t="array" ref="P931">_xlfn.IFS(L931&lt;=3,"low",L931&lt;=6,"medium",L931&gt;=7,"high")</f>
        <v>high</v>
      </c>
    </row>
    <row r="932" spans="1:16" x14ac:dyDescent="0.3">
      <c r="A932">
        <v>17</v>
      </c>
      <c r="B932" t="s">
        <v>13</v>
      </c>
      <c r="C932">
        <v>4.8</v>
      </c>
      <c r="D932" t="s">
        <v>17</v>
      </c>
      <c r="E932">
        <v>5.6</v>
      </c>
      <c r="F932">
        <v>1.6</v>
      </c>
      <c r="G932">
        <v>2</v>
      </c>
      <c r="H932">
        <v>1.3</v>
      </c>
      <c r="I932" t="s">
        <v>15</v>
      </c>
      <c r="J932">
        <v>3</v>
      </c>
      <c r="K932">
        <v>8</v>
      </c>
      <c r="L932">
        <v>4</v>
      </c>
      <c r="M932">
        <v>0</v>
      </c>
      <c r="N932" t="str">
        <f t="shared" si="30"/>
        <v>16-19</v>
      </c>
      <c r="O932" t="str">
        <f t="shared" si="31"/>
        <v>low sleep</v>
      </c>
      <c r="P932" s="1" t="str" cm="1">
        <f t="array" ref="P932">_xlfn.IFS(L932&lt;=3,"low",L932&lt;=6,"medium",L932&gt;=7,"high")</f>
        <v>medium</v>
      </c>
    </row>
    <row r="933" spans="1:16" x14ac:dyDescent="0.3">
      <c r="A933">
        <v>18</v>
      </c>
      <c r="B933" t="s">
        <v>16</v>
      </c>
      <c r="C933">
        <v>6.4</v>
      </c>
      <c r="D933" t="s">
        <v>20</v>
      </c>
      <c r="E933">
        <v>4.2</v>
      </c>
      <c r="F933">
        <v>1.1000000000000001</v>
      </c>
      <c r="G933">
        <v>2.68</v>
      </c>
      <c r="H933">
        <v>0.3</v>
      </c>
      <c r="I933" t="s">
        <v>18</v>
      </c>
      <c r="J933">
        <v>10</v>
      </c>
      <c r="K933">
        <v>9</v>
      </c>
      <c r="L933">
        <v>4</v>
      </c>
      <c r="M933">
        <v>1</v>
      </c>
      <c r="N933" t="str">
        <f t="shared" si="30"/>
        <v>16-19</v>
      </c>
      <c r="O933" t="str">
        <f t="shared" si="31"/>
        <v>low sleep</v>
      </c>
      <c r="P933" s="1" t="str" cm="1">
        <f t="array" ref="P933">_xlfn.IFS(L933&lt;=3,"low",L933&lt;=6,"medium",L933&gt;=7,"high")</f>
        <v>medium</v>
      </c>
    </row>
    <row r="934" spans="1:16" x14ac:dyDescent="0.3">
      <c r="A934">
        <v>16</v>
      </c>
      <c r="B934" t="s">
        <v>16</v>
      </c>
      <c r="C934">
        <v>6.6</v>
      </c>
      <c r="D934" t="s">
        <v>14</v>
      </c>
      <c r="E934">
        <v>6.1</v>
      </c>
      <c r="F934">
        <v>1.7</v>
      </c>
      <c r="G934">
        <v>2.67</v>
      </c>
      <c r="H934">
        <v>1.8</v>
      </c>
      <c r="I934" t="s">
        <v>15</v>
      </c>
      <c r="J934">
        <v>10</v>
      </c>
      <c r="K934">
        <v>8</v>
      </c>
      <c r="L934">
        <v>2</v>
      </c>
      <c r="M934">
        <v>0</v>
      </c>
      <c r="N934" t="str">
        <f t="shared" si="30"/>
        <v>16-19</v>
      </c>
      <c r="O934" t="str">
        <f t="shared" si="31"/>
        <v>healthy sleep</v>
      </c>
      <c r="P934" s="1" t="str" cm="1">
        <f t="array" ref="P934">_xlfn.IFS(L934&lt;=3,"low",L934&lt;=6,"medium",L934&gt;=7,"high")</f>
        <v>low</v>
      </c>
    </row>
    <row r="935" spans="1:16" x14ac:dyDescent="0.3">
      <c r="A935">
        <v>14</v>
      </c>
      <c r="B935" t="s">
        <v>16</v>
      </c>
      <c r="C935">
        <v>3.5</v>
      </c>
      <c r="D935" t="s">
        <v>20</v>
      </c>
      <c r="E935">
        <v>5.7</v>
      </c>
      <c r="F935">
        <v>2.4</v>
      </c>
      <c r="G935">
        <v>3.46</v>
      </c>
      <c r="H935">
        <v>0.9</v>
      </c>
      <c r="I935" t="s">
        <v>15</v>
      </c>
      <c r="J935">
        <v>8</v>
      </c>
      <c r="K935">
        <v>4</v>
      </c>
      <c r="L935">
        <v>10</v>
      </c>
      <c r="M935">
        <v>0</v>
      </c>
      <c r="N935" t="str">
        <f t="shared" si="30"/>
        <v>13-15</v>
      </c>
      <c r="O935" t="str">
        <f t="shared" si="31"/>
        <v>low sleep</v>
      </c>
      <c r="P935" s="1" t="str" cm="1">
        <f t="array" ref="P935">_xlfn.IFS(L935&lt;=3,"low",L935&lt;=6,"medium",L935&gt;=7,"high")</f>
        <v>high</v>
      </c>
    </row>
    <row r="936" spans="1:16" x14ac:dyDescent="0.3">
      <c r="A936">
        <v>14</v>
      </c>
      <c r="B936" t="s">
        <v>16</v>
      </c>
      <c r="C936">
        <v>2.4</v>
      </c>
      <c r="D936" t="s">
        <v>17</v>
      </c>
      <c r="E936">
        <v>6.3</v>
      </c>
      <c r="F936">
        <v>2.8</v>
      </c>
      <c r="G936">
        <v>2.41</v>
      </c>
      <c r="H936">
        <v>0.7</v>
      </c>
      <c r="I936" t="s">
        <v>15</v>
      </c>
      <c r="J936">
        <v>9</v>
      </c>
      <c r="K936">
        <v>5</v>
      </c>
      <c r="L936">
        <v>2</v>
      </c>
      <c r="M936">
        <v>0</v>
      </c>
      <c r="N936" t="str">
        <f t="shared" si="30"/>
        <v>13-15</v>
      </c>
      <c r="O936" t="str">
        <f t="shared" si="31"/>
        <v>healthy sleep</v>
      </c>
      <c r="P936" s="1" t="str" cm="1">
        <f t="array" ref="P936">_xlfn.IFS(L936&lt;=3,"low",L936&lt;=6,"medium",L936&gt;=7,"high")</f>
        <v>low</v>
      </c>
    </row>
    <row r="937" spans="1:16" x14ac:dyDescent="0.3">
      <c r="A937">
        <v>13</v>
      </c>
      <c r="B937" t="s">
        <v>13</v>
      </c>
      <c r="C937">
        <v>5.9</v>
      </c>
      <c r="D937" t="s">
        <v>14</v>
      </c>
      <c r="E937">
        <v>4.3</v>
      </c>
      <c r="F937">
        <v>0.8</v>
      </c>
      <c r="G937">
        <v>3.41</v>
      </c>
      <c r="H937">
        <v>1.1000000000000001</v>
      </c>
      <c r="I937" t="s">
        <v>19</v>
      </c>
      <c r="J937">
        <v>4</v>
      </c>
      <c r="K937">
        <v>3</v>
      </c>
      <c r="L937">
        <v>2</v>
      </c>
      <c r="M937">
        <v>0</v>
      </c>
      <c r="N937" t="str">
        <f t="shared" si="30"/>
        <v>13-15</v>
      </c>
      <c r="O937" t="str">
        <f t="shared" si="31"/>
        <v>low sleep</v>
      </c>
      <c r="P937" s="1" t="str" cm="1">
        <f t="array" ref="P937">_xlfn.IFS(L937&lt;=3,"low",L937&lt;=6,"medium",L937&gt;=7,"high")</f>
        <v>low</v>
      </c>
    </row>
    <row r="938" spans="1:16" x14ac:dyDescent="0.3">
      <c r="A938">
        <v>19</v>
      </c>
      <c r="B938" t="s">
        <v>16</v>
      </c>
      <c r="C938">
        <v>7.4</v>
      </c>
      <c r="D938" t="s">
        <v>14</v>
      </c>
      <c r="E938">
        <v>5</v>
      </c>
      <c r="F938">
        <v>2</v>
      </c>
      <c r="G938">
        <v>2.68</v>
      </c>
      <c r="H938">
        <v>1.2</v>
      </c>
      <c r="I938" t="s">
        <v>15</v>
      </c>
      <c r="J938">
        <v>1</v>
      </c>
      <c r="K938">
        <v>6</v>
      </c>
      <c r="L938">
        <v>8</v>
      </c>
      <c r="M938">
        <v>0</v>
      </c>
      <c r="N938" t="str">
        <f t="shared" si="30"/>
        <v>16-19</v>
      </c>
      <c r="O938" t="str">
        <f t="shared" si="31"/>
        <v>low sleep</v>
      </c>
      <c r="P938" s="1" t="str" cm="1">
        <f t="array" ref="P938">_xlfn.IFS(L938&lt;=3,"low",L938&lt;=6,"medium",L938&gt;=7,"high")</f>
        <v>high</v>
      </c>
    </row>
    <row r="939" spans="1:16" x14ac:dyDescent="0.3">
      <c r="A939">
        <v>15</v>
      </c>
      <c r="B939" t="s">
        <v>16</v>
      </c>
      <c r="C939">
        <v>4.5999999999999996</v>
      </c>
      <c r="D939" t="s">
        <v>17</v>
      </c>
      <c r="E939">
        <v>5.3</v>
      </c>
      <c r="F939">
        <v>3</v>
      </c>
      <c r="G939">
        <v>3.25</v>
      </c>
      <c r="H939">
        <v>0.2</v>
      </c>
      <c r="I939" t="s">
        <v>15</v>
      </c>
      <c r="J939">
        <v>1</v>
      </c>
      <c r="K939">
        <v>8</v>
      </c>
      <c r="L939">
        <v>7</v>
      </c>
      <c r="M939">
        <v>0</v>
      </c>
      <c r="N939" t="str">
        <f t="shared" si="30"/>
        <v>13-15</v>
      </c>
      <c r="O939" t="str">
        <f t="shared" si="31"/>
        <v>low sleep</v>
      </c>
      <c r="P939" s="1" t="str" cm="1">
        <f t="array" ref="P939">_xlfn.IFS(L939&lt;=3,"low",L939&lt;=6,"medium",L939&gt;=7,"high")</f>
        <v>high</v>
      </c>
    </row>
    <row r="940" spans="1:16" x14ac:dyDescent="0.3">
      <c r="A940">
        <v>17</v>
      </c>
      <c r="B940" t="s">
        <v>13</v>
      </c>
      <c r="C940">
        <v>7.3</v>
      </c>
      <c r="D940" t="s">
        <v>14</v>
      </c>
      <c r="E940">
        <v>5.8</v>
      </c>
      <c r="F940">
        <v>2.9</v>
      </c>
      <c r="G940">
        <v>3.93</v>
      </c>
      <c r="H940">
        <v>0.9</v>
      </c>
      <c r="I940" t="s">
        <v>19</v>
      </c>
      <c r="J940">
        <v>6</v>
      </c>
      <c r="K940">
        <v>2</v>
      </c>
      <c r="L940">
        <v>9</v>
      </c>
      <c r="M940">
        <v>0</v>
      </c>
      <c r="N940" t="str">
        <f t="shared" si="30"/>
        <v>16-19</v>
      </c>
      <c r="O940" t="str">
        <f t="shared" si="31"/>
        <v>low sleep</v>
      </c>
      <c r="P940" s="1" t="str" cm="1">
        <f t="array" ref="P940">_xlfn.IFS(L940&lt;=3,"low",L940&lt;=6,"medium",L940&gt;=7,"high")</f>
        <v>high</v>
      </c>
    </row>
    <row r="941" spans="1:16" x14ac:dyDescent="0.3">
      <c r="A941">
        <v>17</v>
      </c>
      <c r="B941" t="s">
        <v>16</v>
      </c>
      <c r="C941">
        <v>2.9</v>
      </c>
      <c r="D941" t="s">
        <v>17</v>
      </c>
      <c r="E941">
        <v>4.5</v>
      </c>
      <c r="F941">
        <v>0.9</v>
      </c>
      <c r="G941">
        <v>3.71</v>
      </c>
      <c r="H941">
        <v>0.1</v>
      </c>
      <c r="I941" t="s">
        <v>15</v>
      </c>
      <c r="J941">
        <v>1</v>
      </c>
      <c r="K941">
        <v>6</v>
      </c>
      <c r="L941">
        <v>4</v>
      </c>
      <c r="M941">
        <v>0</v>
      </c>
      <c r="N941" t="str">
        <f t="shared" si="30"/>
        <v>16-19</v>
      </c>
      <c r="O941" t="str">
        <f t="shared" si="31"/>
        <v>low sleep</v>
      </c>
      <c r="P941" s="1" t="str" cm="1">
        <f t="array" ref="P941">_xlfn.IFS(L941&lt;=3,"low",L941&lt;=6,"medium",L941&gt;=7,"high")</f>
        <v>medium</v>
      </c>
    </row>
    <row r="942" spans="1:16" x14ac:dyDescent="0.3">
      <c r="A942">
        <v>19</v>
      </c>
      <c r="B942" t="s">
        <v>13</v>
      </c>
      <c r="C942">
        <v>5.3</v>
      </c>
      <c r="D942" t="s">
        <v>17</v>
      </c>
      <c r="E942">
        <v>8.4</v>
      </c>
      <c r="F942">
        <v>0.6</v>
      </c>
      <c r="G942">
        <v>3.08</v>
      </c>
      <c r="H942">
        <v>0.4</v>
      </c>
      <c r="I942" t="s">
        <v>19</v>
      </c>
      <c r="J942">
        <v>9</v>
      </c>
      <c r="K942">
        <v>4</v>
      </c>
      <c r="L942">
        <v>6</v>
      </c>
      <c r="M942">
        <v>0</v>
      </c>
      <c r="N942" t="str">
        <f t="shared" si="30"/>
        <v>16-19</v>
      </c>
      <c r="O942" t="str">
        <f t="shared" si="31"/>
        <v>healthy sleep</v>
      </c>
      <c r="P942" s="1" t="str" cm="1">
        <f t="array" ref="P942">_xlfn.IFS(L942&lt;=3,"low",L942&lt;=6,"medium",L942&gt;=7,"high")</f>
        <v>medium</v>
      </c>
    </row>
    <row r="943" spans="1:16" x14ac:dyDescent="0.3">
      <c r="A943">
        <v>17</v>
      </c>
      <c r="B943" t="s">
        <v>16</v>
      </c>
      <c r="C943">
        <v>7.2</v>
      </c>
      <c r="D943" t="s">
        <v>17</v>
      </c>
      <c r="E943">
        <v>8.1999999999999993</v>
      </c>
      <c r="F943">
        <v>2.9</v>
      </c>
      <c r="G943">
        <v>3.69</v>
      </c>
      <c r="H943">
        <v>1</v>
      </c>
      <c r="I943" t="s">
        <v>18</v>
      </c>
      <c r="J943">
        <v>6</v>
      </c>
      <c r="K943">
        <v>2</v>
      </c>
      <c r="L943">
        <v>5</v>
      </c>
      <c r="M943">
        <v>0</v>
      </c>
      <c r="N943" t="str">
        <f t="shared" si="30"/>
        <v>16-19</v>
      </c>
      <c r="O943" t="str">
        <f t="shared" si="31"/>
        <v>healthy sleep</v>
      </c>
      <c r="P943" s="1" t="str" cm="1">
        <f t="array" ref="P943">_xlfn.IFS(L943&lt;=3,"low",L943&lt;=6,"medium",L943&gt;=7,"high")</f>
        <v>medium</v>
      </c>
    </row>
    <row r="944" spans="1:16" x14ac:dyDescent="0.3">
      <c r="A944">
        <v>15</v>
      </c>
      <c r="B944" t="s">
        <v>16</v>
      </c>
      <c r="C944">
        <v>2.6</v>
      </c>
      <c r="D944" t="s">
        <v>20</v>
      </c>
      <c r="E944">
        <v>7.9</v>
      </c>
      <c r="F944">
        <v>1.8</v>
      </c>
      <c r="G944">
        <v>3.91</v>
      </c>
      <c r="H944">
        <v>0.5</v>
      </c>
      <c r="I944" t="s">
        <v>19</v>
      </c>
      <c r="J944">
        <v>4</v>
      </c>
      <c r="K944">
        <v>5</v>
      </c>
      <c r="L944">
        <v>6</v>
      </c>
      <c r="M944">
        <v>0</v>
      </c>
      <c r="N944" t="str">
        <f t="shared" si="30"/>
        <v>13-15</v>
      </c>
      <c r="O944" t="str">
        <f t="shared" si="31"/>
        <v>healthy sleep</v>
      </c>
      <c r="P944" s="1" t="str" cm="1">
        <f t="array" ref="P944">_xlfn.IFS(L944&lt;=3,"low",L944&lt;=6,"medium",L944&gt;=7,"high")</f>
        <v>medium</v>
      </c>
    </row>
    <row r="945" spans="1:16" x14ac:dyDescent="0.3">
      <c r="A945">
        <v>15</v>
      </c>
      <c r="B945" t="s">
        <v>13</v>
      </c>
      <c r="C945">
        <v>3.6</v>
      </c>
      <c r="D945" t="s">
        <v>14</v>
      </c>
      <c r="E945">
        <v>4.8</v>
      </c>
      <c r="F945">
        <v>1</v>
      </c>
      <c r="G945">
        <v>3.71</v>
      </c>
      <c r="H945">
        <v>1.1000000000000001</v>
      </c>
      <c r="I945" t="s">
        <v>19</v>
      </c>
      <c r="J945">
        <v>5</v>
      </c>
      <c r="K945">
        <v>7</v>
      </c>
      <c r="L945">
        <v>4</v>
      </c>
      <c r="M945">
        <v>0</v>
      </c>
      <c r="N945" t="str">
        <f t="shared" si="30"/>
        <v>13-15</v>
      </c>
      <c r="O945" t="str">
        <f t="shared" si="31"/>
        <v>low sleep</v>
      </c>
      <c r="P945" s="1" t="str" cm="1">
        <f t="array" ref="P945">_xlfn.IFS(L945&lt;=3,"low",L945&lt;=6,"medium",L945&gt;=7,"high")</f>
        <v>medium</v>
      </c>
    </row>
    <row r="946" spans="1:16" x14ac:dyDescent="0.3">
      <c r="A946">
        <v>19</v>
      </c>
      <c r="B946" t="s">
        <v>13</v>
      </c>
      <c r="C946">
        <v>3.6</v>
      </c>
      <c r="D946" t="s">
        <v>14</v>
      </c>
      <c r="E946">
        <v>6.5</v>
      </c>
      <c r="F946">
        <v>1.1000000000000001</v>
      </c>
      <c r="G946">
        <v>3.65</v>
      </c>
      <c r="H946">
        <v>1.1000000000000001</v>
      </c>
      <c r="I946" t="s">
        <v>15</v>
      </c>
      <c r="J946">
        <v>5</v>
      </c>
      <c r="K946">
        <v>9</v>
      </c>
      <c r="L946">
        <v>10</v>
      </c>
      <c r="M946">
        <v>0</v>
      </c>
      <c r="N946" t="str">
        <f t="shared" si="30"/>
        <v>16-19</v>
      </c>
      <c r="O946" t="str">
        <f t="shared" si="31"/>
        <v>healthy sleep</v>
      </c>
      <c r="P946" s="1" t="str" cm="1">
        <f t="array" ref="P946">_xlfn.IFS(L946&lt;=3,"low",L946&lt;=6,"medium",L946&gt;=7,"high")</f>
        <v>high</v>
      </c>
    </row>
    <row r="947" spans="1:16" x14ac:dyDescent="0.3">
      <c r="A947">
        <v>15</v>
      </c>
      <c r="B947" t="s">
        <v>16</v>
      </c>
      <c r="C947">
        <v>1.8</v>
      </c>
      <c r="D947" t="s">
        <v>14</v>
      </c>
      <c r="E947">
        <v>5.5</v>
      </c>
      <c r="F947">
        <v>1.6</v>
      </c>
      <c r="G947">
        <v>3.29</v>
      </c>
      <c r="H947">
        <v>1.3</v>
      </c>
      <c r="I947" t="s">
        <v>19</v>
      </c>
      <c r="J947">
        <v>6</v>
      </c>
      <c r="K947">
        <v>5</v>
      </c>
      <c r="L947">
        <v>9</v>
      </c>
      <c r="M947">
        <v>0</v>
      </c>
      <c r="N947" t="str">
        <f t="shared" si="30"/>
        <v>13-15</v>
      </c>
      <c r="O947" t="str">
        <f t="shared" si="31"/>
        <v>low sleep</v>
      </c>
      <c r="P947" s="1" t="str" cm="1">
        <f t="array" ref="P947">_xlfn.IFS(L947&lt;=3,"low",L947&lt;=6,"medium",L947&gt;=7,"high")</f>
        <v>high</v>
      </c>
    </row>
    <row r="948" spans="1:16" x14ac:dyDescent="0.3">
      <c r="A948">
        <v>14</v>
      </c>
      <c r="B948" t="s">
        <v>16</v>
      </c>
      <c r="C948">
        <v>1.8</v>
      </c>
      <c r="D948" t="s">
        <v>14</v>
      </c>
      <c r="E948">
        <v>7.6</v>
      </c>
      <c r="F948">
        <v>1.2</v>
      </c>
      <c r="G948">
        <v>2.84</v>
      </c>
      <c r="H948">
        <v>1.1000000000000001</v>
      </c>
      <c r="I948" t="s">
        <v>18</v>
      </c>
      <c r="J948">
        <v>10</v>
      </c>
      <c r="K948">
        <v>1</v>
      </c>
      <c r="L948">
        <v>3</v>
      </c>
      <c r="M948">
        <v>0</v>
      </c>
      <c r="N948" t="str">
        <f t="shared" si="30"/>
        <v>13-15</v>
      </c>
      <c r="O948" t="str">
        <f t="shared" si="31"/>
        <v>healthy sleep</v>
      </c>
      <c r="P948" s="1" t="str" cm="1">
        <f t="array" ref="P948">_xlfn.IFS(L948&lt;=3,"low",L948&lt;=6,"medium",L948&gt;=7,"high")</f>
        <v>low</v>
      </c>
    </row>
    <row r="949" spans="1:16" x14ac:dyDescent="0.3">
      <c r="A949">
        <v>15</v>
      </c>
      <c r="B949" t="s">
        <v>16</v>
      </c>
      <c r="C949">
        <v>7.4</v>
      </c>
      <c r="D949" t="s">
        <v>20</v>
      </c>
      <c r="E949">
        <v>8.4</v>
      </c>
      <c r="F949">
        <v>1.9</v>
      </c>
      <c r="G949">
        <v>3.73</v>
      </c>
      <c r="H949">
        <v>0.8</v>
      </c>
      <c r="I949" t="s">
        <v>18</v>
      </c>
      <c r="J949">
        <v>9</v>
      </c>
      <c r="K949">
        <v>9</v>
      </c>
      <c r="L949">
        <v>4</v>
      </c>
      <c r="M949">
        <v>0</v>
      </c>
      <c r="N949" t="str">
        <f t="shared" si="30"/>
        <v>13-15</v>
      </c>
      <c r="O949" t="str">
        <f t="shared" si="31"/>
        <v>healthy sleep</v>
      </c>
      <c r="P949" s="1" t="str" cm="1">
        <f t="array" ref="P949">_xlfn.IFS(L949&lt;=3,"low",L949&lt;=6,"medium",L949&gt;=7,"high")</f>
        <v>medium</v>
      </c>
    </row>
    <row r="950" spans="1:16" x14ac:dyDescent="0.3">
      <c r="A950">
        <v>15</v>
      </c>
      <c r="B950" t="s">
        <v>13</v>
      </c>
      <c r="C950">
        <v>4.8</v>
      </c>
      <c r="D950" t="s">
        <v>20</v>
      </c>
      <c r="E950">
        <v>4.3</v>
      </c>
      <c r="F950">
        <v>2.2000000000000002</v>
      </c>
      <c r="G950">
        <v>2.5</v>
      </c>
      <c r="H950">
        <v>0</v>
      </c>
      <c r="I950" t="s">
        <v>19</v>
      </c>
      <c r="J950">
        <v>4</v>
      </c>
      <c r="K950">
        <v>1</v>
      </c>
      <c r="L950">
        <v>4</v>
      </c>
      <c r="M950">
        <v>0</v>
      </c>
      <c r="N950" t="str">
        <f t="shared" si="30"/>
        <v>13-15</v>
      </c>
      <c r="O950" t="str">
        <f t="shared" si="31"/>
        <v>low sleep</v>
      </c>
      <c r="P950" s="1" t="str" cm="1">
        <f t="array" ref="P950">_xlfn.IFS(L950&lt;=3,"low",L950&lt;=6,"medium",L950&gt;=7,"high")</f>
        <v>medium</v>
      </c>
    </row>
    <row r="951" spans="1:16" x14ac:dyDescent="0.3">
      <c r="A951">
        <v>18</v>
      </c>
      <c r="B951" t="s">
        <v>13</v>
      </c>
      <c r="C951">
        <v>2.4</v>
      </c>
      <c r="D951" t="s">
        <v>20</v>
      </c>
      <c r="E951">
        <v>6.8</v>
      </c>
      <c r="F951">
        <v>1</v>
      </c>
      <c r="G951">
        <v>2.86</v>
      </c>
      <c r="H951">
        <v>1.5</v>
      </c>
      <c r="I951" t="s">
        <v>18</v>
      </c>
      <c r="J951">
        <v>9</v>
      </c>
      <c r="K951">
        <v>10</v>
      </c>
      <c r="L951">
        <v>8</v>
      </c>
      <c r="M951">
        <v>0</v>
      </c>
      <c r="N951" t="str">
        <f t="shared" si="30"/>
        <v>16-19</v>
      </c>
      <c r="O951" t="str">
        <f t="shared" si="31"/>
        <v>healthy sleep</v>
      </c>
      <c r="P951" s="1" t="str" cm="1">
        <f t="array" ref="P951">_xlfn.IFS(L951&lt;=3,"low",L951&lt;=6,"medium",L951&gt;=7,"high")</f>
        <v>high</v>
      </c>
    </row>
    <row r="952" spans="1:16" x14ac:dyDescent="0.3">
      <c r="A952">
        <v>15</v>
      </c>
      <c r="B952" t="s">
        <v>13</v>
      </c>
      <c r="C952">
        <v>5.4</v>
      </c>
      <c r="D952" t="s">
        <v>17</v>
      </c>
      <c r="E952">
        <v>5.2</v>
      </c>
      <c r="F952">
        <v>0.6</v>
      </c>
      <c r="G952">
        <v>3.65</v>
      </c>
      <c r="H952">
        <v>1.5</v>
      </c>
      <c r="I952" t="s">
        <v>15</v>
      </c>
      <c r="J952">
        <v>7</v>
      </c>
      <c r="K952">
        <v>9</v>
      </c>
      <c r="L952">
        <v>10</v>
      </c>
      <c r="M952">
        <v>1</v>
      </c>
      <c r="N952" t="str">
        <f t="shared" si="30"/>
        <v>13-15</v>
      </c>
      <c r="O952" t="str">
        <f t="shared" si="31"/>
        <v>low sleep</v>
      </c>
      <c r="P952" s="1" t="str" cm="1">
        <f t="array" ref="P952">_xlfn.IFS(L952&lt;=3,"low",L952&lt;=6,"medium",L952&gt;=7,"high")</f>
        <v>high</v>
      </c>
    </row>
    <row r="953" spans="1:16" x14ac:dyDescent="0.3">
      <c r="A953">
        <v>17</v>
      </c>
      <c r="B953" t="s">
        <v>16</v>
      </c>
      <c r="C953">
        <v>3.5</v>
      </c>
      <c r="D953" t="s">
        <v>20</v>
      </c>
      <c r="E953">
        <v>8.5</v>
      </c>
      <c r="F953">
        <v>2.2000000000000002</v>
      </c>
      <c r="G953">
        <v>2.11</v>
      </c>
      <c r="H953">
        <v>1.3</v>
      </c>
      <c r="I953" t="s">
        <v>19</v>
      </c>
      <c r="J953">
        <v>8</v>
      </c>
      <c r="K953">
        <v>8</v>
      </c>
      <c r="L953">
        <v>2</v>
      </c>
      <c r="M953">
        <v>0</v>
      </c>
      <c r="N953" t="str">
        <f t="shared" si="30"/>
        <v>16-19</v>
      </c>
      <c r="O953" t="str">
        <f t="shared" si="31"/>
        <v>healthy sleep</v>
      </c>
      <c r="P953" s="1" t="str" cm="1">
        <f t="array" ref="P953">_xlfn.IFS(L953&lt;=3,"low",L953&lt;=6,"medium",L953&gt;=7,"high")</f>
        <v>low</v>
      </c>
    </row>
    <row r="954" spans="1:16" x14ac:dyDescent="0.3">
      <c r="A954">
        <v>18</v>
      </c>
      <c r="B954" t="s">
        <v>16</v>
      </c>
      <c r="C954">
        <v>3</v>
      </c>
      <c r="D954" t="s">
        <v>14</v>
      </c>
      <c r="E954">
        <v>5</v>
      </c>
      <c r="F954">
        <v>2</v>
      </c>
      <c r="G954">
        <v>2.4500000000000002</v>
      </c>
      <c r="H954">
        <v>1.2</v>
      </c>
      <c r="I954" t="s">
        <v>19</v>
      </c>
      <c r="J954">
        <v>1</v>
      </c>
      <c r="K954">
        <v>10</v>
      </c>
      <c r="L954">
        <v>7</v>
      </c>
      <c r="M954">
        <v>0</v>
      </c>
      <c r="N954" t="str">
        <f t="shared" si="30"/>
        <v>16-19</v>
      </c>
      <c r="O954" t="str">
        <f t="shared" si="31"/>
        <v>low sleep</v>
      </c>
      <c r="P954" s="1" t="str" cm="1">
        <f t="array" ref="P954">_xlfn.IFS(L954&lt;=3,"low",L954&lt;=6,"medium",L954&gt;=7,"high")</f>
        <v>high</v>
      </c>
    </row>
    <row r="955" spans="1:16" x14ac:dyDescent="0.3">
      <c r="A955">
        <v>13</v>
      </c>
      <c r="B955" t="s">
        <v>16</v>
      </c>
      <c r="C955">
        <v>3.3</v>
      </c>
      <c r="D955" t="s">
        <v>20</v>
      </c>
      <c r="E955">
        <v>7.4</v>
      </c>
      <c r="F955">
        <v>0.9</v>
      </c>
      <c r="G955">
        <v>2.5299999999999998</v>
      </c>
      <c r="H955">
        <v>0.2</v>
      </c>
      <c r="I955" t="s">
        <v>19</v>
      </c>
      <c r="J955">
        <v>4</v>
      </c>
      <c r="K955">
        <v>10</v>
      </c>
      <c r="L955">
        <v>6</v>
      </c>
      <c r="M955">
        <v>0</v>
      </c>
      <c r="N955" t="str">
        <f t="shared" si="30"/>
        <v>13-15</v>
      </c>
      <c r="O955" t="str">
        <f t="shared" si="31"/>
        <v>healthy sleep</v>
      </c>
      <c r="P955" s="1" t="str" cm="1">
        <f t="array" ref="P955">_xlfn.IFS(L955&lt;=3,"low",L955&lt;=6,"medium",L955&gt;=7,"high")</f>
        <v>medium</v>
      </c>
    </row>
    <row r="956" spans="1:16" x14ac:dyDescent="0.3">
      <c r="A956">
        <v>19</v>
      </c>
      <c r="B956" t="s">
        <v>13</v>
      </c>
      <c r="C956">
        <v>5.5</v>
      </c>
      <c r="D956" t="s">
        <v>17</v>
      </c>
      <c r="E956">
        <v>5.0999999999999996</v>
      </c>
      <c r="F956">
        <v>2.7</v>
      </c>
      <c r="G956">
        <v>2.56</v>
      </c>
      <c r="H956">
        <v>1.4</v>
      </c>
      <c r="I956" t="s">
        <v>15</v>
      </c>
      <c r="J956">
        <v>2</v>
      </c>
      <c r="K956">
        <v>3</v>
      </c>
      <c r="L956">
        <v>7</v>
      </c>
      <c r="M956">
        <v>0</v>
      </c>
      <c r="N956" t="str">
        <f t="shared" si="30"/>
        <v>16-19</v>
      </c>
      <c r="O956" t="str">
        <f t="shared" si="31"/>
        <v>low sleep</v>
      </c>
      <c r="P956" s="1" t="str" cm="1">
        <f t="array" ref="P956">_xlfn.IFS(L956&lt;=3,"low",L956&lt;=6,"medium",L956&gt;=7,"high")</f>
        <v>high</v>
      </c>
    </row>
    <row r="957" spans="1:16" x14ac:dyDescent="0.3">
      <c r="A957">
        <v>15</v>
      </c>
      <c r="B957" t="s">
        <v>13</v>
      </c>
      <c r="C957">
        <v>3.8</v>
      </c>
      <c r="D957" t="s">
        <v>20</v>
      </c>
      <c r="E957">
        <v>8.3000000000000007</v>
      </c>
      <c r="F957">
        <v>2.6</v>
      </c>
      <c r="G957">
        <v>3.19</v>
      </c>
      <c r="H957">
        <v>2</v>
      </c>
      <c r="I957" t="s">
        <v>19</v>
      </c>
      <c r="J957">
        <v>1</v>
      </c>
      <c r="K957">
        <v>2</v>
      </c>
      <c r="L957">
        <v>2</v>
      </c>
      <c r="M957">
        <v>0</v>
      </c>
      <c r="N957" t="str">
        <f t="shared" si="30"/>
        <v>13-15</v>
      </c>
      <c r="O957" t="str">
        <f t="shared" si="31"/>
        <v>healthy sleep</v>
      </c>
      <c r="P957" s="1" t="str" cm="1">
        <f t="array" ref="P957">_xlfn.IFS(L957&lt;=3,"low",L957&lt;=6,"medium",L957&gt;=7,"high")</f>
        <v>low</v>
      </c>
    </row>
    <row r="958" spans="1:16" x14ac:dyDescent="0.3">
      <c r="A958">
        <v>17</v>
      </c>
      <c r="B958" t="s">
        <v>13</v>
      </c>
      <c r="C958">
        <v>5.7</v>
      </c>
      <c r="D958" t="s">
        <v>17</v>
      </c>
      <c r="E958">
        <v>8.6999999999999993</v>
      </c>
      <c r="F958">
        <v>2</v>
      </c>
      <c r="G958">
        <v>3.14</v>
      </c>
      <c r="H958">
        <v>1.7</v>
      </c>
      <c r="I958" t="s">
        <v>15</v>
      </c>
      <c r="J958">
        <v>1</v>
      </c>
      <c r="K958">
        <v>9</v>
      </c>
      <c r="L958">
        <v>8</v>
      </c>
      <c r="M958">
        <v>0</v>
      </c>
      <c r="N958" t="str">
        <f t="shared" si="30"/>
        <v>16-19</v>
      </c>
      <c r="O958" t="str">
        <f t="shared" si="31"/>
        <v>healthy sleep</v>
      </c>
      <c r="P958" s="1" t="str" cm="1">
        <f t="array" ref="P958">_xlfn.IFS(L958&lt;=3,"low",L958&lt;=6,"medium",L958&gt;=7,"high")</f>
        <v>high</v>
      </c>
    </row>
    <row r="959" spans="1:16" x14ac:dyDescent="0.3">
      <c r="A959">
        <v>13</v>
      </c>
      <c r="B959" t="s">
        <v>16</v>
      </c>
      <c r="C959">
        <v>4.7</v>
      </c>
      <c r="D959" t="s">
        <v>17</v>
      </c>
      <c r="E959">
        <v>8</v>
      </c>
      <c r="F959">
        <v>1.1000000000000001</v>
      </c>
      <c r="G959">
        <v>2.37</v>
      </c>
      <c r="H959">
        <v>0.2</v>
      </c>
      <c r="I959" t="s">
        <v>15</v>
      </c>
      <c r="J959">
        <v>5</v>
      </c>
      <c r="K959">
        <v>10</v>
      </c>
      <c r="L959">
        <v>6</v>
      </c>
      <c r="M959">
        <v>0</v>
      </c>
      <c r="N959" t="str">
        <f t="shared" si="30"/>
        <v>13-15</v>
      </c>
      <c r="O959" t="str">
        <f t="shared" si="31"/>
        <v>healthy sleep</v>
      </c>
      <c r="P959" s="1" t="str" cm="1">
        <f t="array" ref="P959">_xlfn.IFS(L959&lt;=3,"low",L959&lt;=6,"medium",L959&gt;=7,"high")</f>
        <v>medium</v>
      </c>
    </row>
    <row r="960" spans="1:16" x14ac:dyDescent="0.3">
      <c r="A960">
        <v>17</v>
      </c>
      <c r="B960" t="s">
        <v>16</v>
      </c>
      <c r="C960">
        <v>4</v>
      </c>
      <c r="D960" t="s">
        <v>14</v>
      </c>
      <c r="E960">
        <v>6.7</v>
      </c>
      <c r="F960">
        <v>0.6</v>
      </c>
      <c r="G960">
        <v>2.5099999999999998</v>
      </c>
      <c r="H960">
        <v>1.5</v>
      </c>
      <c r="I960" t="s">
        <v>18</v>
      </c>
      <c r="J960">
        <v>9</v>
      </c>
      <c r="K960">
        <v>8</v>
      </c>
      <c r="L960">
        <v>5</v>
      </c>
      <c r="M960">
        <v>0</v>
      </c>
      <c r="N960" t="str">
        <f t="shared" si="30"/>
        <v>16-19</v>
      </c>
      <c r="O960" t="str">
        <f t="shared" si="31"/>
        <v>healthy sleep</v>
      </c>
      <c r="P960" s="1" t="str" cm="1">
        <f t="array" ref="P960">_xlfn.IFS(L960&lt;=3,"low",L960&lt;=6,"medium",L960&gt;=7,"high")</f>
        <v>medium</v>
      </c>
    </row>
    <row r="961" spans="1:16" x14ac:dyDescent="0.3">
      <c r="A961">
        <v>16</v>
      </c>
      <c r="B961" t="s">
        <v>13</v>
      </c>
      <c r="C961">
        <v>5.3</v>
      </c>
      <c r="D961" t="s">
        <v>17</v>
      </c>
      <c r="E961">
        <v>6.8</v>
      </c>
      <c r="F961">
        <v>0.7</v>
      </c>
      <c r="G961">
        <v>3.9</v>
      </c>
      <c r="H961">
        <v>1.5</v>
      </c>
      <c r="I961" t="s">
        <v>15</v>
      </c>
      <c r="J961">
        <v>5</v>
      </c>
      <c r="K961">
        <v>8</v>
      </c>
      <c r="L961">
        <v>3</v>
      </c>
      <c r="M961">
        <v>0</v>
      </c>
      <c r="N961" t="str">
        <f t="shared" si="30"/>
        <v>16-19</v>
      </c>
      <c r="O961" t="str">
        <f t="shared" si="31"/>
        <v>healthy sleep</v>
      </c>
      <c r="P961" s="1" t="str" cm="1">
        <f t="array" ref="P961">_xlfn.IFS(L961&lt;=3,"low",L961&lt;=6,"medium",L961&gt;=7,"high")</f>
        <v>low</v>
      </c>
    </row>
    <row r="962" spans="1:16" x14ac:dyDescent="0.3">
      <c r="A962">
        <v>17</v>
      </c>
      <c r="B962" t="s">
        <v>13</v>
      </c>
      <c r="C962">
        <v>3.8</v>
      </c>
      <c r="D962" t="s">
        <v>14</v>
      </c>
      <c r="E962">
        <v>4.7</v>
      </c>
      <c r="F962">
        <v>1.2</v>
      </c>
      <c r="G962">
        <v>3.7</v>
      </c>
      <c r="H962">
        <v>1.4</v>
      </c>
      <c r="I962" t="s">
        <v>18</v>
      </c>
      <c r="J962">
        <v>2</v>
      </c>
      <c r="K962">
        <v>2</v>
      </c>
      <c r="L962">
        <v>5</v>
      </c>
      <c r="M962">
        <v>0</v>
      </c>
      <c r="N962" t="str">
        <f t="shared" si="30"/>
        <v>16-19</v>
      </c>
      <c r="O962" t="str">
        <f t="shared" si="31"/>
        <v>low sleep</v>
      </c>
      <c r="P962" s="1" t="str" cm="1">
        <f t="array" ref="P962">_xlfn.IFS(L962&lt;=3,"low",L962&lt;=6,"medium",L962&gt;=7,"high")</f>
        <v>medium</v>
      </c>
    </row>
    <row r="963" spans="1:16" x14ac:dyDescent="0.3">
      <c r="A963">
        <v>16</v>
      </c>
      <c r="B963" t="s">
        <v>16</v>
      </c>
      <c r="C963">
        <v>6</v>
      </c>
      <c r="D963" t="s">
        <v>20</v>
      </c>
      <c r="E963">
        <v>4.0999999999999996</v>
      </c>
      <c r="F963">
        <v>2.4</v>
      </c>
      <c r="G963">
        <v>2.61</v>
      </c>
      <c r="H963">
        <v>1.1000000000000001</v>
      </c>
      <c r="I963" t="s">
        <v>18</v>
      </c>
      <c r="J963">
        <v>1</v>
      </c>
      <c r="K963">
        <v>6</v>
      </c>
      <c r="L963">
        <v>3</v>
      </c>
      <c r="M963">
        <v>0</v>
      </c>
      <c r="N963" t="str">
        <f t="shared" ref="N963:N1026" si="32">IF(A963&lt;=15,"13-15","16-19")</f>
        <v>16-19</v>
      </c>
      <c r="O963" t="str">
        <f t="shared" ref="O963:O1026" si="33">IF(E963&lt;=6,"low sleep","healthy sleep")</f>
        <v>low sleep</v>
      </c>
      <c r="P963" s="1" t="str" cm="1">
        <f t="array" ref="P963">_xlfn.IFS(L963&lt;=3,"low",L963&lt;=6,"medium",L963&gt;=7,"high")</f>
        <v>low</v>
      </c>
    </row>
    <row r="964" spans="1:16" x14ac:dyDescent="0.3">
      <c r="A964">
        <v>15</v>
      </c>
      <c r="B964" t="s">
        <v>13</v>
      </c>
      <c r="C964">
        <v>2.2000000000000002</v>
      </c>
      <c r="D964" t="s">
        <v>20</v>
      </c>
      <c r="E964">
        <v>4.5</v>
      </c>
      <c r="F964">
        <v>1.3</v>
      </c>
      <c r="G964">
        <v>2.63</v>
      </c>
      <c r="H964">
        <v>1.7</v>
      </c>
      <c r="I964" t="s">
        <v>15</v>
      </c>
      <c r="J964">
        <v>10</v>
      </c>
      <c r="K964">
        <v>2</v>
      </c>
      <c r="L964">
        <v>6</v>
      </c>
      <c r="M964">
        <v>0</v>
      </c>
      <c r="N964" t="str">
        <f t="shared" si="32"/>
        <v>13-15</v>
      </c>
      <c r="O964" t="str">
        <f t="shared" si="33"/>
        <v>low sleep</v>
      </c>
      <c r="P964" s="1" t="str" cm="1">
        <f t="array" ref="P964">_xlfn.IFS(L964&lt;=3,"low",L964&lt;=6,"medium",L964&gt;=7,"high")</f>
        <v>medium</v>
      </c>
    </row>
    <row r="965" spans="1:16" x14ac:dyDescent="0.3">
      <c r="A965">
        <v>18</v>
      </c>
      <c r="B965" t="s">
        <v>13</v>
      </c>
      <c r="C965">
        <v>4.3</v>
      </c>
      <c r="D965" t="s">
        <v>17</v>
      </c>
      <c r="E965">
        <v>8.4</v>
      </c>
      <c r="F965">
        <v>2.1</v>
      </c>
      <c r="G965">
        <v>2.69</v>
      </c>
      <c r="H965">
        <v>0.2</v>
      </c>
      <c r="I965" t="s">
        <v>15</v>
      </c>
      <c r="J965">
        <v>1</v>
      </c>
      <c r="K965">
        <v>10</v>
      </c>
      <c r="L965">
        <v>8</v>
      </c>
      <c r="M965">
        <v>0</v>
      </c>
      <c r="N965" t="str">
        <f t="shared" si="32"/>
        <v>16-19</v>
      </c>
      <c r="O965" t="str">
        <f t="shared" si="33"/>
        <v>healthy sleep</v>
      </c>
      <c r="P965" s="1" t="str" cm="1">
        <f t="array" ref="P965">_xlfn.IFS(L965&lt;=3,"low",L965&lt;=6,"medium",L965&gt;=7,"high")</f>
        <v>high</v>
      </c>
    </row>
    <row r="966" spans="1:16" x14ac:dyDescent="0.3">
      <c r="A966">
        <v>19</v>
      </c>
      <c r="B966" t="s">
        <v>16</v>
      </c>
      <c r="C966">
        <v>7.5</v>
      </c>
      <c r="D966" t="s">
        <v>17</v>
      </c>
      <c r="E966">
        <v>4.5</v>
      </c>
      <c r="F966">
        <v>2.7</v>
      </c>
      <c r="G966">
        <v>2.41</v>
      </c>
      <c r="H966">
        <v>1</v>
      </c>
      <c r="I966" t="s">
        <v>18</v>
      </c>
      <c r="J966">
        <v>3</v>
      </c>
      <c r="K966">
        <v>2</v>
      </c>
      <c r="L966">
        <v>6</v>
      </c>
      <c r="M966">
        <v>0</v>
      </c>
      <c r="N966" t="str">
        <f t="shared" si="32"/>
        <v>16-19</v>
      </c>
      <c r="O966" t="str">
        <f t="shared" si="33"/>
        <v>low sleep</v>
      </c>
      <c r="P966" s="1" t="str" cm="1">
        <f t="array" ref="P966">_xlfn.IFS(L966&lt;=3,"low",L966&lt;=6,"medium",L966&gt;=7,"high")</f>
        <v>medium</v>
      </c>
    </row>
    <row r="967" spans="1:16" x14ac:dyDescent="0.3">
      <c r="A967">
        <v>14</v>
      </c>
      <c r="B967" t="s">
        <v>13</v>
      </c>
      <c r="C967">
        <v>5.3</v>
      </c>
      <c r="D967" t="s">
        <v>14</v>
      </c>
      <c r="E967">
        <v>6.8</v>
      </c>
      <c r="F967">
        <v>2.9</v>
      </c>
      <c r="G967">
        <v>2.1800000000000002</v>
      </c>
      <c r="H967">
        <v>0.8</v>
      </c>
      <c r="I967" t="s">
        <v>19</v>
      </c>
      <c r="J967">
        <v>10</v>
      </c>
      <c r="K967">
        <v>1</v>
      </c>
      <c r="L967">
        <v>6</v>
      </c>
      <c r="M967">
        <v>0</v>
      </c>
      <c r="N967" t="str">
        <f t="shared" si="32"/>
        <v>13-15</v>
      </c>
      <c r="O967" t="str">
        <f t="shared" si="33"/>
        <v>healthy sleep</v>
      </c>
      <c r="P967" s="1" t="str" cm="1">
        <f t="array" ref="P967">_xlfn.IFS(L967&lt;=3,"low",L967&lt;=6,"medium",L967&gt;=7,"high")</f>
        <v>medium</v>
      </c>
    </row>
    <row r="968" spans="1:16" x14ac:dyDescent="0.3">
      <c r="A968">
        <v>14</v>
      </c>
      <c r="B968" t="s">
        <v>16</v>
      </c>
      <c r="C968">
        <v>7</v>
      </c>
      <c r="D968" t="s">
        <v>14</v>
      </c>
      <c r="E968">
        <v>6.9</v>
      </c>
      <c r="F968">
        <v>2.1</v>
      </c>
      <c r="G968">
        <v>3.42</v>
      </c>
      <c r="H968">
        <v>1.1000000000000001</v>
      </c>
      <c r="I968" t="s">
        <v>18</v>
      </c>
      <c r="J968">
        <v>10</v>
      </c>
      <c r="K968">
        <v>3</v>
      </c>
      <c r="L968">
        <v>6</v>
      </c>
      <c r="M968">
        <v>0</v>
      </c>
      <c r="N968" t="str">
        <f t="shared" si="32"/>
        <v>13-15</v>
      </c>
      <c r="O968" t="str">
        <f t="shared" si="33"/>
        <v>healthy sleep</v>
      </c>
      <c r="P968" s="1" t="str" cm="1">
        <f t="array" ref="P968">_xlfn.IFS(L968&lt;=3,"low",L968&lt;=6,"medium",L968&gt;=7,"high")</f>
        <v>medium</v>
      </c>
    </row>
    <row r="969" spans="1:16" x14ac:dyDescent="0.3">
      <c r="A969">
        <v>16</v>
      </c>
      <c r="B969" t="s">
        <v>16</v>
      </c>
      <c r="C969">
        <v>2.1</v>
      </c>
      <c r="D969" t="s">
        <v>20</v>
      </c>
      <c r="E969">
        <v>4.5999999999999996</v>
      </c>
      <c r="F969">
        <v>2</v>
      </c>
      <c r="G969">
        <v>2.5499999999999998</v>
      </c>
      <c r="H969">
        <v>1.8</v>
      </c>
      <c r="I969" t="s">
        <v>18</v>
      </c>
      <c r="J969">
        <v>5</v>
      </c>
      <c r="K969">
        <v>4</v>
      </c>
      <c r="L969">
        <v>4</v>
      </c>
      <c r="M969">
        <v>0</v>
      </c>
      <c r="N969" t="str">
        <f t="shared" si="32"/>
        <v>16-19</v>
      </c>
      <c r="O969" t="str">
        <f t="shared" si="33"/>
        <v>low sleep</v>
      </c>
      <c r="P969" s="1" t="str" cm="1">
        <f t="array" ref="P969">_xlfn.IFS(L969&lt;=3,"low",L969&lt;=6,"medium",L969&gt;=7,"high")</f>
        <v>medium</v>
      </c>
    </row>
    <row r="970" spans="1:16" x14ac:dyDescent="0.3">
      <c r="A970">
        <v>18</v>
      </c>
      <c r="B970" t="s">
        <v>16</v>
      </c>
      <c r="C970">
        <v>7.3</v>
      </c>
      <c r="D970" t="s">
        <v>20</v>
      </c>
      <c r="E970">
        <v>7.3</v>
      </c>
      <c r="F970">
        <v>2.8</v>
      </c>
      <c r="G970">
        <v>3.3</v>
      </c>
      <c r="H970">
        <v>0.4</v>
      </c>
      <c r="I970" t="s">
        <v>15</v>
      </c>
      <c r="J970">
        <v>1</v>
      </c>
      <c r="K970">
        <v>8</v>
      </c>
      <c r="L970">
        <v>1</v>
      </c>
      <c r="M970">
        <v>0</v>
      </c>
      <c r="N970" t="str">
        <f t="shared" si="32"/>
        <v>16-19</v>
      </c>
      <c r="O970" t="str">
        <f t="shared" si="33"/>
        <v>healthy sleep</v>
      </c>
      <c r="P970" s="1" t="str" cm="1">
        <f t="array" ref="P970">_xlfn.IFS(L970&lt;=3,"low",L970&lt;=6,"medium",L970&gt;=7,"high")</f>
        <v>low</v>
      </c>
    </row>
    <row r="971" spans="1:16" x14ac:dyDescent="0.3">
      <c r="A971">
        <v>17</v>
      </c>
      <c r="B971" t="s">
        <v>16</v>
      </c>
      <c r="C971">
        <v>2.6</v>
      </c>
      <c r="D971" t="s">
        <v>14</v>
      </c>
      <c r="E971">
        <v>6.5</v>
      </c>
      <c r="F971">
        <v>1.5</v>
      </c>
      <c r="G971">
        <v>3.8</v>
      </c>
      <c r="H971">
        <v>0.2</v>
      </c>
      <c r="I971" t="s">
        <v>18</v>
      </c>
      <c r="J971">
        <v>8</v>
      </c>
      <c r="K971">
        <v>6</v>
      </c>
      <c r="L971">
        <v>1</v>
      </c>
      <c r="M971">
        <v>0</v>
      </c>
      <c r="N971" t="str">
        <f t="shared" si="32"/>
        <v>16-19</v>
      </c>
      <c r="O971" t="str">
        <f t="shared" si="33"/>
        <v>healthy sleep</v>
      </c>
      <c r="P971" s="1" t="str" cm="1">
        <f t="array" ref="P971">_xlfn.IFS(L971&lt;=3,"low",L971&lt;=6,"medium",L971&gt;=7,"high")</f>
        <v>low</v>
      </c>
    </row>
    <row r="972" spans="1:16" x14ac:dyDescent="0.3">
      <c r="A972">
        <v>17</v>
      </c>
      <c r="B972" t="s">
        <v>13</v>
      </c>
      <c r="C972">
        <v>5.4</v>
      </c>
      <c r="D972" t="s">
        <v>20</v>
      </c>
      <c r="E972">
        <v>4.9000000000000004</v>
      </c>
      <c r="F972">
        <v>1.5</v>
      </c>
      <c r="G972">
        <v>3.4</v>
      </c>
      <c r="H972">
        <v>0</v>
      </c>
      <c r="I972" t="s">
        <v>19</v>
      </c>
      <c r="J972">
        <v>2</v>
      </c>
      <c r="K972">
        <v>2</v>
      </c>
      <c r="L972">
        <v>1</v>
      </c>
      <c r="M972">
        <v>0</v>
      </c>
      <c r="N972" t="str">
        <f t="shared" si="32"/>
        <v>16-19</v>
      </c>
      <c r="O972" t="str">
        <f t="shared" si="33"/>
        <v>low sleep</v>
      </c>
      <c r="P972" s="1" t="str" cm="1">
        <f t="array" ref="P972">_xlfn.IFS(L972&lt;=3,"low",L972&lt;=6,"medium",L972&gt;=7,"high")</f>
        <v>low</v>
      </c>
    </row>
    <row r="973" spans="1:16" x14ac:dyDescent="0.3">
      <c r="A973">
        <v>15</v>
      </c>
      <c r="B973" t="s">
        <v>13</v>
      </c>
      <c r="C973">
        <v>6.9</v>
      </c>
      <c r="D973" t="s">
        <v>14</v>
      </c>
      <c r="E973">
        <v>6.2</v>
      </c>
      <c r="F973">
        <v>0.6</v>
      </c>
      <c r="G973">
        <v>2.37</v>
      </c>
      <c r="H973">
        <v>0.2</v>
      </c>
      <c r="I973" t="s">
        <v>15</v>
      </c>
      <c r="J973">
        <v>3</v>
      </c>
      <c r="K973">
        <v>1</v>
      </c>
      <c r="L973">
        <v>4</v>
      </c>
      <c r="M973">
        <v>0</v>
      </c>
      <c r="N973" t="str">
        <f t="shared" si="32"/>
        <v>13-15</v>
      </c>
      <c r="O973" t="str">
        <f t="shared" si="33"/>
        <v>healthy sleep</v>
      </c>
      <c r="P973" s="1" t="str" cm="1">
        <f t="array" ref="P973">_xlfn.IFS(L973&lt;=3,"low",L973&lt;=6,"medium",L973&gt;=7,"high")</f>
        <v>medium</v>
      </c>
    </row>
    <row r="974" spans="1:16" x14ac:dyDescent="0.3">
      <c r="A974">
        <v>19</v>
      </c>
      <c r="B974" t="s">
        <v>16</v>
      </c>
      <c r="C974">
        <v>3</v>
      </c>
      <c r="D974" t="s">
        <v>14</v>
      </c>
      <c r="E974">
        <v>5.5</v>
      </c>
      <c r="F974">
        <v>2.1</v>
      </c>
      <c r="G974">
        <v>3.08</v>
      </c>
      <c r="H974">
        <v>0.7</v>
      </c>
      <c r="I974" t="s">
        <v>15</v>
      </c>
      <c r="J974">
        <v>9</v>
      </c>
      <c r="K974">
        <v>3</v>
      </c>
      <c r="L974">
        <v>5</v>
      </c>
      <c r="M974">
        <v>0</v>
      </c>
      <c r="N974" t="str">
        <f t="shared" si="32"/>
        <v>16-19</v>
      </c>
      <c r="O974" t="str">
        <f t="shared" si="33"/>
        <v>low sleep</v>
      </c>
      <c r="P974" s="1" t="str" cm="1">
        <f t="array" ref="P974">_xlfn.IFS(L974&lt;=3,"low",L974&lt;=6,"medium",L974&gt;=7,"high")</f>
        <v>medium</v>
      </c>
    </row>
    <row r="975" spans="1:16" x14ac:dyDescent="0.3">
      <c r="A975">
        <v>18</v>
      </c>
      <c r="B975" t="s">
        <v>13</v>
      </c>
      <c r="C975">
        <v>1.3</v>
      </c>
      <c r="D975" t="s">
        <v>14</v>
      </c>
      <c r="E975">
        <v>4.5</v>
      </c>
      <c r="F975">
        <v>2.2999999999999998</v>
      </c>
      <c r="G975">
        <v>2.2799999999999998</v>
      </c>
      <c r="H975">
        <v>1</v>
      </c>
      <c r="I975" t="s">
        <v>15</v>
      </c>
      <c r="J975">
        <v>2</v>
      </c>
      <c r="K975">
        <v>7</v>
      </c>
      <c r="L975">
        <v>8</v>
      </c>
      <c r="M975">
        <v>0</v>
      </c>
      <c r="N975" t="str">
        <f t="shared" si="32"/>
        <v>16-19</v>
      </c>
      <c r="O975" t="str">
        <f t="shared" si="33"/>
        <v>low sleep</v>
      </c>
      <c r="P975" s="1" t="str" cm="1">
        <f t="array" ref="P975">_xlfn.IFS(L975&lt;=3,"low",L975&lt;=6,"medium",L975&gt;=7,"high")</f>
        <v>high</v>
      </c>
    </row>
    <row r="976" spans="1:16" x14ac:dyDescent="0.3">
      <c r="A976">
        <v>15</v>
      </c>
      <c r="B976" t="s">
        <v>13</v>
      </c>
      <c r="C976">
        <v>6.2</v>
      </c>
      <c r="D976" t="s">
        <v>20</v>
      </c>
      <c r="E976">
        <v>6.4</v>
      </c>
      <c r="F976">
        <v>1.4</v>
      </c>
      <c r="G976">
        <v>3.34</v>
      </c>
      <c r="H976">
        <v>0.9</v>
      </c>
      <c r="I976" t="s">
        <v>18</v>
      </c>
      <c r="J976">
        <v>8</v>
      </c>
      <c r="K976">
        <v>9</v>
      </c>
      <c r="L976">
        <v>9</v>
      </c>
      <c r="M976">
        <v>0</v>
      </c>
      <c r="N976" t="str">
        <f t="shared" si="32"/>
        <v>13-15</v>
      </c>
      <c r="O976" t="str">
        <f t="shared" si="33"/>
        <v>healthy sleep</v>
      </c>
      <c r="P976" s="1" t="str" cm="1">
        <f t="array" ref="P976">_xlfn.IFS(L976&lt;=3,"low",L976&lt;=6,"medium",L976&gt;=7,"high")</f>
        <v>high</v>
      </c>
    </row>
    <row r="977" spans="1:16" x14ac:dyDescent="0.3">
      <c r="A977">
        <v>15</v>
      </c>
      <c r="B977" t="s">
        <v>13</v>
      </c>
      <c r="C977">
        <v>3.6</v>
      </c>
      <c r="D977" t="s">
        <v>14</v>
      </c>
      <c r="E977">
        <v>5.5</v>
      </c>
      <c r="F977">
        <v>1.2</v>
      </c>
      <c r="G977">
        <v>2.4900000000000002</v>
      </c>
      <c r="H977">
        <v>1.9</v>
      </c>
      <c r="I977" t="s">
        <v>15</v>
      </c>
      <c r="J977">
        <v>1</v>
      </c>
      <c r="K977">
        <v>4</v>
      </c>
      <c r="L977">
        <v>9</v>
      </c>
      <c r="M977">
        <v>0</v>
      </c>
      <c r="N977" t="str">
        <f t="shared" si="32"/>
        <v>13-15</v>
      </c>
      <c r="O977" t="str">
        <f t="shared" si="33"/>
        <v>low sleep</v>
      </c>
      <c r="P977" s="1" t="str" cm="1">
        <f t="array" ref="P977">_xlfn.IFS(L977&lt;=3,"low",L977&lt;=6,"medium",L977&gt;=7,"high")</f>
        <v>high</v>
      </c>
    </row>
    <row r="978" spans="1:16" x14ac:dyDescent="0.3">
      <c r="A978">
        <v>18</v>
      </c>
      <c r="B978" t="s">
        <v>16</v>
      </c>
      <c r="C978">
        <v>6.5</v>
      </c>
      <c r="D978" t="s">
        <v>20</v>
      </c>
      <c r="E978">
        <v>6.7</v>
      </c>
      <c r="F978">
        <v>2.5</v>
      </c>
      <c r="G978">
        <v>2.98</v>
      </c>
      <c r="H978">
        <v>0.1</v>
      </c>
      <c r="I978" t="s">
        <v>18</v>
      </c>
      <c r="J978">
        <v>9</v>
      </c>
      <c r="K978">
        <v>7</v>
      </c>
      <c r="L978">
        <v>7</v>
      </c>
      <c r="M978">
        <v>0</v>
      </c>
      <c r="N978" t="str">
        <f t="shared" si="32"/>
        <v>16-19</v>
      </c>
      <c r="O978" t="str">
        <f t="shared" si="33"/>
        <v>healthy sleep</v>
      </c>
      <c r="P978" s="1" t="str" cm="1">
        <f t="array" ref="P978">_xlfn.IFS(L978&lt;=3,"low",L978&lt;=6,"medium",L978&gt;=7,"high")</f>
        <v>high</v>
      </c>
    </row>
    <row r="979" spans="1:16" x14ac:dyDescent="0.3">
      <c r="A979">
        <v>17</v>
      </c>
      <c r="B979" t="s">
        <v>16</v>
      </c>
      <c r="C979">
        <v>5.3</v>
      </c>
      <c r="D979" t="s">
        <v>14</v>
      </c>
      <c r="E979">
        <v>6.6</v>
      </c>
      <c r="F979">
        <v>0.6</v>
      </c>
      <c r="G979">
        <v>3.04</v>
      </c>
      <c r="H979">
        <v>0.1</v>
      </c>
      <c r="I979" t="s">
        <v>18</v>
      </c>
      <c r="J979">
        <v>3</v>
      </c>
      <c r="K979">
        <v>7</v>
      </c>
      <c r="L979">
        <v>1</v>
      </c>
      <c r="M979">
        <v>0</v>
      </c>
      <c r="N979" t="str">
        <f t="shared" si="32"/>
        <v>16-19</v>
      </c>
      <c r="O979" t="str">
        <f t="shared" si="33"/>
        <v>healthy sleep</v>
      </c>
      <c r="P979" s="1" t="str" cm="1">
        <f t="array" ref="P979">_xlfn.IFS(L979&lt;=3,"low",L979&lt;=6,"medium",L979&gt;=7,"high")</f>
        <v>low</v>
      </c>
    </row>
    <row r="980" spans="1:16" x14ac:dyDescent="0.3">
      <c r="A980">
        <v>16</v>
      </c>
      <c r="B980" t="s">
        <v>13</v>
      </c>
      <c r="C980">
        <v>4.5999999999999996</v>
      </c>
      <c r="D980" t="s">
        <v>20</v>
      </c>
      <c r="E980">
        <v>5.3</v>
      </c>
      <c r="F980">
        <v>1.3</v>
      </c>
      <c r="G980">
        <v>3.76</v>
      </c>
      <c r="H980">
        <v>0.5</v>
      </c>
      <c r="I980" t="s">
        <v>19</v>
      </c>
      <c r="J980">
        <v>3</v>
      </c>
      <c r="K980">
        <v>8</v>
      </c>
      <c r="L980">
        <v>8</v>
      </c>
      <c r="M980">
        <v>0</v>
      </c>
      <c r="N980" t="str">
        <f t="shared" si="32"/>
        <v>16-19</v>
      </c>
      <c r="O980" t="str">
        <f t="shared" si="33"/>
        <v>low sleep</v>
      </c>
      <c r="P980" s="1" t="str" cm="1">
        <f t="array" ref="P980">_xlfn.IFS(L980&lt;=3,"low",L980&lt;=6,"medium",L980&gt;=7,"high")</f>
        <v>high</v>
      </c>
    </row>
    <row r="981" spans="1:16" x14ac:dyDescent="0.3">
      <c r="A981">
        <v>18</v>
      </c>
      <c r="B981" t="s">
        <v>13</v>
      </c>
      <c r="C981">
        <v>7.7</v>
      </c>
      <c r="D981" t="s">
        <v>20</v>
      </c>
      <c r="E981">
        <v>6.6</v>
      </c>
      <c r="F981">
        <v>1.6</v>
      </c>
      <c r="G981">
        <v>4</v>
      </c>
      <c r="H981">
        <v>1.9</v>
      </c>
      <c r="I981" t="s">
        <v>18</v>
      </c>
      <c r="J981">
        <v>3</v>
      </c>
      <c r="K981">
        <v>3</v>
      </c>
      <c r="L981">
        <v>9</v>
      </c>
      <c r="M981">
        <v>0</v>
      </c>
      <c r="N981" t="str">
        <f t="shared" si="32"/>
        <v>16-19</v>
      </c>
      <c r="O981" t="str">
        <f t="shared" si="33"/>
        <v>healthy sleep</v>
      </c>
      <c r="P981" s="1" t="str" cm="1">
        <f t="array" ref="P981">_xlfn.IFS(L981&lt;=3,"low",L981&lt;=6,"medium",L981&gt;=7,"high")</f>
        <v>high</v>
      </c>
    </row>
    <row r="982" spans="1:16" x14ac:dyDescent="0.3">
      <c r="A982">
        <v>19</v>
      </c>
      <c r="B982" t="s">
        <v>13</v>
      </c>
      <c r="C982">
        <v>7.1</v>
      </c>
      <c r="D982" t="s">
        <v>17</v>
      </c>
      <c r="E982">
        <v>8.4</v>
      </c>
      <c r="F982">
        <v>1.8</v>
      </c>
      <c r="G982">
        <v>2.93</v>
      </c>
      <c r="H982">
        <v>1.3</v>
      </c>
      <c r="I982" t="s">
        <v>19</v>
      </c>
      <c r="J982">
        <v>1</v>
      </c>
      <c r="K982">
        <v>6</v>
      </c>
      <c r="L982">
        <v>8</v>
      </c>
      <c r="M982">
        <v>0</v>
      </c>
      <c r="N982" t="str">
        <f t="shared" si="32"/>
        <v>16-19</v>
      </c>
      <c r="O982" t="str">
        <f t="shared" si="33"/>
        <v>healthy sleep</v>
      </c>
      <c r="P982" s="1" t="str" cm="1">
        <f t="array" ref="P982">_xlfn.IFS(L982&lt;=3,"low",L982&lt;=6,"medium",L982&gt;=7,"high")</f>
        <v>high</v>
      </c>
    </row>
    <row r="983" spans="1:16" x14ac:dyDescent="0.3">
      <c r="A983">
        <v>16</v>
      </c>
      <c r="B983" t="s">
        <v>13</v>
      </c>
      <c r="C983">
        <v>3.9</v>
      </c>
      <c r="D983" t="s">
        <v>17</v>
      </c>
      <c r="E983">
        <v>7.5</v>
      </c>
      <c r="F983">
        <v>2.1</v>
      </c>
      <c r="G983">
        <v>3.24</v>
      </c>
      <c r="H983">
        <v>0.9</v>
      </c>
      <c r="I983" t="s">
        <v>15</v>
      </c>
      <c r="J983">
        <v>4</v>
      </c>
      <c r="K983">
        <v>3</v>
      </c>
      <c r="L983">
        <v>2</v>
      </c>
      <c r="M983">
        <v>0</v>
      </c>
      <c r="N983" t="str">
        <f t="shared" si="32"/>
        <v>16-19</v>
      </c>
      <c r="O983" t="str">
        <f t="shared" si="33"/>
        <v>healthy sleep</v>
      </c>
      <c r="P983" s="1" t="str" cm="1">
        <f t="array" ref="P983">_xlfn.IFS(L983&lt;=3,"low",L983&lt;=6,"medium",L983&gt;=7,"high")</f>
        <v>low</v>
      </c>
    </row>
    <row r="984" spans="1:16" x14ac:dyDescent="0.3">
      <c r="A984">
        <v>19</v>
      </c>
      <c r="B984" t="s">
        <v>16</v>
      </c>
      <c r="C984">
        <v>7.5</v>
      </c>
      <c r="D984" t="s">
        <v>17</v>
      </c>
      <c r="E984">
        <v>8.6</v>
      </c>
      <c r="F984">
        <v>0.9</v>
      </c>
      <c r="G984">
        <v>2.25</v>
      </c>
      <c r="H984">
        <v>1.6</v>
      </c>
      <c r="I984" t="s">
        <v>18</v>
      </c>
      <c r="J984">
        <v>9</v>
      </c>
      <c r="K984">
        <v>8</v>
      </c>
      <c r="L984">
        <v>4</v>
      </c>
      <c r="M984">
        <v>0</v>
      </c>
      <c r="N984" t="str">
        <f t="shared" si="32"/>
        <v>16-19</v>
      </c>
      <c r="O984" t="str">
        <f t="shared" si="33"/>
        <v>healthy sleep</v>
      </c>
      <c r="P984" s="1" t="str" cm="1">
        <f t="array" ref="P984">_xlfn.IFS(L984&lt;=3,"low",L984&lt;=6,"medium",L984&gt;=7,"high")</f>
        <v>medium</v>
      </c>
    </row>
    <row r="985" spans="1:16" x14ac:dyDescent="0.3">
      <c r="A985">
        <v>18</v>
      </c>
      <c r="B985" t="s">
        <v>13</v>
      </c>
      <c r="C985">
        <v>5.8</v>
      </c>
      <c r="D985" t="s">
        <v>17</v>
      </c>
      <c r="E985">
        <v>7.5</v>
      </c>
      <c r="F985">
        <v>2.2000000000000002</v>
      </c>
      <c r="G985">
        <v>3.65</v>
      </c>
      <c r="H985">
        <v>1.4</v>
      </c>
      <c r="I985" t="s">
        <v>19</v>
      </c>
      <c r="J985">
        <v>4</v>
      </c>
      <c r="K985">
        <v>4</v>
      </c>
      <c r="L985">
        <v>8</v>
      </c>
      <c r="M985">
        <v>0</v>
      </c>
      <c r="N985" t="str">
        <f t="shared" si="32"/>
        <v>16-19</v>
      </c>
      <c r="O985" t="str">
        <f t="shared" si="33"/>
        <v>healthy sleep</v>
      </c>
      <c r="P985" s="1" t="str" cm="1">
        <f t="array" ref="P985">_xlfn.IFS(L985&lt;=3,"low",L985&lt;=6,"medium",L985&gt;=7,"high")</f>
        <v>high</v>
      </c>
    </row>
    <row r="986" spans="1:16" x14ac:dyDescent="0.3">
      <c r="A986">
        <v>17</v>
      </c>
      <c r="B986" t="s">
        <v>16</v>
      </c>
      <c r="C986">
        <v>7.6</v>
      </c>
      <c r="D986" t="s">
        <v>14</v>
      </c>
      <c r="E986">
        <v>7.3</v>
      </c>
      <c r="F986">
        <v>2.9</v>
      </c>
      <c r="G986">
        <v>2.99</v>
      </c>
      <c r="H986">
        <v>1.2</v>
      </c>
      <c r="I986" t="s">
        <v>18</v>
      </c>
      <c r="J986">
        <v>4</v>
      </c>
      <c r="K986">
        <v>8</v>
      </c>
      <c r="L986">
        <v>10</v>
      </c>
      <c r="M986">
        <v>0</v>
      </c>
      <c r="N986" t="str">
        <f t="shared" si="32"/>
        <v>16-19</v>
      </c>
      <c r="O986" t="str">
        <f t="shared" si="33"/>
        <v>healthy sleep</v>
      </c>
      <c r="P986" s="1" t="str" cm="1">
        <f t="array" ref="P986">_xlfn.IFS(L986&lt;=3,"low",L986&lt;=6,"medium",L986&gt;=7,"high")</f>
        <v>high</v>
      </c>
    </row>
    <row r="987" spans="1:16" x14ac:dyDescent="0.3">
      <c r="A987">
        <v>19</v>
      </c>
      <c r="B987" t="s">
        <v>16</v>
      </c>
      <c r="C987">
        <v>4.4000000000000004</v>
      </c>
      <c r="D987" t="s">
        <v>14</v>
      </c>
      <c r="E987">
        <v>7.4</v>
      </c>
      <c r="F987">
        <v>2.8</v>
      </c>
      <c r="G987">
        <v>3.28</v>
      </c>
      <c r="H987">
        <v>1.5</v>
      </c>
      <c r="I987" t="s">
        <v>19</v>
      </c>
      <c r="J987">
        <v>7</v>
      </c>
      <c r="K987">
        <v>5</v>
      </c>
      <c r="L987">
        <v>4</v>
      </c>
      <c r="M987">
        <v>0</v>
      </c>
      <c r="N987" t="str">
        <f t="shared" si="32"/>
        <v>16-19</v>
      </c>
      <c r="O987" t="str">
        <f t="shared" si="33"/>
        <v>healthy sleep</v>
      </c>
      <c r="P987" s="1" t="str" cm="1">
        <f t="array" ref="P987">_xlfn.IFS(L987&lt;=3,"low",L987&lt;=6,"medium",L987&gt;=7,"high")</f>
        <v>medium</v>
      </c>
    </row>
    <row r="988" spans="1:16" x14ac:dyDescent="0.3">
      <c r="A988">
        <v>19</v>
      </c>
      <c r="B988" t="s">
        <v>13</v>
      </c>
      <c r="C988">
        <v>4.5999999999999996</v>
      </c>
      <c r="D988" t="s">
        <v>20</v>
      </c>
      <c r="E988">
        <v>4.5999999999999996</v>
      </c>
      <c r="F988">
        <v>2.5</v>
      </c>
      <c r="G988">
        <v>2.4</v>
      </c>
      <c r="H988">
        <v>1</v>
      </c>
      <c r="I988" t="s">
        <v>18</v>
      </c>
      <c r="J988">
        <v>10</v>
      </c>
      <c r="K988">
        <v>10</v>
      </c>
      <c r="L988">
        <v>8</v>
      </c>
      <c r="M988">
        <v>0</v>
      </c>
      <c r="N988" t="str">
        <f t="shared" si="32"/>
        <v>16-19</v>
      </c>
      <c r="O988" t="str">
        <f t="shared" si="33"/>
        <v>low sleep</v>
      </c>
      <c r="P988" s="1" t="str" cm="1">
        <f t="array" ref="P988">_xlfn.IFS(L988&lt;=3,"low",L988&lt;=6,"medium",L988&gt;=7,"high")</f>
        <v>high</v>
      </c>
    </row>
    <row r="989" spans="1:16" x14ac:dyDescent="0.3">
      <c r="A989">
        <v>18</v>
      </c>
      <c r="B989" t="s">
        <v>16</v>
      </c>
      <c r="C989">
        <v>7</v>
      </c>
      <c r="D989" t="s">
        <v>20</v>
      </c>
      <c r="E989">
        <v>8.9</v>
      </c>
      <c r="F989">
        <v>0.7</v>
      </c>
      <c r="G989">
        <v>2.79</v>
      </c>
      <c r="H989">
        <v>0.4</v>
      </c>
      <c r="I989" t="s">
        <v>19</v>
      </c>
      <c r="J989">
        <v>2</v>
      </c>
      <c r="K989">
        <v>10</v>
      </c>
      <c r="L989">
        <v>8</v>
      </c>
      <c r="M989">
        <v>0</v>
      </c>
      <c r="N989" t="str">
        <f t="shared" si="32"/>
        <v>16-19</v>
      </c>
      <c r="O989" t="str">
        <f t="shared" si="33"/>
        <v>healthy sleep</v>
      </c>
      <c r="P989" s="1" t="str" cm="1">
        <f t="array" ref="P989">_xlfn.IFS(L989&lt;=3,"low",L989&lt;=6,"medium",L989&gt;=7,"high")</f>
        <v>high</v>
      </c>
    </row>
    <row r="990" spans="1:16" x14ac:dyDescent="0.3">
      <c r="A990">
        <v>16</v>
      </c>
      <c r="B990" t="s">
        <v>16</v>
      </c>
      <c r="C990">
        <v>3.6</v>
      </c>
      <c r="D990" t="s">
        <v>17</v>
      </c>
      <c r="E990">
        <v>8.8000000000000007</v>
      </c>
      <c r="F990">
        <v>1.2</v>
      </c>
      <c r="G990">
        <v>2.3199999999999998</v>
      </c>
      <c r="H990">
        <v>0.5</v>
      </c>
      <c r="I990" t="s">
        <v>15</v>
      </c>
      <c r="J990">
        <v>2</v>
      </c>
      <c r="K990">
        <v>4</v>
      </c>
      <c r="L990">
        <v>5</v>
      </c>
      <c r="M990">
        <v>0</v>
      </c>
      <c r="N990" t="str">
        <f t="shared" si="32"/>
        <v>16-19</v>
      </c>
      <c r="O990" t="str">
        <f t="shared" si="33"/>
        <v>healthy sleep</v>
      </c>
      <c r="P990" s="1" t="str" cm="1">
        <f t="array" ref="P990">_xlfn.IFS(L990&lt;=3,"low",L990&lt;=6,"medium",L990&gt;=7,"high")</f>
        <v>medium</v>
      </c>
    </row>
    <row r="991" spans="1:16" x14ac:dyDescent="0.3">
      <c r="A991">
        <v>15</v>
      </c>
      <c r="B991" t="s">
        <v>16</v>
      </c>
      <c r="C991">
        <v>3</v>
      </c>
      <c r="D991" t="s">
        <v>17</v>
      </c>
      <c r="E991">
        <v>6.6</v>
      </c>
      <c r="F991">
        <v>0.9</v>
      </c>
      <c r="G991">
        <v>2.69</v>
      </c>
      <c r="H991">
        <v>1.8</v>
      </c>
      <c r="I991" t="s">
        <v>19</v>
      </c>
      <c r="J991">
        <v>1</v>
      </c>
      <c r="K991">
        <v>2</v>
      </c>
      <c r="L991">
        <v>2</v>
      </c>
      <c r="M991">
        <v>0</v>
      </c>
      <c r="N991" t="str">
        <f t="shared" si="32"/>
        <v>13-15</v>
      </c>
      <c r="O991" t="str">
        <f t="shared" si="33"/>
        <v>healthy sleep</v>
      </c>
      <c r="P991" s="1" t="str" cm="1">
        <f t="array" ref="P991">_xlfn.IFS(L991&lt;=3,"low",L991&lt;=6,"medium",L991&gt;=7,"high")</f>
        <v>low</v>
      </c>
    </row>
    <row r="992" spans="1:16" x14ac:dyDescent="0.3">
      <c r="A992">
        <v>19</v>
      </c>
      <c r="B992" t="s">
        <v>16</v>
      </c>
      <c r="C992">
        <v>7.2</v>
      </c>
      <c r="D992" t="s">
        <v>14</v>
      </c>
      <c r="E992">
        <v>6.4</v>
      </c>
      <c r="F992">
        <v>2.9</v>
      </c>
      <c r="G992">
        <v>3.82</v>
      </c>
      <c r="H992">
        <v>1</v>
      </c>
      <c r="I992" t="s">
        <v>19</v>
      </c>
      <c r="J992">
        <v>5</v>
      </c>
      <c r="K992">
        <v>4</v>
      </c>
      <c r="L992">
        <v>5</v>
      </c>
      <c r="M992">
        <v>0</v>
      </c>
      <c r="N992" t="str">
        <f t="shared" si="32"/>
        <v>16-19</v>
      </c>
      <c r="O992" t="str">
        <f t="shared" si="33"/>
        <v>healthy sleep</v>
      </c>
      <c r="P992" s="1" t="str" cm="1">
        <f t="array" ref="P992">_xlfn.IFS(L992&lt;=3,"low",L992&lt;=6,"medium",L992&gt;=7,"high")</f>
        <v>medium</v>
      </c>
    </row>
    <row r="993" spans="1:16" x14ac:dyDescent="0.3">
      <c r="A993">
        <v>15</v>
      </c>
      <c r="B993" t="s">
        <v>16</v>
      </c>
      <c r="C993">
        <v>5.6</v>
      </c>
      <c r="D993" t="s">
        <v>20</v>
      </c>
      <c r="E993">
        <v>5.9</v>
      </c>
      <c r="F993">
        <v>2</v>
      </c>
      <c r="G993">
        <v>2.97</v>
      </c>
      <c r="H993">
        <v>0.6</v>
      </c>
      <c r="I993" t="s">
        <v>15</v>
      </c>
      <c r="J993">
        <v>9</v>
      </c>
      <c r="K993">
        <v>3</v>
      </c>
      <c r="L993">
        <v>3</v>
      </c>
      <c r="M993">
        <v>0</v>
      </c>
      <c r="N993" t="str">
        <f t="shared" si="32"/>
        <v>13-15</v>
      </c>
      <c r="O993" t="str">
        <f t="shared" si="33"/>
        <v>low sleep</v>
      </c>
      <c r="P993" s="1" t="str" cm="1">
        <f t="array" ref="P993">_xlfn.IFS(L993&lt;=3,"low",L993&lt;=6,"medium",L993&gt;=7,"high")</f>
        <v>low</v>
      </c>
    </row>
    <row r="994" spans="1:16" x14ac:dyDescent="0.3">
      <c r="A994">
        <v>14</v>
      </c>
      <c r="B994" t="s">
        <v>16</v>
      </c>
      <c r="C994">
        <v>2</v>
      </c>
      <c r="D994" t="s">
        <v>14</v>
      </c>
      <c r="E994">
        <v>4.7</v>
      </c>
      <c r="F994">
        <v>1.1000000000000001</v>
      </c>
      <c r="G994">
        <v>2.5099999999999998</v>
      </c>
      <c r="H994">
        <v>0</v>
      </c>
      <c r="I994" t="s">
        <v>18</v>
      </c>
      <c r="J994">
        <v>2</v>
      </c>
      <c r="K994">
        <v>9</v>
      </c>
      <c r="L994">
        <v>4</v>
      </c>
      <c r="M994">
        <v>0</v>
      </c>
      <c r="N994" t="str">
        <f t="shared" si="32"/>
        <v>13-15</v>
      </c>
      <c r="O994" t="str">
        <f t="shared" si="33"/>
        <v>low sleep</v>
      </c>
      <c r="P994" s="1" t="str" cm="1">
        <f t="array" ref="P994">_xlfn.IFS(L994&lt;=3,"low",L994&lt;=6,"medium",L994&gt;=7,"high")</f>
        <v>medium</v>
      </c>
    </row>
    <row r="995" spans="1:16" x14ac:dyDescent="0.3">
      <c r="A995">
        <v>14</v>
      </c>
      <c r="B995" t="s">
        <v>16</v>
      </c>
      <c r="C995">
        <v>4.4000000000000004</v>
      </c>
      <c r="D995" t="s">
        <v>17</v>
      </c>
      <c r="E995">
        <v>5.0999999999999996</v>
      </c>
      <c r="F995">
        <v>2.8</v>
      </c>
      <c r="G995">
        <v>2.2200000000000002</v>
      </c>
      <c r="H995">
        <v>0.5</v>
      </c>
      <c r="I995" t="s">
        <v>18</v>
      </c>
      <c r="J995">
        <v>5</v>
      </c>
      <c r="K995">
        <v>4</v>
      </c>
      <c r="L995">
        <v>1</v>
      </c>
      <c r="M995">
        <v>0</v>
      </c>
      <c r="N995" t="str">
        <f t="shared" si="32"/>
        <v>13-15</v>
      </c>
      <c r="O995" t="str">
        <f t="shared" si="33"/>
        <v>low sleep</v>
      </c>
      <c r="P995" s="1" t="str" cm="1">
        <f t="array" ref="P995">_xlfn.IFS(L995&lt;=3,"low",L995&lt;=6,"medium",L995&gt;=7,"high")</f>
        <v>low</v>
      </c>
    </row>
    <row r="996" spans="1:16" x14ac:dyDescent="0.3">
      <c r="A996">
        <v>13</v>
      </c>
      <c r="B996" t="s">
        <v>13</v>
      </c>
      <c r="C996">
        <v>3.5</v>
      </c>
      <c r="D996" t="s">
        <v>17</v>
      </c>
      <c r="E996">
        <v>5.8</v>
      </c>
      <c r="F996">
        <v>1.2</v>
      </c>
      <c r="G996">
        <v>2.44</v>
      </c>
      <c r="H996">
        <v>1.5</v>
      </c>
      <c r="I996" t="s">
        <v>19</v>
      </c>
      <c r="J996">
        <v>4</v>
      </c>
      <c r="K996">
        <v>1</v>
      </c>
      <c r="L996">
        <v>8</v>
      </c>
      <c r="M996">
        <v>0</v>
      </c>
      <c r="N996" t="str">
        <f t="shared" si="32"/>
        <v>13-15</v>
      </c>
      <c r="O996" t="str">
        <f t="shared" si="33"/>
        <v>low sleep</v>
      </c>
      <c r="P996" s="1" t="str" cm="1">
        <f t="array" ref="P996">_xlfn.IFS(L996&lt;=3,"low",L996&lt;=6,"medium",L996&gt;=7,"high")</f>
        <v>high</v>
      </c>
    </row>
    <row r="997" spans="1:16" x14ac:dyDescent="0.3">
      <c r="A997">
        <v>13</v>
      </c>
      <c r="B997" t="s">
        <v>13</v>
      </c>
      <c r="C997">
        <v>6.5</v>
      </c>
      <c r="D997" t="s">
        <v>14</v>
      </c>
      <c r="E997">
        <v>6.5</v>
      </c>
      <c r="F997">
        <v>1.5</v>
      </c>
      <c r="G997">
        <v>2.0499999999999998</v>
      </c>
      <c r="H997">
        <v>0.5</v>
      </c>
      <c r="I997" t="s">
        <v>15</v>
      </c>
      <c r="J997">
        <v>3</v>
      </c>
      <c r="K997">
        <v>9</v>
      </c>
      <c r="L997">
        <v>4</v>
      </c>
      <c r="M997">
        <v>0</v>
      </c>
      <c r="N997" t="str">
        <f t="shared" si="32"/>
        <v>13-15</v>
      </c>
      <c r="O997" t="str">
        <f t="shared" si="33"/>
        <v>healthy sleep</v>
      </c>
      <c r="P997" s="1" t="str" cm="1">
        <f t="array" ref="P997">_xlfn.IFS(L997&lt;=3,"low",L997&lt;=6,"medium",L997&gt;=7,"high")</f>
        <v>medium</v>
      </c>
    </row>
    <row r="998" spans="1:16" x14ac:dyDescent="0.3">
      <c r="A998">
        <v>14</v>
      </c>
      <c r="B998" t="s">
        <v>13</v>
      </c>
      <c r="C998">
        <v>4.4000000000000004</v>
      </c>
      <c r="D998" t="s">
        <v>14</v>
      </c>
      <c r="E998">
        <v>8.8000000000000007</v>
      </c>
      <c r="F998">
        <v>2.2999999999999998</v>
      </c>
      <c r="G998">
        <v>2.73</v>
      </c>
      <c r="H998">
        <v>0.3</v>
      </c>
      <c r="I998" t="s">
        <v>19</v>
      </c>
      <c r="J998">
        <v>9</v>
      </c>
      <c r="K998">
        <v>2</v>
      </c>
      <c r="L998">
        <v>2</v>
      </c>
      <c r="M998">
        <v>0</v>
      </c>
      <c r="N998" t="str">
        <f t="shared" si="32"/>
        <v>13-15</v>
      </c>
      <c r="O998" t="str">
        <f t="shared" si="33"/>
        <v>healthy sleep</v>
      </c>
      <c r="P998" s="1" t="str" cm="1">
        <f t="array" ref="P998">_xlfn.IFS(L998&lt;=3,"low",L998&lt;=6,"medium",L998&gt;=7,"high")</f>
        <v>low</v>
      </c>
    </row>
    <row r="999" spans="1:16" x14ac:dyDescent="0.3">
      <c r="A999">
        <v>17</v>
      </c>
      <c r="B999" t="s">
        <v>16</v>
      </c>
      <c r="C999">
        <v>3.1</v>
      </c>
      <c r="D999" t="s">
        <v>17</v>
      </c>
      <c r="E999">
        <v>4.2</v>
      </c>
      <c r="F999">
        <v>0.8</v>
      </c>
      <c r="G999">
        <v>2.2799999999999998</v>
      </c>
      <c r="H999">
        <v>1.6</v>
      </c>
      <c r="I999" t="s">
        <v>19</v>
      </c>
      <c r="J999">
        <v>4</v>
      </c>
      <c r="K999">
        <v>9</v>
      </c>
      <c r="L999">
        <v>6</v>
      </c>
      <c r="M999">
        <v>0</v>
      </c>
      <c r="N999" t="str">
        <f t="shared" si="32"/>
        <v>16-19</v>
      </c>
      <c r="O999" t="str">
        <f t="shared" si="33"/>
        <v>low sleep</v>
      </c>
      <c r="P999" s="1" t="str" cm="1">
        <f t="array" ref="P999">_xlfn.IFS(L999&lt;=3,"low",L999&lt;=6,"medium",L999&gt;=7,"high")</f>
        <v>medium</v>
      </c>
    </row>
    <row r="1000" spans="1:16" x14ac:dyDescent="0.3">
      <c r="A1000">
        <v>15</v>
      </c>
      <c r="B1000" t="s">
        <v>13</v>
      </c>
      <c r="C1000">
        <v>7.8</v>
      </c>
      <c r="D1000" t="s">
        <v>20</v>
      </c>
      <c r="E1000">
        <v>4.2</v>
      </c>
      <c r="F1000">
        <v>2.1</v>
      </c>
      <c r="G1000">
        <v>3.42</v>
      </c>
      <c r="H1000">
        <v>0</v>
      </c>
      <c r="I1000" t="s">
        <v>15</v>
      </c>
      <c r="J1000">
        <v>10</v>
      </c>
      <c r="K1000">
        <v>7</v>
      </c>
      <c r="L1000">
        <v>9</v>
      </c>
      <c r="M1000">
        <v>1</v>
      </c>
      <c r="N1000" t="str">
        <f t="shared" si="32"/>
        <v>13-15</v>
      </c>
      <c r="O1000" t="str">
        <f t="shared" si="33"/>
        <v>low sleep</v>
      </c>
      <c r="P1000" s="1" t="str" cm="1">
        <f t="array" ref="P1000">_xlfn.IFS(L1000&lt;=3,"low",L1000&lt;=6,"medium",L1000&gt;=7,"high")</f>
        <v>high</v>
      </c>
    </row>
    <row r="1001" spans="1:16" x14ac:dyDescent="0.3">
      <c r="A1001">
        <v>19</v>
      </c>
      <c r="B1001" t="s">
        <v>16</v>
      </c>
      <c r="C1001">
        <v>2.1</v>
      </c>
      <c r="D1001" t="s">
        <v>20</v>
      </c>
      <c r="E1001">
        <v>4.4000000000000004</v>
      </c>
      <c r="F1001">
        <v>2.2000000000000002</v>
      </c>
      <c r="G1001">
        <v>2.4700000000000002</v>
      </c>
      <c r="H1001">
        <v>0.7</v>
      </c>
      <c r="I1001" t="s">
        <v>18</v>
      </c>
      <c r="J1001">
        <v>9</v>
      </c>
      <c r="K1001">
        <v>5</v>
      </c>
      <c r="L1001">
        <v>6</v>
      </c>
      <c r="M1001">
        <v>0</v>
      </c>
      <c r="N1001" t="str">
        <f t="shared" si="32"/>
        <v>16-19</v>
      </c>
      <c r="O1001" t="str">
        <f t="shared" si="33"/>
        <v>low sleep</v>
      </c>
      <c r="P1001" s="1" t="str" cm="1">
        <f t="array" ref="P1001">_xlfn.IFS(L1001&lt;=3,"low",L1001&lt;=6,"medium",L1001&gt;=7,"high")</f>
        <v>medium</v>
      </c>
    </row>
    <row r="1002" spans="1:16" x14ac:dyDescent="0.3">
      <c r="A1002">
        <v>14</v>
      </c>
      <c r="B1002" t="s">
        <v>16</v>
      </c>
      <c r="C1002">
        <v>5.5</v>
      </c>
      <c r="D1002" t="s">
        <v>20</v>
      </c>
      <c r="E1002">
        <v>5.7</v>
      </c>
      <c r="F1002">
        <v>2.2999999999999998</v>
      </c>
      <c r="G1002">
        <v>3.05</v>
      </c>
      <c r="H1002">
        <v>1.3</v>
      </c>
      <c r="I1002" t="s">
        <v>19</v>
      </c>
      <c r="J1002">
        <v>7</v>
      </c>
      <c r="K1002">
        <v>8</v>
      </c>
      <c r="L1002">
        <v>5</v>
      </c>
      <c r="M1002">
        <v>1</v>
      </c>
      <c r="N1002" t="str">
        <f t="shared" si="32"/>
        <v>13-15</v>
      </c>
      <c r="O1002" t="str">
        <f t="shared" si="33"/>
        <v>low sleep</v>
      </c>
      <c r="P1002" s="1" t="str" cm="1">
        <f t="array" ref="P1002">_xlfn.IFS(L1002&lt;=3,"low",L1002&lt;=6,"medium",L1002&gt;=7,"high")</f>
        <v>medium</v>
      </c>
    </row>
    <row r="1003" spans="1:16" x14ac:dyDescent="0.3">
      <c r="A1003">
        <v>15</v>
      </c>
      <c r="B1003" t="s">
        <v>16</v>
      </c>
      <c r="C1003">
        <v>5.7</v>
      </c>
      <c r="D1003" t="s">
        <v>14</v>
      </c>
      <c r="E1003">
        <v>7.2</v>
      </c>
      <c r="F1003">
        <v>2.4</v>
      </c>
      <c r="G1003">
        <v>2.1800000000000002</v>
      </c>
      <c r="H1003">
        <v>1.6</v>
      </c>
      <c r="I1003" t="s">
        <v>19</v>
      </c>
      <c r="J1003">
        <v>5</v>
      </c>
      <c r="K1003">
        <v>1</v>
      </c>
      <c r="L1003">
        <v>7</v>
      </c>
      <c r="M1003">
        <v>0</v>
      </c>
      <c r="N1003" t="str">
        <f t="shared" si="32"/>
        <v>13-15</v>
      </c>
      <c r="O1003" t="str">
        <f t="shared" si="33"/>
        <v>healthy sleep</v>
      </c>
      <c r="P1003" s="1" t="str" cm="1">
        <f t="array" ref="P1003">_xlfn.IFS(L1003&lt;=3,"low",L1003&lt;=6,"medium",L1003&gt;=7,"high")</f>
        <v>high</v>
      </c>
    </row>
    <row r="1004" spans="1:16" x14ac:dyDescent="0.3">
      <c r="A1004">
        <v>15</v>
      </c>
      <c r="B1004" t="s">
        <v>16</v>
      </c>
      <c r="C1004">
        <v>5</v>
      </c>
      <c r="D1004" t="s">
        <v>17</v>
      </c>
      <c r="E1004">
        <v>6.3</v>
      </c>
      <c r="F1004">
        <v>1.5</v>
      </c>
      <c r="G1004">
        <v>2.67</v>
      </c>
      <c r="H1004">
        <v>1.1000000000000001</v>
      </c>
      <c r="I1004" t="s">
        <v>18</v>
      </c>
      <c r="J1004">
        <v>6</v>
      </c>
      <c r="K1004">
        <v>2</v>
      </c>
      <c r="L1004">
        <v>5</v>
      </c>
      <c r="M1004">
        <v>0</v>
      </c>
      <c r="N1004" t="str">
        <f t="shared" si="32"/>
        <v>13-15</v>
      </c>
      <c r="O1004" t="str">
        <f t="shared" si="33"/>
        <v>healthy sleep</v>
      </c>
      <c r="P1004" s="1" t="str" cm="1">
        <f t="array" ref="P1004">_xlfn.IFS(L1004&lt;=3,"low",L1004&lt;=6,"medium",L1004&gt;=7,"high")</f>
        <v>medium</v>
      </c>
    </row>
    <row r="1005" spans="1:16" x14ac:dyDescent="0.3">
      <c r="A1005">
        <v>16</v>
      </c>
      <c r="B1005" t="s">
        <v>16</v>
      </c>
      <c r="C1005">
        <v>7.5</v>
      </c>
      <c r="D1005" t="s">
        <v>20</v>
      </c>
      <c r="E1005">
        <v>4</v>
      </c>
      <c r="F1005">
        <v>0.5</v>
      </c>
      <c r="G1005">
        <v>3.72</v>
      </c>
      <c r="H1005">
        <v>1.1000000000000001</v>
      </c>
      <c r="I1005" t="s">
        <v>19</v>
      </c>
      <c r="J1005">
        <v>4</v>
      </c>
      <c r="K1005">
        <v>5</v>
      </c>
      <c r="L1005">
        <v>7</v>
      </c>
      <c r="M1005">
        <v>0</v>
      </c>
      <c r="N1005" t="str">
        <f t="shared" si="32"/>
        <v>16-19</v>
      </c>
      <c r="O1005" t="str">
        <f t="shared" si="33"/>
        <v>low sleep</v>
      </c>
      <c r="P1005" s="1" t="str" cm="1">
        <f t="array" ref="P1005">_xlfn.IFS(L1005&lt;=3,"low",L1005&lt;=6,"medium",L1005&gt;=7,"high")</f>
        <v>high</v>
      </c>
    </row>
    <row r="1006" spans="1:16" x14ac:dyDescent="0.3">
      <c r="A1006">
        <v>17</v>
      </c>
      <c r="B1006" t="s">
        <v>13</v>
      </c>
      <c r="C1006">
        <v>2.2000000000000002</v>
      </c>
      <c r="D1006" t="s">
        <v>17</v>
      </c>
      <c r="E1006">
        <v>7.1</v>
      </c>
      <c r="F1006">
        <v>1.1000000000000001</v>
      </c>
      <c r="G1006">
        <v>2.5</v>
      </c>
      <c r="H1006">
        <v>1.5</v>
      </c>
      <c r="I1006" t="s">
        <v>15</v>
      </c>
      <c r="J1006">
        <v>2</v>
      </c>
      <c r="K1006">
        <v>1</v>
      </c>
      <c r="L1006">
        <v>2</v>
      </c>
      <c r="M1006">
        <v>0</v>
      </c>
      <c r="N1006" t="str">
        <f t="shared" si="32"/>
        <v>16-19</v>
      </c>
      <c r="O1006" t="str">
        <f t="shared" si="33"/>
        <v>healthy sleep</v>
      </c>
      <c r="P1006" s="1" t="str" cm="1">
        <f t="array" ref="P1006">_xlfn.IFS(L1006&lt;=3,"low",L1006&lt;=6,"medium",L1006&gt;=7,"high")</f>
        <v>low</v>
      </c>
    </row>
    <row r="1007" spans="1:16" x14ac:dyDescent="0.3">
      <c r="A1007">
        <v>15</v>
      </c>
      <c r="B1007" t="s">
        <v>16</v>
      </c>
      <c r="C1007">
        <v>7.3</v>
      </c>
      <c r="D1007" t="s">
        <v>14</v>
      </c>
      <c r="E1007">
        <v>4.0999999999999996</v>
      </c>
      <c r="F1007">
        <v>2.1</v>
      </c>
      <c r="G1007">
        <v>2.87</v>
      </c>
      <c r="H1007">
        <v>0.4</v>
      </c>
      <c r="I1007" t="s">
        <v>15</v>
      </c>
      <c r="J1007">
        <v>10</v>
      </c>
      <c r="K1007">
        <v>10</v>
      </c>
      <c r="L1007">
        <v>1</v>
      </c>
      <c r="M1007">
        <v>1</v>
      </c>
      <c r="N1007" t="str">
        <f t="shared" si="32"/>
        <v>13-15</v>
      </c>
      <c r="O1007" t="str">
        <f t="shared" si="33"/>
        <v>low sleep</v>
      </c>
      <c r="P1007" s="1" t="str" cm="1">
        <f t="array" ref="P1007">_xlfn.IFS(L1007&lt;=3,"low",L1007&lt;=6,"medium",L1007&gt;=7,"high")</f>
        <v>low</v>
      </c>
    </row>
    <row r="1008" spans="1:16" x14ac:dyDescent="0.3">
      <c r="A1008">
        <v>17</v>
      </c>
      <c r="B1008" t="s">
        <v>13</v>
      </c>
      <c r="C1008">
        <v>2.7</v>
      </c>
      <c r="D1008" t="s">
        <v>14</v>
      </c>
      <c r="E1008">
        <v>7.5</v>
      </c>
      <c r="F1008">
        <v>1.5</v>
      </c>
      <c r="G1008">
        <v>3.23</v>
      </c>
      <c r="H1008">
        <v>1.4</v>
      </c>
      <c r="I1008" t="s">
        <v>15</v>
      </c>
      <c r="J1008">
        <v>5</v>
      </c>
      <c r="K1008">
        <v>7</v>
      </c>
      <c r="L1008">
        <v>3</v>
      </c>
      <c r="M1008">
        <v>0</v>
      </c>
      <c r="N1008" t="str">
        <f t="shared" si="32"/>
        <v>16-19</v>
      </c>
      <c r="O1008" t="str">
        <f t="shared" si="33"/>
        <v>healthy sleep</v>
      </c>
      <c r="P1008" s="1" t="str" cm="1">
        <f t="array" ref="P1008">_xlfn.IFS(L1008&lt;=3,"low",L1008&lt;=6,"medium",L1008&gt;=7,"high")</f>
        <v>low</v>
      </c>
    </row>
    <row r="1009" spans="1:16" x14ac:dyDescent="0.3">
      <c r="A1009">
        <v>18</v>
      </c>
      <c r="B1009" t="s">
        <v>13</v>
      </c>
      <c r="C1009">
        <v>1.6</v>
      </c>
      <c r="D1009" t="s">
        <v>14</v>
      </c>
      <c r="E1009">
        <v>8.6</v>
      </c>
      <c r="F1009">
        <v>2.6</v>
      </c>
      <c r="G1009">
        <v>3.53</v>
      </c>
      <c r="H1009">
        <v>0.1</v>
      </c>
      <c r="I1009" t="s">
        <v>19</v>
      </c>
      <c r="J1009">
        <v>8</v>
      </c>
      <c r="K1009">
        <v>8</v>
      </c>
      <c r="L1009">
        <v>10</v>
      </c>
      <c r="M1009">
        <v>0</v>
      </c>
      <c r="N1009" t="str">
        <f t="shared" si="32"/>
        <v>16-19</v>
      </c>
      <c r="O1009" t="str">
        <f t="shared" si="33"/>
        <v>healthy sleep</v>
      </c>
      <c r="P1009" s="1" t="str" cm="1">
        <f t="array" ref="P1009">_xlfn.IFS(L1009&lt;=3,"low",L1009&lt;=6,"medium",L1009&gt;=7,"high")</f>
        <v>high</v>
      </c>
    </row>
    <row r="1010" spans="1:16" x14ac:dyDescent="0.3">
      <c r="A1010">
        <v>14</v>
      </c>
      <c r="B1010" t="s">
        <v>13</v>
      </c>
      <c r="C1010">
        <v>4</v>
      </c>
      <c r="D1010" t="s">
        <v>17</v>
      </c>
      <c r="E1010">
        <v>4.9000000000000004</v>
      </c>
      <c r="F1010">
        <v>2.7</v>
      </c>
      <c r="G1010">
        <v>2.2999999999999998</v>
      </c>
      <c r="H1010">
        <v>0.5</v>
      </c>
      <c r="I1010" t="s">
        <v>18</v>
      </c>
      <c r="J1010">
        <v>7</v>
      </c>
      <c r="K1010">
        <v>8</v>
      </c>
      <c r="L1010">
        <v>6</v>
      </c>
      <c r="M1010">
        <v>0</v>
      </c>
      <c r="N1010" t="str">
        <f t="shared" si="32"/>
        <v>13-15</v>
      </c>
      <c r="O1010" t="str">
        <f t="shared" si="33"/>
        <v>low sleep</v>
      </c>
      <c r="P1010" s="1" t="str" cm="1">
        <f t="array" ref="P1010">_xlfn.IFS(L1010&lt;=3,"low",L1010&lt;=6,"medium",L1010&gt;=7,"high")</f>
        <v>medium</v>
      </c>
    </row>
    <row r="1011" spans="1:16" x14ac:dyDescent="0.3">
      <c r="A1011">
        <v>18</v>
      </c>
      <c r="B1011" t="s">
        <v>16</v>
      </c>
      <c r="C1011">
        <v>6.3</v>
      </c>
      <c r="D1011" t="s">
        <v>20</v>
      </c>
      <c r="E1011">
        <v>4.7</v>
      </c>
      <c r="F1011">
        <v>2.4</v>
      </c>
      <c r="G1011">
        <v>2.2999999999999998</v>
      </c>
      <c r="H1011">
        <v>0.9</v>
      </c>
      <c r="I1011" t="s">
        <v>19</v>
      </c>
      <c r="J1011">
        <v>6</v>
      </c>
      <c r="K1011">
        <v>1</v>
      </c>
      <c r="L1011">
        <v>6</v>
      </c>
      <c r="M1011">
        <v>0</v>
      </c>
      <c r="N1011" t="str">
        <f t="shared" si="32"/>
        <v>16-19</v>
      </c>
      <c r="O1011" t="str">
        <f t="shared" si="33"/>
        <v>low sleep</v>
      </c>
      <c r="P1011" s="1" t="str" cm="1">
        <f t="array" ref="P1011">_xlfn.IFS(L1011&lt;=3,"low",L1011&lt;=6,"medium",L1011&gt;=7,"high")</f>
        <v>medium</v>
      </c>
    </row>
    <row r="1012" spans="1:16" x14ac:dyDescent="0.3">
      <c r="A1012">
        <v>16</v>
      </c>
      <c r="B1012" t="s">
        <v>16</v>
      </c>
      <c r="C1012">
        <v>6.8</v>
      </c>
      <c r="D1012" t="s">
        <v>17</v>
      </c>
      <c r="E1012">
        <v>7.1</v>
      </c>
      <c r="F1012">
        <v>2.9</v>
      </c>
      <c r="G1012">
        <v>3.26</v>
      </c>
      <c r="H1012">
        <v>0.6</v>
      </c>
      <c r="I1012" t="s">
        <v>15</v>
      </c>
      <c r="J1012">
        <v>6</v>
      </c>
      <c r="K1012">
        <v>10</v>
      </c>
      <c r="L1012">
        <v>4</v>
      </c>
      <c r="M1012">
        <v>0</v>
      </c>
      <c r="N1012" t="str">
        <f t="shared" si="32"/>
        <v>16-19</v>
      </c>
      <c r="O1012" t="str">
        <f t="shared" si="33"/>
        <v>healthy sleep</v>
      </c>
      <c r="P1012" s="1" t="str" cm="1">
        <f t="array" ref="P1012">_xlfn.IFS(L1012&lt;=3,"low",L1012&lt;=6,"medium",L1012&gt;=7,"high")</f>
        <v>medium</v>
      </c>
    </row>
    <row r="1013" spans="1:16" x14ac:dyDescent="0.3">
      <c r="A1013">
        <v>18</v>
      </c>
      <c r="B1013" t="s">
        <v>16</v>
      </c>
      <c r="C1013">
        <v>6.6</v>
      </c>
      <c r="D1013" t="s">
        <v>20</v>
      </c>
      <c r="E1013">
        <v>8.1</v>
      </c>
      <c r="F1013">
        <v>2</v>
      </c>
      <c r="G1013">
        <v>3.59</v>
      </c>
      <c r="H1013">
        <v>1.6</v>
      </c>
      <c r="I1013" t="s">
        <v>15</v>
      </c>
      <c r="J1013">
        <v>9</v>
      </c>
      <c r="K1013">
        <v>4</v>
      </c>
      <c r="L1013">
        <v>3</v>
      </c>
      <c r="M1013">
        <v>0</v>
      </c>
      <c r="N1013" t="str">
        <f t="shared" si="32"/>
        <v>16-19</v>
      </c>
      <c r="O1013" t="str">
        <f t="shared" si="33"/>
        <v>healthy sleep</v>
      </c>
      <c r="P1013" s="1" t="str" cm="1">
        <f t="array" ref="P1013">_xlfn.IFS(L1013&lt;=3,"low",L1013&lt;=6,"medium",L1013&gt;=7,"high")</f>
        <v>low</v>
      </c>
    </row>
    <row r="1014" spans="1:16" x14ac:dyDescent="0.3">
      <c r="A1014">
        <v>13</v>
      </c>
      <c r="B1014" t="s">
        <v>13</v>
      </c>
      <c r="C1014">
        <v>4</v>
      </c>
      <c r="D1014" t="s">
        <v>14</v>
      </c>
      <c r="E1014">
        <v>4.2</v>
      </c>
      <c r="F1014">
        <v>0.9</v>
      </c>
      <c r="G1014">
        <v>2.75</v>
      </c>
      <c r="H1014">
        <v>1</v>
      </c>
      <c r="I1014" t="s">
        <v>18</v>
      </c>
      <c r="J1014">
        <v>5</v>
      </c>
      <c r="K1014">
        <v>4</v>
      </c>
      <c r="L1014">
        <v>8</v>
      </c>
      <c r="M1014">
        <v>0</v>
      </c>
      <c r="N1014" t="str">
        <f t="shared" si="32"/>
        <v>13-15</v>
      </c>
      <c r="O1014" t="str">
        <f t="shared" si="33"/>
        <v>low sleep</v>
      </c>
      <c r="P1014" s="1" t="str" cm="1">
        <f t="array" ref="P1014">_xlfn.IFS(L1014&lt;=3,"low",L1014&lt;=6,"medium",L1014&gt;=7,"high")</f>
        <v>high</v>
      </c>
    </row>
    <row r="1015" spans="1:16" x14ac:dyDescent="0.3">
      <c r="A1015">
        <v>13</v>
      </c>
      <c r="B1015" t="s">
        <v>13</v>
      </c>
      <c r="C1015">
        <v>1.6</v>
      </c>
      <c r="D1015" t="s">
        <v>17</v>
      </c>
      <c r="E1015">
        <v>5</v>
      </c>
      <c r="F1015">
        <v>2.7</v>
      </c>
      <c r="G1015">
        <v>2.31</v>
      </c>
      <c r="H1015">
        <v>1.9</v>
      </c>
      <c r="I1015" t="s">
        <v>15</v>
      </c>
      <c r="J1015">
        <v>8</v>
      </c>
      <c r="K1015">
        <v>9</v>
      </c>
      <c r="L1015">
        <v>5</v>
      </c>
      <c r="M1015">
        <v>0</v>
      </c>
      <c r="N1015" t="str">
        <f t="shared" si="32"/>
        <v>13-15</v>
      </c>
      <c r="O1015" t="str">
        <f t="shared" si="33"/>
        <v>low sleep</v>
      </c>
      <c r="P1015" s="1" t="str" cm="1">
        <f t="array" ref="P1015">_xlfn.IFS(L1015&lt;=3,"low",L1015&lt;=6,"medium",L1015&gt;=7,"high")</f>
        <v>medium</v>
      </c>
    </row>
    <row r="1016" spans="1:16" x14ac:dyDescent="0.3">
      <c r="A1016">
        <v>18</v>
      </c>
      <c r="B1016" t="s">
        <v>13</v>
      </c>
      <c r="C1016">
        <v>5.3</v>
      </c>
      <c r="D1016" t="s">
        <v>20</v>
      </c>
      <c r="E1016">
        <v>8.1999999999999993</v>
      </c>
      <c r="F1016">
        <v>1.9</v>
      </c>
      <c r="G1016">
        <v>3.87</v>
      </c>
      <c r="H1016">
        <v>1.9</v>
      </c>
      <c r="I1016" t="s">
        <v>15</v>
      </c>
      <c r="J1016">
        <v>2</v>
      </c>
      <c r="K1016">
        <v>9</v>
      </c>
      <c r="L1016">
        <v>8</v>
      </c>
      <c r="M1016">
        <v>0</v>
      </c>
      <c r="N1016" t="str">
        <f t="shared" si="32"/>
        <v>16-19</v>
      </c>
      <c r="O1016" t="str">
        <f t="shared" si="33"/>
        <v>healthy sleep</v>
      </c>
      <c r="P1016" s="1" t="str" cm="1">
        <f t="array" ref="P1016">_xlfn.IFS(L1016&lt;=3,"low",L1016&lt;=6,"medium",L1016&gt;=7,"high")</f>
        <v>high</v>
      </c>
    </row>
    <row r="1017" spans="1:16" x14ac:dyDescent="0.3">
      <c r="A1017">
        <v>19</v>
      </c>
      <c r="B1017" t="s">
        <v>16</v>
      </c>
      <c r="C1017">
        <v>7.4</v>
      </c>
      <c r="D1017" t="s">
        <v>20</v>
      </c>
      <c r="E1017">
        <v>4.4000000000000004</v>
      </c>
      <c r="F1017">
        <v>1.4</v>
      </c>
      <c r="G1017">
        <v>3.78</v>
      </c>
      <c r="H1017">
        <v>1.1000000000000001</v>
      </c>
      <c r="I1017" t="s">
        <v>15</v>
      </c>
      <c r="J1017">
        <v>9</v>
      </c>
      <c r="K1017">
        <v>7</v>
      </c>
      <c r="L1017">
        <v>5</v>
      </c>
      <c r="M1017">
        <v>1</v>
      </c>
      <c r="N1017" t="str">
        <f t="shared" si="32"/>
        <v>16-19</v>
      </c>
      <c r="O1017" t="str">
        <f t="shared" si="33"/>
        <v>low sleep</v>
      </c>
      <c r="P1017" s="1" t="str" cm="1">
        <f t="array" ref="P1017">_xlfn.IFS(L1017&lt;=3,"low",L1017&lt;=6,"medium",L1017&gt;=7,"high")</f>
        <v>medium</v>
      </c>
    </row>
    <row r="1018" spans="1:16" x14ac:dyDescent="0.3">
      <c r="A1018">
        <v>18</v>
      </c>
      <c r="B1018" t="s">
        <v>16</v>
      </c>
      <c r="C1018">
        <v>2.2999999999999998</v>
      </c>
      <c r="D1018" t="s">
        <v>14</v>
      </c>
      <c r="E1018">
        <v>8.6999999999999993</v>
      </c>
      <c r="F1018">
        <v>0.6</v>
      </c>
      <c r="G1018">
        <v>2.76</v>
      </c>
      <c r="H1018">
        <v>1.9</v>
      </c>
      <c r="I1018" t="s">
        <v>18</v>
      </c>
      <c r="J1018">
        <v>4</v>
      </c>
      <c r="K1018">
        <v>8</v>
      </c>
      <c r="L1018">
        <v>7</v>
      </c>
      <c r="M1018">
        <v>0</v>
      </c>
      <c r="N1018" t="str">
        <f t="shared" si="32"/>
        <v>16-19</v>
      </c>
      <c r="O1018" t="str">
        <f t="shared" si="33"/>
        <v>healthy sleep</v>
      </c>
      <c r="P1018" s="1" t="str" cm="1">
        <f t="array" ref="P1018">_xlfn.IFS(L1018&lt;=3,"low",L1018&lt;=6,"medium",L1018&gt;=7,"high")</f>
        <v>high</v>
      </c>
    </row>
    <row r="1019" spans="1:16" x14ac:dyDescent="0.3">
      <c r="A1019">
        <v>16</v>
      </c>
      <c r="B1019" t="s">
        <v>13</v>
      </c>
      <c r="C1019">
        <v>7.6</v>
      </c>
      <c r="D1019" t="s">
        <v>20</v>
      </c>
      <c r="E1019">
        <v>6.1</v>
      </c>
      <c r="F1019">
        <v>0.8</v>
      </c>
      <c r="G1019">
        <v>3.09</v>
      </c>
      <c r="H1019">
        <v>1.3</v>
      </c>
      <c r="I1019" t="s">
        <v>15</v>
      </c>
      <c r="J1019">
        <v>8</v>
      </c>
      <c r="K1019">
        <v>4</v>
      </c>
      <c r="L1019">
        <v>4</v>
      </c>
      <c r="M1019">
        <v>0</v>
      </c>
      <c r="N1019" t="str">
        <f t="shared" si="32"/>
        <v>16-19</v>
      </c>
      <c r="O1019" t="str">
        <f t="shared" si="33"/>
        <v>healthy sleep</v>
      </c>
      <c r="P1019" s="1" t="str" cm="1">
        <f t="array" ref="P1019">_xlfn.IFS(L1019&lt;=3,"low",L1019&lt;=6,"medium",L1019&gt;=7,"high")</f>
        <v>medium</v>
      </c>
    </row>
    <row r="1020" spans="1:16" x14ac:dyDescent="0.3">
      <c r="A1020">
        <v>16</v>
      </c>
      <c r="B1020" t="s">
        <v>16</v>
      </c>
      <c r="C1020">
        <v>7.6</v>
      </c>
      <c r="D1020" t="s">
        <v>17</v>
      </c>
      <c r="E1020">
        <v>7.6</v>
      </c>
      <c r="F1020">
        <v>2.4</v>
      </c>
      <c r="G1020">
        <v>2.2400000000000002</v>
      </c>
      <c r="H1020">
        <v>1.1000000000000001</v>
      </c>
      <c r="I1020" t="s">
        <v>19</v>
      </c>
      <c r="J1020">
        <v>1</v>
      </c>
      <c r="K1020">
        <v>5</v>
      </c>
      <c r="L1020">
        <v>5</v>
      </c>
      <c r="M1020">
        <v>0</v>
      </c>
      <c r="N1020" t="str">
        <f t="shared" si="32"/>
        <v>16-19</v>
      </c>
      <c r="O1020" t="str">
        <f t="shared" si="33"/>
        <v>healthy sleep</v>
      </c>
      <c r="P1020" s="1" t="str" cm="1">
        <f t="array" ref="P1020">_xlfn.IFS(L1020&lt;=3,"low",L1020&lt;=6,"medium",L1020&gt;=7,"high")</f>
        <v>medium</v>
      </c>
    </row>
    <row r="1021" spans="1:16" x14ac:dyDescent="0.3">
      <c r="A1021">
        <v>17</v>
      </c>
      <c r="B1021" t="s">
        <v>16</v>
      </c>
      <c r="C1021">
        <v>3.4</v>
      </c>
      <c r="D1021" t="s">
        <v>20</v>
      </c>
      <c r="E1021">
        <v>4.7</v>
      </c>
      <c r="F1021">
        <v>0.5</v>
      </c>
      <c r="G1021">
        <v>2.91</v>
      </c>
      <c r="H1021">
        <v>2</v>
      </c>
      <c r="I1021" t="s">
        <v>18</v>
      </c>
      <c r="J1021">
        <v>2</v>
      </c>
      <c r="K1021">
        <v>8</v>
      </c>
      <c r="L1021">
        <v>1</v>
      </c>
      <c r="M1021">
        <v>0</v>
      </c>
      <c r="N1021" t="str">
        <f t="shared" si="32"/>
        <v>16-19</v>
      </c>
      <c r="O1021" t="str">
        <f t="shared" si="33"/>
        <v>low sleep</v>
      </c>
      <c r="P1021" s="1" t="str" cm="1">
        <f t="array" ref="P1021">_xlfn.IFS(L1021&lt;=3,"low",L1021&lt;=6,"medium",L1021&gt;=7,"high")</f>
        <v>low</v>
      </c>
    </row>
    <row r="1022" spans="1:16" x14ac:dyDescent="0.3">
      <c r="A1022">
        <v>18</v>
      </c>
      <c r="B1022" t="s">
        <v>16</v>
      </c>
      <c r="C1022">
        <v>2.2999999999999998</v>
      </c>
      <c r="D1022" t="s">
        <v>14</v>
      </c>
      <c r="E1022">
        <v>4.2</v>
      </c>
      <c r="F1022">
        <v>0.9</v>
      </c>
      <c r="G1022">
        <v>3.84</v>
      </c>
      <c r="H1022">
        <v>1.3</v>
      </c>
      <c r="I1022" t="s">
        <v>18</v>
      </c>
      <c r="J1022">
        <v>6</v>
      </c>
      <c r="K1022">
        <v>6</v>
      </c>
      <c r="L1022">
        <v>10</v>
      </c>
      <c r="M1022">
        <v>0</v>
      </c>
      <c r="N1022" t="str">
        <f t="shared" si="32"/>
        <v>16-19</v>
      </c>
      <c r="O1022" t="str">
        <f t="shared" si="33"/>
        <v>low sleep</v>
      </c>
      <c r="P1022" s="1" t="str" cm="1">
        <f t="array" ref="P1022">_xlfn.IFS(L1022&lt;=3,"low",L1022&lt;=6,"medium",L1022&gt;=7,"high")</f>
        <v>high</v>
      </c>
    </row>
    <row r="1023" spans="1:16" x14ac:dyDescent="0.3">
      <c r="A1023">
        <v>18</v>
      </c>
      <c r="B1023" t="s">
        <v>13</v>
      </c>
      <c r="C1023">
        <v>5</v>
      </c>
      <c r="D1023" t="s">
        <v>14</v>
      </c>
      <c r="E1023">
        <v>4.3</v>
      </c>
      <c r="F1023">
        <v>1.1000000000000001</v>
      </c>
      <c r="G1023">
        <v>2.2200000000000002</v>
      </c>
      <c r="H1023">
        <v>0.1</v>
      </c>
      <c r="I1023" t="s">
        <v>18</v>
      </c>
      <c r="J1023">
        <v>7</v>
      </c>
      <c r="K1023">
        <v>2</v>
      </c>
      <c r="L1023">
        <v>2</v>
      </c>
      <c r="M1023">
        <v>0</v>
      </c>
      <c r="N1023" t="str">
        <f t="shared" si="32"/>
        <v>16-19</v>
      </c>
      <c r="O1023" t="str">
        <f t="shared" si="33"/>
        <v>low sleep</v>
      </c>
      <c r="P1023" s="1" t="str" cm="1">
        <f t="array" ref="P1023">_xlfn.IFS(L1023&lt;=3,"low",L1023&lt;=6,"medium",L1023&gt;=7,"high")</f>
        <v>low</v>
      </c>
    </row>
    <row r="1024" spans="1:16" x14ac:dyDescent="0.3">
      <c r="A1024">
        <v>15</v>
      </c>
      <c r="B1024" t="s">
        <v>13</v>
      </c>
      <c r="C1024">
        <v>3.8</v>
      </c>
      <c r="D1024" t="s">
        <v>17</v>
      </c>
      <c r="E1024">
        <v>7.1</v>
      </c>
      <c r="F1024">
        <v>0.5</v>
      </c>
      <c r="G1024">
        <v>3.08</v>
      </c>
      <c r="H1024">
        <v>0.2</v>
      </c>
      <c r="I1024" t="s">
        <v>19</v>
      </c>
      <c r="J1024">
        <v>2</v>
      </c>
      <c r="K1024">
        <v>9</v>
      </c>
      <c r="L1024">
        <v>7</v>
      </c>
      <c r="M1024">
        <v>0</v>
      </c>
      <c r="N1024" t="str">
        <f t="shared" si="32"/>
        <v>13-15</v>
      </c>
      <c r="O1024" t="str">
        <f t="shared" si="33"/>
        <v>healthy sleep</v>
      </c>
      <c r="P1024" s="1" t="str" cm="1">
        <f t="array" ref="P1024">_xlfn.IFS(L1024&lt;=3,"low",L1024&lt;=6,"medium",L1024&gt;=7,"high")</f>
        <v>high</v>
      </c>
    </row>
    <row r="1025" spans="1:16" x14ac:dyDescent="0.3">
      <c r="A1025">
        <v>16</v>
      </c>
      <c r="B1025" t="s">
        <v>13</v>
      </c>
      <c r="C1025">
        <v>3.7</v>
      </c>
      <c r="D1025" t="s">
        <v>14</v>
      </c>
      <c r="E1025">
        <v>7.6</v>
      </c>
      <c r="F1025">
        <v>1.2</v>
      </c>
      <c r="G1025">
        <v>3.2</v>
      </c>
      <c r="H1025">
        <v>1</v>
      </c>
      <c r="I1025" t="s">
        <v>19</v>
      </c>
      <c r="J1025">
        <v>4</v>
      </c>
      <c r="K1025">
        <v>8</v>
      </c>
      <c r="L1025">
        <v>6</v>
      </c>
      <c r="M1025">
        <v>0</v>
      </c>
      <c r="N1025" t="str">
        <f t="shared" si="32"/>
        <v>16-19</v>
      </c>
      <c r="O1025" t="str">
        <f t="shared" si="33"/>
        <v>healthy sleep</v>
      </c>
      <c r="P1025" s="1" t="str" cm="1">
        <f t="array" ref="P1025">_xlfn.IFS(L1025&lt;=3,"low",L1025&lt;=6,"medium",L1025&gt;=7,"high")</f>
        <v>medium</v>
      </c>
    </row>
    <row r="1026" spans="1:16" x14ac:dyDescent="0.3">
      <c r="A1026">
        <v>13</v>
      </c>
      <c r="B1026" t="s">
        <v>13</v>
      </c>
      <c r="C1026">
        <v>1.4</v>
      </c>
      <c r="D1026" t="s">
        <v>20</v>
      </c>
      <c r="E1026">
        <v>8.6</v>
      </c>
      <c r="F1026">
        <v>2.4</v>
      </c>
      <c r="G1026">
        <v>3.31</v>
      </c>
      <c r="H1026">
        <v>0.7</v>
      </c>
      <c r="I1026" t="s">
        <v>15</v>
      </c>
      <c r="J1026">
        <v>2</v>
      </c>
      <c r="K1026">
        <v>6</v>
      </c>
      <c r="L1026">
        <v>2</v>
      </c>
      <c r="M1026">
        <v>0</v>
      </c>
      <c r="N1026" t="str">
        <f t="shared" si="32"/>
        <v>13-15</v>
      </c>
      <c r="O1026" t="str">
        <f t="shared" si="33"/>
        <v>healthy sleep</v>
      </c>
      <c r="P1026" s="1" t="str" cm="1">
        <f t="array" ref="P1026">_xlfn.IFS(L1026&lt;=3,"low",L1026&lt;=6,"medium",L1026&gt;=7,"high")</f>
        <v>low</v>
      </c>
    </row>
    <row r="1027" spans="1:16" x14ac:dyDescent="0.3">
      <c r="A1027">
        <v>18</v>
      </c>
      <c r="B1027" t="s">
        <v>13</v>
      </c>
      <c r="C1027">
        <v>1.8</v>
      </c>
      <c r="D1027" t="s">
        <v>20</v>
      </c>
      <c r="E1027">
        <v>4.9000000000000004</v>
      </c>
      <c r="F1027">
        <v>2.7</v>
      </c>
      <c r="G1027">
        <v>2.12</v>
      </c>
      <c r="H1027">
        <v>0.2</v>
      </c>
      <c r="I1027" t="s">
        <v>15</v>
      </c>
      <c r="J1027">
        <v>1</v>
      </c>
      <c r="K1027">
        <v>3</v>
      </c>
      <c r="L1027">
        <v>8</v>
      </c>
      <c r="M1027">
        <v>0</v>
      </c>
      <c r="N1027" t="str">
        <f t="shared" ref="N1027:N1090" si="34">IF(A1027&lt;=15,"13-15","16-19")</f>
        <v>16-19</v>
      </c>
      <c r="O1027" t="str">
        <f t="shared" ref="O1027:O1090" si="35">IF(E1027&lt;=6,"low sleep","healthy sleep")</f>
        <v>low sleep</v>
      </c>
      <c r="P1027" s="1" t="str" cm="1">
        <f t="array" ref="P1027">_xlfn.IFS(L1027&lt;=3,"low",L1027&lt;=6,"medium",L1027&gt;=7,"high")</f>
        <v>high</v>
      </c>
    </row>
    <row r="1028" spans="1:16" x14ac:dyDescent="0.3">
      <c r="A1028">
        <v>19</v>
      </c>
      <c r="B1028" t="s">
        <v>13</v>
      </c>
      <c r="C1028">
        <v>1.5</v>
      </c>
      <c r="D1028" t="s">
        <v>17</v>
      </c>
      <c r="E1028">
        <v>5.8</v>
      </c>
      <c r="F1028">
        <v>1.1000000000000001</v>
      </c>
      <c r="G1028">
        <v>3.29</v>
      </c>
      <c r="H1028">
        <v>1.7</v>
      </c>
      <c r="I1028" t="s">
        <v>18</v>
      </c>
      <c r="J1028">
        <v>6</v>
      </c>
      <c r="K1028">
        <v>4</v>
      </c>
      <c r="L1028">
        <v>2</v>
      </c>
      <c r="M1028">
        <v>0</v>
      </c>
      <c r="N1028" t="str">
        <f t="shared" si="34"/>
        <v>16-19</v>
      </c>
      <c r="O1028" t="str">
        <f t="shared" si="35"/>
        <v>low sleep</v>
      </c>
      <c r="P1028" s="1" t="str" cm="1">
        <f t="array" ref="P1028">_xlfn.IFS(L1028&lt;=3,"low",L1028&lt;=6,"medium",L1028&gt;=7,"high")</f>
        <v>low</v>
      </c>
    </row>
    <row r="1029" spans="1:16" x14ac:dyDescent="0.3">
      <c r="A1029">
        <v>18</v>
      </c>
      <c r="B1029" t="s">
        <v>16</v>
      </c>
      <c r="C1029">
        <v>5.5</v>
      </c>
      <c r="D1029" t="s">
        <v>20</v>
      </c>
      <c r="E1029">
        <v>5.5</v>
      </c>
      <c r="F1029">
        <v>1.8</v>
      </c>
      <c r="G1029">
        <v>2.2400000000000002</v>
      </c>
      <c r="H1029">
        <v>0</v>
      </c>
      <c r="I1029" t="s">
        <v>18</v>
      </c>
      <c r="J1029">
        <v>3</v>
      </c>
      <c r="K1029">
        <v>4</v>
      </c>
      <c r="L1029">
        <v>10</v>
      </c>
      <c r="M1029">
        <v>0</v>
      </c>
      <c r="N1029" t="str">
        <f t="shared" si="34"/>
        <v>16-19</v>
      </c>
      <c r="O1029" t="str">
        <f t="shared" si="35"/>
        <v>low sleep</v>
      </c>
      <c r="P1029" s="1" t="str" cm="1">
        <f t="array" ref="P1029">_xlfn.IFS(L1029&lt;=3,"low",L1029&lt;=6,"medium",L1029&gt;=7,"high")</f>
        <v>high</v>
      </c>
    </row>
    <row r="1030" spans="1:16" x14ac:dyDescent="0.3">
      <c r="A1030">
        <v>15</v>
      </c>
      <c r="B1030" t="s">
        <v>13</v>
      </c>
      <c r="C1030">
        <v>4.9000000000000004</v>
      </c>
      <c r="D1030" t="s">
        <v>20</v>
      </c>
      <c r="E1030">
        <v>5.2</v>
      </c>
      <c r="F1030">
        <v>0.7</v>
      </c>
      <c r="G1030">
        <v>2.5499999999999998</v>
      </c>
      <c r="H1030">
        <v>0.1</v>
      </c>
      <c r="I1030" t="s">
        <v>15</v>
      </c>
      <c r="J1030">
        <v>10</v>
      </c>
      <c r="K1030">
        <v>6</v>
      </c>
      <c r="L1030">
        <v>4</v>
      </c>
      <c r="M1030">
        <v>0</v>
      </c>
      <c r="N1030" t="str">
        <f t="shared" si="34"/>
        <v>13-15</v>
      </c>
      <c r="O1030" t="str">
        <f t="shared" si="35"/>
        <v>low sleep</v>
      </c>
      <c r="P1030" s="1" t="str" cm="1">
        <f t="array" ref="P1030">_xlfn.IFS(L1030&lt;=3,"low",L1030&lt;=6,"medium",L1030&gt;=7,"high")</f>
        <v>medium</v>
      </c>
    </row>
    <row r="1031" spans="1:16" x14ac:dyDescent="0.3">
      <c r="A1031">
        <v>14</v>
      </c>
      <c r="B1031" t="s">
        <v>16</v>
      </c>
      <c r="C1031">
        <v>7.2</v>
      </c>
      <c r="D1031" t="s">
        <v>20</v>
      </c>
      <c r="E1031">
        <v>7</v>
      </c>
      <c r="F1031">
        <v>2.2999999999999998</v>
      </c>
      <c r="G1031">
        <v>3.74</v>
      </c>
      <c r="H1031">
        <v>0.7</v>
      </c>
      <c r="I1031" t="s">
        <v>15</v>
      </c>
      <c r="J1031">
        <v>8</v>
      </c>
      <c r="K1031">
        <v>4</v>
      </c>
      <c r="L1031">
        <v>7</v>
      </c>
      <c r="M1031">
        <v>0</v>
      </c>
      <c r="N1031" t="str">
        <f t="shared" si="34"/>
        <v>13-15</v>
      </c>
      <c r="O1031" t="str">
        <f t="shared" si="35"/>
        <v>healthy sleep</v>
      </c>
      <c r="P1031" s="1" t="str" cm="1">
        <f t="array" ref="P1031">_xlfn.IFS(L1031&lt;=3,"low",L1031&lt;=6,"medium",L1031&gt;=7,"high")</f>
        <v>high</v>
      </c>
    </row>
    <row r="1032" spans="1:16" x14ac:dyDescent="0.3">
      <c r="A1032">
        <v>16</v>
      </c>
      <c r="B1032" t="s">
        <v>16</v>
      </c>
      <c r="C1032">
        <v>6.8</v>
      </c>
      <c r="D1032" t="s">
        <v>14</v>
      </c>
      <c r="E1032">
        <v>7.2</v>
      </c>
      <c r="F1032">
        <v>1.1000000000000001</v>
      </c>
      <c r="G1032">
        <v>2.29</v>
      </c>
      <c r="H1032">
        <v>1.9</v>
      </c>
      <c r="I1032" t="s">
        <v>15</v>
      </c>
      <c r="J1032">
        <v>8</v>
      </c>
      <c r="K1032">
        <v>5</v>
      </c>
      <c r="L1032">
        <v>9</v>
      </c>
      <c r="M1032">
        <v>0</v>
      </c>
      <c r="N1032" t="str">
        <f t="shared" si="34"/>
        <v>16-19</v>
      </c>
      <c r="O1032" t="str">
        <f t="shared" si="35"/>
        <v>healthy sleep</v>
      </c>
      <c r="P1032" s="1" t="str" cm="1">
        <f t="array" ref="P1032">_xlfn.IFS(L1032&lt;=3,"low",L1032&lt;=6,"medium",L1032&gt;=7,"high")</f>
        <v>high</v>
      </c>
    </row>
    <row r="1033" spans="1:16" x14ac:dyDescent="0.3">
      <c r="A1033">
        <v>13</v>
      </c>
      <c r="B1033" t="s">
        <v>16</v>
      </c>
      <c r="C1033">
        <v>2.2000000000000002</v>
      </c>
      <c r="D1033" t="s">
        <v>20</v>
      </c>
      <c r="E1033">
        <v>7.7</v>
      </c>
      <c r="F1033">
        <v>2.1</v>
      </c>
      <c r="G1033">
        <v>2.33</v>
      </c>
      <c r="H1033">
        <v>1.7</v>
      </c>
      <c r="I1033" t="s">
        <v>15</v>
      </c>
      <c r="J1033">
        <v>2</v>
      </c>
      <c r="K1033">
        <v>8</v>
      </c>
      <c r="L1033">
        <v>7</v>
      </c>
      <c r="M1033">
        <v>0</v>
      </c>
      <c r="N1033" t="str">
        <f t="shared" si="34"/>
        <v>13-15</v>
      </c>
      <c r="O1033" t="str">
        <f t="shared" si="35"/>
        <v>healthy sleep</v>
      </c>
      <c r="P1033" s="1" t="str" cm="1">
        <f t="array" ref="P1033">_xlfn.IFS(L1033&lt;=3,"low",L1033&lt;=6,"medium",L1033&gt;=7,"high")</f>
        <v>high</v>
      </c>
    </row>
    <row r="1034" spans="1:16" x14ac:dyDescent="0.3">
      <c r="A1034">
        <v>16</v>
      </c>
      <c r="B1034" t="s">
        <v>16</v>
      </c>
      <c r="C1034">
        <v>5.9</v>
      </c>
      <c r="D1034" t="s">
        <v>17</v>
      </c>
      <c r="E1034">
        <v>7</v>
      </c>
      <c r="F1034">
        <v>0.8</v>
      </c>
      <c r="G1034">
        <v>2.29</v>
      </c>
      <c r="H1034">
        <v>1.6</v>
      </c>
      <c r="I1034" t="s">
        <v>15</v>
      </c>
      <c r="J1034">
        <v>6</v>
      </c>
      <c r="K1034">
        <v>8</v>
      </c>
      <c r="L1034">
        <v>1</v>
      </c>
      <c r="M1034">
        <v>0</v>
      </c>
      <c r="N1034" t="str">
        <f t="shared" si="34"/>
        <v>16-19</v>
      </c>
      <c r="O1034" t="str">
        <f t="shared" si="35"/>
        <v>healthy sleep</v>
      </c>
      <c r="P1034" s="1" t="str" cm="1">
        <f t="array" ref="P1034">_xlfn.IFS(L1034&lt;=3,"low",L1034&lt;=6,"medium",L1034&gt;=7,"high")</f>
        <v>low</v>
      </c>
    </row>
    <row r="1035" spans="1:16" x14ac:dyDescent="0.3">
      <c r="A1035">
        <v>15</v>
      </c>
      <c r="B1035" t="s">
        <v>16</v>
      </c>
      <c r="C1035">
        <v>2.2000000000000002</v>
      </c>
      <c r="D1035" t="s">
        <v>14</v>
      </c>
      <c r="E1035">
        <v>7.5</v>
      </c>
      <c r="F1035">
        <v>1.4</v>
      </c>
      <c r="G1035">
        <v>3.19</v>
      </c>
      <c r="H1035">
        <v>1.8</v>
      </c>
      <c r="I1035" t="s">
        <v>15</v>
      </c>
      <c r="J1035">
        <v>6</v>
      </c>
      <c r="K1035">
        <v>1</v>
      </c>
      <c r="L1035">
        <v>7</v>
      </c>
      <c r="M1035">
        <v>0</v>
      </c>
      <c r="N1035" t="str">
        <f t="shared" si="34"/>
        <v>13-15</v>
      </c>
      <c r="O1035" t="str">
        <f t="shared" si="35"/>
        <v>healthy sleep</v>
      </c>
      <c r="P1035" s="1" t="str" cm="1">
        <f t="array" ref="P1035">_xlfn.IFS(L1035&lt;=3,"low",L1035&lt;=6,"medium",L1035&gt;=7,"high")</f>
        <v>high</v>
      </c>
    </row>
    <row r="1036" spans="1:16" x14ac:dyDescent="0.3">
      <c r="A1036">
        <v>19</v>
      </c>
      <c r="B1036" t="s">
        <v>16</v>
      </c>
      <c r="C1036">
        <v>2.4</v>
      </c>
      <c r="D1036" t="s">
        <v>14</v>
      </c>
      <c r="E1036">
        <v>4.2</v>
      </c>
      <c r="F1036">
        <v>1.2</v>
      </c>
      <c r="G1036">
        <v>3.87</v>
      </c>
      <c r="H1036">
        <v>1.3</v>
      </c>
      <c r="I1036" t="s">
        <v>15</v>
      </c>
      <c r="J1036">
        <v>1</v>
      </c>
      <c r="K1036">
        <v>9</v>
      </c>
      <c r="L1036">
        <v>5</v>
      </c>
      <c r="M1036">
        <v>0</v>
      </c>
      <c r="N1036" t="str">
        <f t="shared" si="34"/>
        <v>16-19</v>
      </c>
      <c r="O1036" t="str">
        <f t="shared" si="35"/>
        <v>low sleep</v>
      </c>
      <c r="P1036" s="1" t="str" cm="1">
        <f t="array" ref="P1036">_xlfn.IFS(L1036&lt;=3,"low",L1036&lt;=6,"medium",L1036&gt;=7,"high")</f>
        <v>medium</v>
      </c>
    </row>
    <row r="1037" spans="1:16" x14ac:dyDescent="0.3">
      <c r="A1037">
        <v>15</v>
      </c>
      <c r="B1037" t="s">
        <v>13</v>
      </c>
      <c r="C1037">
        <v>4.0999999999999996</v>
      </c>
      <c r="D1037" t="s">
        <v>14</v>
      </c>
      <c r="E1037">
        <v>7.6</v>
      </c>
      <c r="F1037">
        <v>1</v>
      </c>
      <c r="G1037">
        <v>2.17</v>
      </c>
      <c r="H1037">
        <v>1.1000000000000001</v>
      </c>
      <c r="I1037" t="s">
        <v>15</v>
      </c>
      <c r="J1037">
        <v>4</v>
      </c>
      <c r="K1037">
        <v>5</v>
      </c>
      <c r="L1037">
        <v>1</v>
      </c>
      <c r="M1037">
        <v>0</v>
      </c>
      <c r="N1037" t="str">
        <f t="shared" si="34"/>
        <v>13-15</v>
      </c>
      <c r="O1037" t="str">
        <f t="shared" si="35"/>
        <v>healthy sleep</v>
      </c>
      <c r="P1037" s="1" t="str" cm="1">
        <f t="array" ref="P1037">_xlfn.IFS(L1037&lt;=3,"low",L1037&lt;=6,"medium",L1037&gt;=7,"high")</f>
        <v>low</v>
      </c>
    </row>
    <row r="1038" spans="1:16" x14ac:dyDescent="0.3">
      <c r="A1038">
        <v>18</v>
      </c>
      <c r="B1038" t="s">
        <v>16</v>
      </c>
      <c r="C1038">
        <v>4.5</v>
      </c>
      <c r="D1038" t="s">
        <v>14</v>
      </c>
      <c r="E1038">
        <v>7</v>
      </c>
      <c r="F1038">
        <v>2.7</v>
      </c>
      <c r="G1038">
        <v>2.89</v>
      </c>
      <c r="H1038">
        <v>1.8</v>
      </c>
      <c r="I1038" t="s">
        <v>18</v>
      </c>
      <c r="J1038">
        <v>1</v>
      </c>
      <c r="K1038">
        <v>1</v>
      </c>
      <c r="L1038">
        <v>2</v>
      </c>
      <c r="M1038">
        <v>0</v>
      </c>
      <c r="N1038" t="str">
        <f t="shared" si="34"/>
        <v>16-19</v>
      </c>
      <c r="O1038" t="str">
        <f t="shared" si="35"/>
        <v>healthy sleep</v>
      </c>
      <c r="P1038" s="1" t="str" cm="1">
        <f t="array" ref="P1038">_xlfn.IFS(L1038&lt;=3,"low",L1038&lt;=6,"medium",L1038&gt;=7,"high")</f>
        <v>low</v>
      </c>
    </row>
    <row r="1039" spans="1:16" x14ac:dyDescent="0.3">
      <c r="A1039">
        <v>14</v>
      </c>
      <c r="B1039" t="s">
        <v>16</v>
      </c>
      <c r="C1039">
        <v>4.5999999999999996</v>
      </c>
      <c r="D1039" t="s">
        <v>14</v>
      </c>
      <c r="E1039">
        <v>5.9</v>
      </c>
      <c r="F1039">
        <v>1.4</v>
      </c>
      <c r="G1039">
        <v>2.15</v>
      </c>
      <c r="H1039">
        <v>0.3</v>
      </c>
      <c r="I1039" t="s">
        <v>18</v>
      </c>
      <c r="J1039">
        <v>3</v>
      </c>
      <c r="K1039">
        <v>10</v>
      </c>
      <c r="L1039">
        <v>2</v>
      </c>
      <c r="M1039">
        <v>0</v>
      </c>
      <c r="N1039" t="str">
        <f t="shared" si="34"/>
        <v>13-15</v>
      </c>
      <c r="O1039" t="str">
        <f t="shared" si="35"/>
        <v>low sleep</v>
      </c>
      <c r="P1039" s="1" t="str" cm="1">
        <f t="array" ref="P1039">_xlfn.IFS(L1039&lt;=3,"low",L1039&lt;=6,"medium",L1039&gt;=7,"high")</f>
        <v>low</v>
      </c>
    </row>
    <row r="1040" spans="1:16" x14ac:dyDescent="0.3">
      <c r="A1040">
        <v>17</v>
      </c>
      <c r="B1040" t="s">
        <v>16</v>
      </c>
      <c r="C1040">
        <v>4.5</v>
      </c>
      <c r="D1040" t="s">
        <v>20</v>
      </c>
      <c r="E1040">
        <v>6.1</v>
      </c>
      <c r="F1040">
        <v>2.8</v>
      </c>
      <c r="G1040">
        <v>3.38</v>
      </c>
      <c r="H1040">
        <v>1.2</v>
      </c>
      <c r="I1040" t="s">
        <v>15</v>
      </c>
      <c r="J1040">
        <v>10</v>
      </c>
      <c r="K1040">
        <v>4</v>
      </c>
      <c r="L1040">
        <v>2</v>
      </c>
      <c r="M1040">
        <v>0</v>
      </c>
      <c r="N1040" t="str">
        <f t="shared" si="34"/>
        <v>16-19</v>
      </c>
      <c r="O1040" t="str">
        <f t="shared" si="35"/>
        <v>healthy sleep</v>
      </c>
      <c r="P1040" s="1" t="str" cm="1">
        <f t="array" ref="P1040">_xlfn.IFS(L1040&lt;=3,"low",L1040&lt;=6,"medium",L1040&gt;=7,"high")</f>
        <v>low</v>
      </c>
    </row>
    <row r="1041" spans="1:16" x14ac:dyDescent="0.3">
      <c r="A1041">
        <v>13</v>
      </c>
      <c r="B1041" t="s">
        <v>13</v>
      </c>
      <c r="C1041">
        <v>5</v>
      </c>
      <c r="D1041" t="s">
        <v>14</v>
      </c>
      <c r="E1041">
        <v>5.2</v>
      </c>
      <c r="F1041">
        <v>2.6</v>
      </c>
      <c r="G1041">
        <v>2.04</v>
      </c>
      <c r="H1041">
        <v>1.7</v>
      </c>
      <c r="I1041" t="s">
        <v>19</v>
      </c>
      <c r="J1041">
        <v>4</v>
      </c>
      <c r="K1041">
        <v>4</v>
      </c>
      <c r="L1041">
        <v>5</v>
      </c>
      <c r="M1041">
        <v>0</v>
      </c>
      <c r="N1041" t="str">
        <f t="shared" si="34"/>
        <v>13-15</v>
      </c>
      <c r="O1041" t="str">
        <f t="shared" si="35"/>
        <v>low sleep</v>
      </c>
      <c r="P1041" s="1" t="str" cm="1">
        <f t="array" ref="P1041">_xlfn.IFS(L1041&lt;=3,"low",L1041&lt;=6,"medium",L1041&gt;=7,"high")</f>
        <v>medium</v>
      </c>
    </row>
    <row r="1042" spans="1:16" x14ac:dyDescent="0.3">
      <c r="A1042">
        <v>19</v>
      </c>
      <c r="B1042" t="s">
        <v>16</v>
      </c>
      <c r="C1042">
        <v>4.0999999999999996</v>
      </c>
      <c r="D1042" t="s">
        <v>20</v>
      </c>
      <c r="E1042">
        <v>6.4</v>
      </c>
      <c r="F1042">
        <v>1.4</v>
      </c>
      <c r="G1042">
        <v>2.2599999999999998</v>
      </c>
      <c r="H1042">
        <v>1.6</v>
      </c>
      <c r="I1042" t="s">
        <v>18</v>
      </c>
      <c r="J1042">
        <v>2</v>
      </c>
      <c r="K1042">
        <v>3</v>
      </c>
      <c r="L1042">
        <v>6</v>
      </c>
      <c r="M1042">
        <v>0</v>
      </c>
      <c r="N1042" t="str">
        <f t="shared" si="34"/>
        <v>16-19</v>
      </c>
      <c r="O1042" t="str">
        <f t="shared" si="35"/>
        <v>healthy sleep</v>
      </c>
      <c r="P1042" s="1" t="str" cm="1">
        <f t="array" ref="P1042">_xlfn.IFS(L1042&lt;=3,"low",L1042&lt;=6,"medium",L1042&gt;=7,"high")</f>
        <v>medium</v>
      </c>
    </row>
    <row r="1043" spans="1:16" x14ac:dyDescent="0.3">
      <c r="A1043">
        <v>18</v>
      </c>
      <c r="B1043" t="s">
        <v>13</v>
      </c>
      <c r="C1043">
        <v>7.5</v>
      </c>
      <c r="D1043" t="s">
        <v>17</v>
      </c>
      <c r="E1043">
        <v>7.6</v>
      </c>
      <c r="F1043">
        <v>1.8</v>
      </c>
      <c r="G1043">
        <v>3.19</v>
      </c>
      <c r="H1043">
        <v>1.7</v>
      </c>
      <c r="I1043" t="s">
        <v>18</v>
      </c>
      <c r="J1043">
        <v>2</v>
      </c>
      <c r="K1043">
        <v>6</v>
      </c>
      <c r="L1043">
        <v>6</v>
      </c>
      <c r="M1043">
        <v>0</v>
      </c>
      <c r="N1043" t="str">
        <f t="shared" si="34"/>
        <v>16-19</v>
      </c>
      <c r="O1043" t="str">
        <f t="shared" si="35"/>
        <v>healthy sleep</v>
      </c>
      <c r="P1043" s="1" t="str" cm="1">
        <f t="array" ref="P1043">_xlfn.IFS(L1043&lt;=3,"low",L1043&lt;=6,"medium",L1043&gt;=7,"high")</f>
        <v>medium</v>
      </c>
    </row>
    <row r="1044" spans="1:16" x14ac:dyDescent="0.3">
      <c r="A1044">
        <v>18</v>
      </c>
      <c r="B1044" t="s">
        <v>13</v>
      </c>
      <c r="C1044">
        <v>4.2</v>
      </c>
      <c r="D1044" t="s">
        <v>14</v>
      </c>
      <c r="E1044">
        <v>5.5</v>
      </c>
      <c r="F1044">
        <v>1.8</v>
      </c>
      <c r="G1044">
        <v>3.83</v>
      </c>
      <c r="H1044">
        <v>1.9</v>
      </c>
      <c r="I1044" t="s">
        <v>15</v>
      </c>
      <c r="J1044">
        <v>3</v>
      </c>
      <c r="K1044">
        <v>8</v>
      </c>
      <c r="L1044">
        <v>8</v>
      </c>
      <c r="M1044">
        <v>0</v>
      </c>
      <c r="N1044" t="str">
        <f t="shared" si="34"/>
        <v>16-19</v>
      </c>
      <c r="O1044" t="str">
        <f t="shared" si="35"/>
        <v>low sleep</v>
      </c>
      <c r="P1044" s="1" t="str" cm="1">
        <f t="array" ref="P1044">_xlfn.IFS(L1044&lt;=3,"low",L1044&lt;=6,"medium",L1044&gt;=7,"high")</f>
        <v>high</v>
      </c>
    </row>
    <row r="1045" spans="1:16" x14ac:dyDescent="0.3">
      <c r="A1045">
        <v>14</v>
      </c>
      <c r="B1045" t="s">
        <v>16</v>
      </c>
      <c r="C1045">
        <v>7.2</v>
      </c>
      <c r="D1045" t="s">
        <v>20</v>
      </c>
      <c r="E1045">
        <v>5</v>
      </c>
      <c r="F1045">
        <v>2.9</v>
      </c>
      <c r="G1045">
        <v>3.76</v>
      </c>
      <c r="H1045">
        <v>0.4</v>
      </c>
      <c r="I1045" t="s">
        <v>19</v>
      </c>
      <c r="J1045">
        <v>7</v>
      </c>
      <c r="K1045">
        <v>4</v>
      </c>
      <c r="L1045">
        <v>2</v>
      </c>
      <c r="M1045">
        <v>0</v>
      </c>
      <c r="N1045" t="str">
        <f t="shared" si="34"/>
        <v>13-15</v>
      </c>
      <c r="O1045" t="str">
        <f t="shared" si="35"/>
        <v>low sleep</v>
      </c>
      <c r="P1045" s="1" t="str" cm="1">
        <f t="array" ref="P1045">_xlfn.IFS(L1045&lt;=3,"low",L1045&lt;=6,"medium",L1045&gt;=7,"high")</f>
        <v>low</v>
      </c>
    </row>
    <row r="1046" spans="1:16" x14ac:dyDescent="0.3">
      <c r="A1046">
        <v>13</v>
      </c>
      <c r="B1046" t="s">
        <v>13</v>
      </c>
      <c r="C1046">
        <v>4.8</v>
      </c>
      <c r="D1046" t="s">
        <v>14</v>
      </c>
      <c r="E1046">
        <v>6</v>
      </c>
      <c r="F1046">
        <v>0.6</v>
      </c>
      <c r="G1046">
        <v>2.41</v>
      </c>
      <c r="H1046">
        <v>0</v>
      </c>
      <c r="I1046" t="s">
        <v>18</v>
      </c>
      <c r="J1046">
        <v>3</v>
      </c>
      <c r="K1046">
        <v>6</v>
      </c>
      <c r="L1046">
        <v>9</v>
      </c>
      <c r="M1046">
        <v>0</v>
      </c>
      <c r="N1046" t="str">
        <f t="shared" si="34"/>
        <v>13-15</v>
      </c>
      <c r="O1046" t="str">
        <f t="shared" si="35"/>
        <v>low sleep</v>
      </c>
      <c r="P1046" s="1" t="str" cm="1">
        <f t="array" ref="P1046">_xlfn.IFS(L1046&lt;=3,"low",L1046&lt;=6,"medium",L1046&gt;=7,"high")</f>
        <v>high</v>
      </c>
    </row>
    <row r="1047" spans="1:16" x14ac:dyDescent="0.3">
      <c r="A1047">
        <v>17</v>
      </c>
      <c r="B1047" t="s">
        <v>16</v>
      </c>
      <c r="C1047">
        <v>7.3</v>
      </c>
      <c r="D1047" t="s">
        <v>14</v>
      </c>
      <c r="E1047">
        <v>6.7</v>
      </c>
      <c r="F1047">
        <v>1</v>
      </c>
      <c r="G1047">
        <v>3.41</v>
      </c>
      <c r="H1047">
        <v>1.7</v>
      </c>
      <c r="I1047" t="s">
        <v>19</v>
      </c>
      <c r="J1047">
        <v>6</v>
      </c>
      <c r="K1047">
        <v>5</v>
      </c>
      <c r="L1047">
        <v>2</v>
      </c>
      <c r="M1047">
        <v>0</v>
      </c>
      <c r="N1047" t="str">
        <f t="shared" si="34"/>
        <v>16-19</v>
      </c>
      <c r="O1047" t="str">
        <f t="shared" si="35"/>
        <v>healthy sleep</v>
      </c>
      <c r="P1047" s="1" t="str" cm="1">
        <f t="array" ref="P1047">_xlfn.IFS(L1047&lt;=3,"low",L1047&lt;=6,"medium",L1047&gt;=7,"high")</f>
        <v>low</v>
      </c>
    </row>
    <row r="1048" spans="1:16" x14ac:dyDescent="0.3">
      <c r="A1048">
        <v>13</v>
      </c>
      <c r="B1048" t="s">
        <v>13</v>
      </c>
      <c r="C1048">
        <v>3.9</v>
      </c>
      <c r="D1048" t="s">
        <v>20</v>
      </c>
      <c r="E1048">
        <v>4.5</v>
      </c>
      <c r="F1048">
        <v>1.6</v>
      </c>
      <c r="G1048">
        <v>2.02</v>
      </c>
      <c r="H1048">
        <v>0.6</v>
      </c>
      <c r="I1048" t="s">
        <v>18</v>
      </c>
      <c r="J1048">
        <v>6</v>
      </c>
      <c r="K1048">
        <v>6</v>
      </c>
      <c r="L1048">
        <v>5</v>
      </c>
      <c r="M1048">
        <v>0</v>
      </c>
      <c r="N1048" t="str">
        <f t="shared" si="34"/>
        <v>13-15</v>
      </c>
      <c r="O1048" t="str">
        <f t="shared" si="35"/>
        <v>low sleep</v>
      </c>
      <c r="P1048" s="1" t="str" cm="1">
        <f t="array" ref="P1048">_xlfn.IFS(L1048&lt;=3,"low",L1048&lt;=6,"medium",L1048&gt;=7,"high")</f>
        <v>medium</v>
      </c>
    </row>
    <row r="1049" spans="1:16" x14ac:dyDescent="0.3">
      <c r="A1049">
        <v>15</v>
      </c>
      <c r="B1049" t="s">
        <v>16</v>
      </c>
      <c r="C1049">
        <v>5.5</v>
      </c>
      <c r="D1049" t="s">
        <v>20</v>
      </c>
      <c r="E1049">
        <v>4</v>
      </c>
      <c r="F1049">
        <v>2.4</v>
      </c>
      <c r="G1049">
        <v>3.01</v>
      </c>
      <c r="H1049">
        <v>0.9</v>
      </c>
      <c r="I1049" t="s">
        <v>15</v>
      </c>
      <c r="J1049">
        <v>10</v>
      </c>
      <c r="K1049">
        <v>3</v>
      </c>
      <c r="L1049">
        <v>2</v>
      </c>
      <c r="M1049">
        <v>0</v>
      </c>
      <c r="N1049" t="str">
        <f t="shared" si="34"/>
        <v>13-15</v>
      </c>
      <c r="O1049" t="str">
        <f t="shared" si="35"/>
        <v>low sleep</v>
      </c>
      <c r="P1049" s="1" t="str" cm="1">
        <f t="array" ref="P1049">_xlfn.IFS(L1049&lt;=3,"low",L1049&lt;=6,"medium",L1049&gt;=7,"high")</f>
        <v>low</v>
      </c>
    </row>
    <row r="1050" spans="1:16" x14ac:dyDescent="0.3">
      <c r="A1050">
        <v>15</v>
      </c>
      <c r="B1050" t="s">
        <v>13</v>
      </c>
      <c r="C1050">
        <v>7.5</v>
      </c>
      <c r="D1050" t="s">
        <v>20</v>
      </c>
      <c r="E1050">
        <v>6.3</v>
      </c>
      <c r="F1050">
        <v>2.8</v>
      </c>
      <c r="G1050">
        <v>3.04</v>
      </c>
      <c r="H1050">
        <v>1.8</v>
      </c>
      <c r="I1050" t="s">
        <v>15</v>
      </c>
      <c r="J1050">
        <v>1</v>
      </c>
      <c r="K1050">
        <v>5</v>
      </c>
      <c r="L1050">
        <v>8</v>
      </c>
      <c r="M1050">
        <v>0</v>
      </c>
      <c r="N1050" t="str">
        <f t="shared" si="34"/>
        <v>13-15</v>
      </c>
      <c r="O1050" t="str">
        <f t="shared" si="35"/>
        <v>healthy sleep</v>
      </c>
      <c r="P1050" s="1" t="str" cm="1">
        <f t="array" ref="P1050">_xlfn.IFS(L1050&lt;=3,"low",L1050&lt;=6,"medium",L1050&gt;=7,"high")</f>
        <v>high</v>
      </c>
    </row>
    <row r="1051" spans="1:16" x14ac:dyDescent="0.3">
      <c r="A1051">
        <v>17</v>
      </c>
      <c r="B1051" t="s">
        <v>13</v>
      </c>
      <c r="C1051">
        <v>1.8</v>
      </c>
      <c r="D1051" t="s">
        <v>14</v>
      </c>
      <c r="E1051">
        <v>6.9</v>
      </c>
      <c r="F1051">
        <v>2.7</v>
      </c>
      <c r="G1051">
        <v>2.5299999999999998</v>
      </c>
      <c r="H1051">
        <v>1.7</v>
      </c>
      <c r="I1051" t="s">
        <v>18</v>
      </c>
      <c r="J1051">
        <v>2</v>
      </c>
      <c r="K1051">
        <v>2</v>
      </c>
      <c r="L1051">
        <v>7</v>
      </c>
      <c r="M1051">
        <v>0</v>
      </c>
      <c r="N1051" t="str">
        <f t="shared" si="34"/>
        <v>16-19</v>
      </c>
      <c r="O1051" t="str">
        <f t="shared" si="35"/>
        <v>healthy sleep</v>
      </c>
      <c r="P1051" s="1" t="str" cm="1">
        <f t="array" ref="P1051">_xlfn.IFS(L1051&lt;=3,"low",L1051&lt;=6,"medium",L1051&gt;=7,"high")</f>
        <v>high</v>
      </c>
    </row>
    <row r="1052" spans="1:16" x14ac:dyDescent="0.3">
      <c r="A1052">
        <v>16</v>
      </c>
      <c r="B1052" t="s">
        <v>13</v>
      </c>
      <c r="C1052">
        <v>2.6</v>
      </c>
      <c r="D1052" t="s">
        <v>14</v>
      </c>
      <c r="E1052">
        <v>5.0999999999999996</v>
      </c>
      <c r="F1052">
        <v>0.9</v>
      </c>
      <c r="G1052">
        <v>2.57</v>
      </c>
      <c r="H1052">
        <v>1.4</v>
      </c>
      <c r="I1052" t="s">
        <v>19</v>
      </c>
      <c r="J1052">
        <v>8</v>
      </c>
      <c r="K1052">
        <v>5</v>
      </c>
      <c r="L1052">
        <v>8</v>
      </c>
      <c r="M1052">
        <v>0</v>
      </c>
      <c r="N1052" t="str">
        <f t="shared" si="34"/>
        <v>16-19</v>
      </c>
      <c r="O1052" t="str">
        <f t="shared" si="35"/>
        <v>low sleep</v>
      </c>
      <c r="P1052" s="1" t="str" cm="1">
        <f t="array" ref="P1052">_xlfn.IFS(L1052&lt;=3,"low",L1052&lt;=6,"medium",L1052&gt;=7,"high")</f>
        <v>high</v>
      </c>
    </row>
    <row r="1053" spans="1:16" x14ac:dyDescent="0.3">
      <c r="A1053">
        <v>17</v>
      </c>
      <c r="B1053" t="s">
        <v>16</v>
      </c>
      <c r="C1053">
        <v>5.5</v>
      </c>
      <c r="D1053" t="s">
        <v>20</v>
      </c>
      <c r="E1053">
        <v>6</v>
      </c>
      <c r="F1053">
        <v>2.8</v>
      </c>
      <c r="G1053">
        <v>3.4</v>
      </c>
      <c r="H1053">
        <v>0</v>
      </c>
      <c r="I1053" t="s">
        <v>19</v>
      </c>
      <c r="J1053">
        <v>2</v>
      </c>
      <c r="K1053">
        <v>3</v>
      </c>
      <c r="L1053">
        <v>8</v>
      </c>
      <c r="M1053">
        <v>0</v>
      </c>
      <c r="N1053" t="str">
        <f t="shared" si="34"/>
        <v>16-19</v>
      </c>
      <c r="O1053" t="str">
        <f t="shared" si="35"/>
        <v>low sleep</v>
      </c>
      <c r="P1053" s="1" t="str" cm="1">
        <f t="array" ref="P1053">_xlfn.IFS(L1053&lt;=3,"low",L1053&lt;=6,"medium",L1053&gt;=7,"high")</f>
        <v>high</v>
      </c>
    </row>
    <row r="1054" spans="1:16" x14ac:dyDescent="0.3">
      <c r="A1054">
        <v>15</v>
      </c>
      <c r="B1054" t="s">
        <v>16</v>
      </c>
      <c r="C1054">
        <v>3.6</v>
      </c>
      <c r="D1054" t="s">
        <v>17</v>
      </c>
      <c r="E1054">
        <v>7.1</v>
      </c>
      <c r="F1054">
        <v>0.9</v>
      </c>
      <c r="G1054">
        <v>2.84</v>
      </c>
      <c r="H1054">
        <v>0.3</v>
      </c>
      <c r="I1054" t="s">
        <v>15</v>
      </c>
      <c r="J1054">
        <v>1</v>
      </c>
      <c r="K1054">
        <v>9</v>
      </c>
      <c r="L1054">
        <v>4</v>
      </c>
      <c r="M1054">
        <v>0</v>
      </c>
      <c r="N1054" t="str">
        <f t="shared" si="34"/>
        <v>13-15</v>
      </c>
      <c r="O1054" t="str">
        <f t="shared" si="35"/>
        <v>healthy sleep</v>
      </c>
      <c r="P1054" s="1" t="str" cm="1">
        <f t="array" ref="P1054">_xlfn.IFS(L1054&lt;=3,"low",L1054&lt;=6,"medium",L1054&gt;=7,"high")</f>
        <v>medium</v>
      </c>
    </row>
    <row r="1055" spans="1:16" x14ac:dyDescent="0.3">
      <c r="A1055">
        <v>19</v>
      </c>
      <c r="B1055" t="s">
        <v>16</v>
      </c>
      <c r="C1055">
        <v>7.6</v>
      </c>
      <c r="D1055" t="s">
        <v>20</v>
      </c>
      <c r="E1055">
        <v>5.4</v>
      </c>
      <c r="F1055">
        <v>1.9</v>
      </c>
      <c r="G1055">
        <v>2.56</v>
      </c>
      <c r="H1055">
        <v>1.4</v>
      </c>
      <c r="I1055" t="s">
        <v>15</v>
      </c>
      <c r="J1055">
        <v>2</v>
      </c>
      <c r="K1055">
        <v>7</v>
      </c>
      <c r="L1055">
        <v>9</v>
      </c>
      <c r="M1055">
        <v>0</v>
      </c>
      <c r="N1055" t="str">
        <f t="shared" si="34"/>
        <v>16-19</v>
      </c>
      <c r="O1055" t="str">
        <f t="shared" si="35"/>
        <v>low sleep</v>
      </c>
      <c r="P1055" s="1" t="str" cm="1">
        <f t="array" ref="P1055">_xlfn.IFS(L1055&lt;=3,"low",L1055&lt;=6,"medium",L1055&gt;=7,"high")</f>
        <v>high</v>
      </c>
    </row>
    <row r="1056" spans="1:16" x14ac:dyDescent="0.3">
      <c r="A1056">
        <v>13</v>
      </c>
      <c r="B1056" t="s">
        <v>13</v>
      </c>
      <c r="C1056">
        <v>7.9</v>
      </c>
      <c r="D1056" t="s">
        <v>14</v>
      </c>
      <c r="E1056">
        <v>7.1</v>
      </c>
      <c r="F1056">
        <v>0.7</v>
      </c>
      <c r="G1056">
        <v>2.8</v>
      </c>
      <c r="H1056">
        <v>0.3</v>
      </c>
      <c r="I1056" t="s">
        <v>19</v>
      </c>
      <c r="J1056">
        <v>6</v>
      </c>
      <c r="K1056">
        <v>8</v>
      </c>
      <c r="L1056">
        <v>8</v>
      </c>
      <c r="M1056">
        <v>0</v>
      </c>
      <c r="N1056" t="str">
        <f t="shared" si="34"/>
        <v>13-15</v>
      </c>
      <c r="O1056" t="str">
        <f t="shared" si="35"/>
        <v>healthy sleep</v>
      </c>
      <c r="P1056" s="1" t="str" cm="1">
        <f t="array" ref="P1056">_xlfn.IFS(L1056&lt;=3,"low",L1056&lt;=6,"medium",L1056&gt;=7,"high")</f>
        <v>high</v>
      </c>
    </row>
    <row r="1057" spans="1:16" x14ac:dyDescent="0.3">
      <c r="A1057">
        <v>15</v>
      </c>
      <c r="B1057" t="s">
        <v>13</v>
      </c>
      <c r="C1057">
        <v>2.6</v>
      </c>
      <c r="D1057" t="s">
        <v>20</v>
      </c>
      <c r="E1057">
        <v>6.8</v>
      </c>
      <c r="F1057">
        <v>1.7</v>
      </c>
      <c r="G1057">
        <v>2.06</v>
      </c>
      <c r="H1057">
        <v>0.4</v>
      </c>
      <c r="I1057" t="s">
        <v>19</v>
      </c>
      <c r="J1057">
        <v>8</v>
      </c>
      <c r="K1057">
        <v>6</v>
      </c>
      <c r="L1057">
        <v>6</v>
      </c>
      <c r="M1057">
        <v>0</v>
      </c>
      <c r="N1057" t="str">
        <f t="shared" si="34"/>
        <v>13-15</v>
      </c>
      <c r="O1057" t="str">
        <f t="shared" si="35"/>
        <v>healthy sleep</v>
      </c>
      <c r="P1057" s="1" t="str" cm="1">
        <f t="array" ref="P1057">_xlfn.IFS(L1057&lt;=3,"low",L1057&lt;=6,"medium",L1057&gt;=7,"high")</f>
        <v>medium</v>
      </c>
    </row>
    <row r="1058" spans="1:16" x14ac:dyDescent="0.3">
      <c r="A1058">
        <v>19</v>
      </c>
      <c r="B1058" t="s">
        <v>13</v>
      </c>
      <c r="C1058">
        <v>5.7</v>
      </c>
      <c r="D1058" t="s">
        <v>17</v>
      </c>
      <c r="E1058">
        <v>6.4</v>
      </c>
      <c r="F1058">
        <v>0.9</v>
      </c>
      <c r="G1058">
        <v>3.57</v>
      </c>
      <c r="H1058">
        <v>1.5</v>
      </c>
      <c r="I1058" t="s">
        <v>18</v>
      </c>
      <c r="J1058">
        <v>3</v>
      </c>
      <c r="K1058">
        <v>7</v>
      </c>
      <c r="L1058">
        <v>2</v>
      </c>
      <c r="M1058">
        <v>0</v>
      </c>
      <c r="N1058" t="str">
        <f t="shared" si="34"/>
        <v>16-19</v>
      </c>
      <c r="O1058" t="str">
        <f t="shared" si="35"/>
        <v>healthy sleep</v>
      </c>
      <c r="P1058" s="1" t="str" cm="1">
        <f t="array" ref="P1058">_xlfn.IFS(L1058&lt;=3,"low",L1058&lt;=6,"medium",L1058&gt;=7,"high")</f>
        <v>low</v>
      </c>
    </row>
    <row r="1059" spans="1:16" x14ac:dyDescent="0.3">
      <c r="A1059">
        <v>13</v>
      </c>
      <c r="B1059" t="s">
        <v>16</v>
      </c>
      <c r="C1059">
        <v>7.1</v>
      </c>
      <c r="D1059" t="s">
        <v>14</v>
      </c>
      <c r="E1059">
        <v>5.7</v>
      </c>
      <c r="F1059">
        <v>1.2</v>
      </c>
      <c r="G1059">
        <v>3.83</v>
      </c>
      <c r="H1059">
        <v>2</v>
      </c>
      <c r="I1059" t="s">
        <v>19</v>
      </c>
      <c r="J1059">
        <v>2</v>
      </c>
      <c r="K1059">
        <v>8</v>
      </c>
      <c r="L1059">
        <v>7</v>
      </c>
      <c r="M1059">
        <v>0</v>
      </c>
      <c r="N1059" t="str">
        <f t="shared" si="34"/>
        <v>13-15</v>
      </c>
      <c r="O1059" t="str">
        <f t="shared" si="35"/>
        <v>low sleep</v>
      </c>
      <c r="P1059" s="1" t="str" cm="1">
        <f t="array" ref="P1059">_xlfn.IFS(L1059&lt;=3,"low",L1059&lt;=6,"medium",L1059&gt;=7,"high")</f>
        <v>high</v>
      </c>
    </row>
    <row r="1060" spans="1:16" x14ac:dyDescent="0.3">
      <c r="A1060">
        <v>13</v>
      </c>
      <c r="B1060" t="s">
        <v>16</v>
      </c>
      <c r="C1060">
        <v>1.3</v>
      </c>
      <c r="D1060" t="s">
        <v>17</v>
      </c>
      <c r="E1060">
        <v>8.6999999999999993</v>
      </c>
      <c r="F1060">
        <v>0.9</v>
      </c>
      <c r="G1060">
        <v>4</v>
      </c>
      <c r="H1060">
        <v>0.1</v>
      </c>
      <c r="I1060" t="s">
        <v>15</v>
      </c>
      <c r="J1060">
        <v>10</v>
      </c>
      <c r="K1060">
        <v>9</v>
      </c>
      <c r="L1060">
        <v>9</v>
      </c>
      <c r="M1060">
        <v>0</v>
      </c>
      <c r="N1060" t="str">
        <f t="shared" si="34"/>
        <v>13-15</v>
      </c>
      <c r="O1060" t="str">
        <f t="shared" si="35"/>
        <v>healthy sleep</v>
      </c>
      <c r="P1060" s="1" t="str" cm="1">
        <f t="array" ref="P1060">_xlfn.IFS(L1060&lt;=3,"low",L1060&lt;=6,"medium",L1060&gt;=7,"high")</f>
        <v>high</v>
      </c>
    </row>
    <row r="1061" spans="1:16" x14ac:dyDescent="0.3">
      <c r="A1061">
        <v>13</v>
      </c>
      <c r="B1061" t="s">
        <v>16</v>
      </c>
      <c r="C1061">
        <v>1.1000000000000001</v>
      </c>
      <c r="D1061" t="s">
        <v>20</v>
      </c>
      <c r="E1061">
        <v>6.7</v>
      </c>
      <c r="F1061">
        <v>2</v>
      </c>
      <c r="G1061">
        <v>3.63</v>
      </c>
      <c r="H1061">
        <v>0.2</v>
      </c>
      <c r="I1061" t="s">
        <v>19</v>
      </c>
      <c r="J1061">
        <v>3</v>
      </c>
      <c r="K1061">
        <v>10</v>
      </c>
      <c r="L1061">
        <v>5</v>
      </c>
      <c r="M1061">
        <v>0</v>
      </c>
      <c r="N1061" t="str">
        <f t="shared" si="34"/>
        <v>13-15</v>
      </c>
      <c r="O1061" t="str">
        <f t="shared" si="35"/>
        <v>healthy sleep</v>
      </c>
      <c r="P1061" s="1" t="str" cm="1">
        <f t="array" ref="P1061">_xlfn.IFS(L1061&lt;=3,"low",L1061&lt;=6,"medium",L1061&gt;=7,"high")</f>
        <v>medium</v>
      </c>
    </row>
    <row r="1062" spans="1:16" x14ac:dyDescent="0.3">
      <c r="A1062">
        <v>13</v>
      </c>
      <c r="B1062" t="s">
        <v>16</v>
      </c>
      <c r="C1062">
        <v>3.3</v>
      </c>
      <c r="D1062" t="s">
        <v>17</v>
      </c>
      <c r="E1062">
        <v>9</v>
      </c>
      <c r="F1062">
        <v>0.7</v>
      </c>
      <c r="G1062">
        <v>2.4900000000000002</v>
      </c>
      <c r="H1062">
        <v>0.6</v>
      </c>
      <c r="I1062" t="s">
        <v>19</v>
      </c>
      <c r="J1062">
        <v>3</v>
      </c>
      <c r="K1062">
        <v>6</v>
      </c>
      <c r="L1062">
        <v>4</v>
      </c>
      <c r="M1062">
        <v>0</v>
      </c>
      <c r="N1062" t="str">
        <f t="shared" si="34"/>
        <v>13-15</v>
      </c>
      <c r="O1062" t="str">
        <f t="shared" si="35"/>
        <v>healthy sleep</v>
      </c>
      <c r="P1062" s="1" t="str" cm="1">
        <f t="array" ref="P1062">_xlfn.IFS(L1062&lt;=3,"low",L1062&lt;=6,"medium",L1062&gt;=7,"high")</f>
        <v>medium</v>
      </c>
    </row>
    <row r="1063" spans="1:16" x14ac:dyDescent="0.3">
      <c r="A1063">
        <v>16</v>
      </c>
      <c r="B1063" t="s">
        <v>13</v>
      </c>
      <c r="C1063">
        <v>7.4</v>
      </c>
      <c r="D1063" t="s">
        <v>20</v>
      </c>
      <c r="E1063">
        <v>7.2</v>
      </c>
      <c r="F1063">
        <v>1.8</v>
      </c>
      <c r="G1063">
        <v>2.11</v>
      </c>
      <c r="H1063">
        <v>1.4</v>
      </c>
      <c r="I1063" t="s">
        <v>19</v>
      </c>
      <c r="J1063">
        <v>3</v>
      </c>
      <c r="K1063">
        <v>7</v>
      </c>
      <c r="L1063">
        <v>3</v>
      </c>
      <c r="M1063">
        <v>0</v>
      </c>
      <c r="N1063" t="str">
        <f t="shared" si="34"/>
        <v>16-19</v>
      </c>
      <c r="O1063" t="str">
        <f t="shared" si="35"/>
        <v>healthy sleep</v>
      </c>
      <c r="P1063" s="1" t="str" cm="1">
        <f t="array" ref="P1063">_xlfn.IFS(L1063&lt;=3,"low",L1063&lt;=6,"medium",L1063&gt;=7,"high")</f>
        <v>low</v>
      </c>
    </row>
    <row r="1064" spans="1:16" x14ac:dyDescent="0.3">
      <c r="A1064">
        <v>13</v>
      </c>
      <c r="B1064" t="s">
        <v>13</v>
      </c>
      <c r="C1064">
        <v>5.8</v>
      </c>
      <c r="D1064" t="s">
        <v>17</v>
      </c>
      <c r="E1064">
        <v>8.3000000000000007</v>
      </c>
      <c r="F1064">
        <v>2.8</v>
      </c>
      <c r="G1064">
        <v>2.63</v>
      </c>
      <c r="H1064">
        <v>0.6</v>
      </c>
      <c r="I1064" t="s">
        <v>18</v>
      </c>
      <c r="J1064">
        <v>5</v>
      </c>
      <c r="K1064">
        <v>3</v>
      </c>
      <c r="L1064">
        <v>7</v>
      </c>
      <c r="M1064">
        <v>0</v>
      </c>
      <c r="N1064" t="str">
        <f t="shared" si="34"/>
        <v>13-15</v>
      </c>
      <c r="O1064" t="str">
        <f t="shared" si="35"/>
        <v>healthy sleep</v>
      </c>
      <c r="P1064" s="1" t="str" cm="1">
        <f t="array" ref="P1064">_xlfn.IFS(L1064&lt;=3,"low",L1064&lt;=6,"medium",L1064&gt;=7,"high")</f>
        <v>high</v>
      </c>
    </row>
    <row r="1065" spans="1:16" x14ac:dyDescent="0.3">
      <c r="A1065">
        <v>18</v>
      </c>
      <c r="B1065" t="s">
        <v>16</v>
      </c>
      <c r="C1065">
        <v>4.5999999999999996</v>
      </c>
      <c r="D1065" t="s">
        <v>17</v>
      </c>
      <c r="E1065">
        <v>6.8</v>
      </c>
      <c r="F1065">
        <v>1.5</v>
      </c>
      <c r="G1065">
        <v>2.4</v>
      </c>
      <c r="H1065">
        <v>1.4</v>
      </c>
      <c r="I1065" t="s">
        <v>19</v>
      </c>
      <c r="J1065">
        <v>5</v>
      </c>
      <c r="K1065">
        <v>10</v>
      </c>
      <c r="L1065">
        <v>2</v>
      </c>
      <c r="M1065">
        <v>0</v>
      </c>
      <c r="N1065" t="str">
        <f t="shared" si="34"/>
        <v>16-19</v>
      </c>
      <c r="O1065" t="str">
        <f t="shared" si="35"/>
        <v>healthy sleep</v>
      </c>
      <c r="P1065" s="1" t="str" cm="1">
        <f t="array" ref="P1065">_xlfn.IFS(L1065&lt;=3,"low",L1065&lt;=6,"medium",L1065&gt;=7,"high")</f>
        <v>low</v>
      </c>
    </row>
    <row r="1066" spans="1:16" x14ac:dyDescent="0.3">
      <c r="A1066">
        <v>18</v>
      </c>
      <c r="B1066" t="s">
        <v>16</v>
      </c>
      <c r="C1066">
        <v>2.5</v>
      </c>
      <c r="D1066" t="s">
        <v>17</v>
      </c>
      <c r="E1066">
        <v>7.1</v>
      </c>
      <c r="F1066">
        <v>1.6</v>
      </c>
      <c r="G1066">
        <v>3.97</v>
      </c>
      <c r="H1066">
        <v>0.7</v>
      </c>
      <c r="I1066" t="s">
        <v>19</v>
      </c>
      <c r="J1066">
        <v>10</v>
      </c>
      <c r="K1066">
        <v>7</v>
      </c>
      <c r="L1066">
        <v>3</v>
      </c>
      <c r="M1066">
        <v>0</v>
      </c>
      <c r="N1066" t="str">
        <f t="shared" si="34"/>
        <v>16-19</v>
      </c>
      <c r="O1066" t="str">
        <f t="shared" si="35"/>
        <v>healthy sleep</v>
      </c>
      <c r="P1066" s="1" t="str" cm="1">
        <f t="array" ref="P1066">_xlfn.IFS(L1066&lt;=3,"low",L1066&lt;=6,"medium",L1066&gt;=7,"high")</f>
        <v>low</v>
      </c>
    </row>
    <row r="1067" spans="1:16" x14ac:dyDescent="0.3">
      <c r="A1067">
        <v>18</v>
      </c>
      <c r="B1067" t="s">
        <v>13</v>
      </c>
      <c r="C1067">
        <v>4</v>
      </c>
      <c r="D1067" t="s">
        <v>20</v>
      </c>
      <c r="E1067">
        <v>8</v>
      </c>
      <c r="F1067">
        <v>2</v>
      </c>
      <c r="G1067">
        <v>3.04</v>
      </c>
      <c r="H1067">
        <v>1.4</v>
      </c>
      <c r="I1067" t="s">
        <v>18</v>
      </c>
      <c r="J1067">
        <v>3</v>
      </c>
      <c r="K1067">
        <v>1</v>
      </c>
      <c r="L1067">
        <v>8</v>
      </c>
      <c r="M1067">
        <v>0</v>
      </c>
      <c r="N1067" t="str">
        <f t="shared" si="34"/>
        <v>16-19</v>
      </c>
      <c r="O1067" t="str">
        <f t="shared" si="35"/>
        <v>healthy sleep</v>
      </c>
      <c r="P1067" s="1" t="str" cm="1">
        <f t="array" ref="P1067">_xlfn.IFS(L1067&lt;=3,"low",L1067&lt;=6,"medium",L1067&gt;=7,"high")</f>
        <v>high</v>
      </c>
    </row>
    <row r="1068" spans="1:16" x14ac:dyDescent="0.3">
      <c r="A1068">
        <v>17</v>
      </c>
      <c r="B1068" t="s">
        <v>16</v>
      </c>
      <c r="C1068">
        <v>6.6</v>
      </c>
      <c r="D1068" t="s">
        <v>20</v>
      </c>
      <c r="E1068">
        <v>8</v>
      </c>
      <c r="F1068">
        <v>1.9</v>
      </c>
      <c r="G1068">
        <v>2.86</v>
      </c>
      <c r="H1068">
        <v>0.4</v>
      </c>
      <c r="I1068" t="s">
        <v>19</v>
      </c>
      <c r="J1068">
        <v>4</v>
      </c>
      <c r="K1068">
        <v>8</v>
      </c>
      <c r="L1068">
        <v>5</v>
      </c>
      <c r="M1068">
        <v>0</v>
      </c>
      <c r="N1068" t="str">
        <f t="shared" si="34"/>
        <v>16-19</v>
      </c>
      <c r="O1068" t="str">
        <f t="shared" si="35"/>
        <v>healthy sleep</v>
      </c>
      <c r="P1068" s="1" t="str" cm="1">
        <f t="array" ref="P1068">_xlfn.IFS(L1068&lt;=3,"low",L1068&lt;=6,"medium",L1068&gt;=7,"high")</f>
        <v>medium</v>
      </c>
    </row>
    <row r="1069" spans="1:16" x14ac:dyDescent="0.3">
      <c r="A1069">
        <v>14</v>
      </c>
      <c r="B1069" t="s">
        <v>16</v>
      </c>
      <c r="C1069">
        <v>2.9</v>
      </c>
      <c r="D1069" t="s">
        <v>17</v>
      </c>
      <c r="E1069">
        <v>5.8</v>
      </c>
      <c r="F1069">
        <v>1.6</v>
      </c>
      <c r="G1069">
        <v>3.34</v>
      </c>
      <c r="H1069">
        <v>1.1000000000000001</v>
      </c>
      <c r="I1069" t="s">
        <v>19</v>
      </c>
      <c r="J1069">
        <v>6</v>
      </c>
      <c r="K1069">
        <v>10</v>
      </c>
      <c r="L1069">
        <v>3</v>
      </c>
      <c r="M1069">
        <v>0</v>
      </c>
      <c r="N1069" t="str">
        <f t="shared" si="34"/>
        <v>13-15</v>
      </c>
      <c r="O1069" t="str">
        <f t="shared" si="35"/>
        <v>low sleep</v>
      </c>
      <c r="P1069" s="1" t="str" cm="1">
        <f t="array" ref="P1069">_xlfn.IFS(L1069&lt;=3,"low",L1069&lt;=6,"medium",L1069&gt;=7,"high")</f>
        <v>low</v>
      </c>
    </row>
    <row r="1070" spans="1:16" x14ac:dyDescent="0.3">
      <c r="A1070">
        <v>14</v>
      </c>
      <c r="B1070" t="s">
        <v>13</v>
      </c>
      <c r="C1070">
        <v>7.2</v>
      </c>
      <c r="D1070" t="s">
        <v>17</v>
      </c>
      <c r="E1070">
        <v>5.7</v>
      </c>
      <c r="F1070">
        <v>2.7</v>
      </c>
      <c r="G1070">
        <v>2.76</v>
      </c>
      <c r="H1070">
        <v>0.4</v>
      </c>
      <c r="I1070" t="s">
        <v>15</v>
      </c>
      <c r="J1070">
        <v>7</v>
      </c>
      <c r="K1070">
        <v>3</v>
      </c>
      <c r="L1070">
        <v>7</v>
      </c>
      <c r="M1070">
        <v>0</v>
      </c>
      <c r="N1070" t="str">
        <f t="shared" si="34"/>
        <v>13-15</v>
      </c>
      <c r="O1070" t="str">
        <f t="shared" si="35"/>
        <v>low sleep</v>
      </c>
      <c r="P1070" s="1" t="str" cm="1">
        <f t="array" ref="P1070">_xlfn.IFS(L1070&lt;=3,"low",L1070&lt;=6,"medium",L1070&gt;=7,"high")</f>
        <v>high</v>
      </c>
    </row>
    <row r="1071" spans="1:16" x14ac:dyDescent="0.3">
      <c r="A1071">
        <v>13</v>
      </c>
      <c r="B1071" t="s">
        <v>16</v>
      </c>
      <c r="C1071">
        <v>2.9</v>
      </c>
      <c r="D1071" t="s">
        <v>14</v>
      </c>
      <c r="E1071">
        <v>5.3</v>
      </c>
      <c r="F1071">
        <v>1</v>
      </c>
      <c r="G1071">
        <v>3.89</v>
      </c>
      <c r="H1071">
        <v>1.7</v>
      </c>
      <c r="I1071" t="s">
        <v>18</v>
      </c>
      <c r="J1071">
        <v>9</v>
      </c>
      <c r="K1071">
        <v>2</v>
      </c>
      <c r="L1071">
        <v>4</v>
      </c>
      <c r="M1071">
        <v>0</v>
      </c>
      <c r="N1071" t="str">
        <f t="shared" si="34"/>
        <v>13-15</v>
      </c>
      <c r="O1071" t="str">
        <f t="shared" si="35"/>
        <v>low sleep</v>
      </c>
      <c r="P1071" s="1" t="str" cm="1">
        <f t="array" ref="P1071">_xlfn.IFS(L1071&lt;=3,"low",L1071&lt;=6,"medium",L1071&gt;=7,"high")</f>
        <v>medium</v>
      </c>
    </row>
    <row r="1072" spans="1:16" x14ac:dyDescent="0.3">
      <c r="A1072">
        <v>15</v>
      </c>
      <c r="B1072" t="s">
        <v>16</v>
      </c>
      <c r="C1072">
        <v>7.3</v>
      </c>
      <c r="D1072" t="s">
        <v>20</v>
      </c>
      <c r="E1072">
        <v>5.7</v>
      </c>
      <c r="F1072">
        <v>2.9</v>
      </c>
      <c r="G1072">
        <v>3.48</v>
      </c>
      <c r="H1072">
        <v>1.8</v>
      </c>
      <c r="I1072" t="s">
        <v>19</v>
      </c>
      <c r="J1072">
        <v>2</v>
      </c>
      <c r="K1072">
        <v>7</v>
      </c>
      <c r="L1072">
        <v>8</v>
      </c>
      <c r="M1072">
        <v>0</v>
      </c>
      <c r="N1072" t="str">
        <f t="shared" si="34"/>
        <v>13-15</v>
      </c>
      <c r="O1072" t="str">
        <f t="shared" si="35"/>
        <v>low sleep</v>
      </c>
      <c r="P1072" s="1" t="str" cm="1">
        <f t="array" ref="P1072">_xlfn.IFS(L1072&lt;=3,"low",L1072&lt;=6,"medium",L1072&gt;=7,"high")</f>
        <v>high</v>
      </c>
    </row>
    <row r="1073" spans="1:16" x14ac:dyDescent="0.3">
      <c r="A1073">
        <v>16</v>
      </c>
      <c r="B1073" t="s">
        <v>16</v>
      </c>
      <c r="C1073">
        <v>3.7</v>
      </c>
      <c r="D1073" t="s">
        <v>17</v>
      </c>
      <c r="E1073">
        <v>9</v>
      </c>
      <c r="F1073">
        <v>1.5</v>
      </c>
      <c r="G1073">
        <v>3.37</v>
      </c>
      <c r="H1073">
        <v>1.9</v>
      </c>
      <c r="I1073" t="s">
        <v>15</v>
      </c>
      <c r="J1073">
        <v>4</v>
      </c>
      <c r="K1073">
        <v>3</v>
      </c>
      <c r="L1073">
        <v>1</v>
      </c>
      <c r="M1073">
        <v>0</v>
      </c>
      <c r="N1073" t="str">
        <f t="shared" si="34"/>
        <v>16-19</v>
      </c>
      <c r="O1073" t="str">
        <f t="shared" si="35"/>
        <v>healthy sleep</v>
      </c>
      <c r="P1073" s="1" t="str" cm="1">
        <f t="array" ref="P1073">_xlfn.IFS(L1073&lt;=3,"low",L1073&lt;=6,"medium",L1073&gt;=7,"high")</f>
        <v>low</v>
      </c>
    </row>
    <row r="1074" spans="1:16" x14ac:dyDescent="0.3">
      <c r="A1074">
        <v>16</v>
      </c>
      <c r="B1074" t="s">
        <v>13</v>
      </c>
      <c r="C1074">
        <v>7</v>
      </c>
      <c r="D1074" t="s">
        <v>14</v>
      </c>
      <c r="E1074">
        <v>4.8</v>
      </c>
      <c r="F1074">
        <v>1.7</v>
      </c>
      <c r="G1074">
        <v>2.9</v>
      </c>
      <c r="H1074">
        <v>0.3</v>
      </c>
      <c r="I1074" t="s">
        <v>15</v>
      </c>
      <c r="J1074">
        <v>4</v>
      </c>
      <c r="K1074">
        <v>1</v>
      </c>
      <c r="L1074">
        <v>8</v>
      </c>
      <c r="M1074">
        <v>0</v>
      </c>
      <c r="N1074" t="str">
        <f t="shared" si="34"/>
        <v>16-19</v>
      </c>
      <c r="O1074" t="str">
        <f t="shared" si="35"/>
        <v>low sleep</v>
      </c>
      <c r="P1074" s="1" t="str" cm="1">
        <f t="array" ref="P1074">_xlfn.IFS(L1074&lt;=3,"low",L1074&lt;=6,"medium",L1074&gt;=7,"high")</f>
        <v>high</v>
      </c>
    </row>
    <row r="1075" spans="1:16" x14ac:dyDescent="0.3">
      <c r="A1075">
        <v>15</v>
      </c>
      <c r="B1075" t="s">
        <v>13</v>
      </c>
      <c r="C1075">
        <v>4</v>
      </c>
      <c r="D1075" t="s">
        <v>17</v>
      </c>
      <c r="E1075">
        <v>8.4</v>
      </c>
      <c r="F1075">
        <v>2.2999999999999998</v>
      </c>
      <c r="G1075">
        <v>2.52</v>
      </c>
      <c r="H1075">
        <v>0.9</v>
      </c>
      <c r="I1075" t="s">
        <v>15</v>
      </c>
      <c r="J1075">
        <v>4</v>
      </c>
      <c r="K1075">
        <v>5</v>
      </c>
      <c r="L1075">
        <v>3</v>
      </c>
      <c r="M1075">
        <v>0</v>
      </c>
      <c r="N1075" t="str">
        <f t="shared" si="34"/>
        <v>13-15</v>
      </c>
      <c r="O1075" t="str">
        <f t="shared" si="35"/>
        <v>healthy sleep</v>
      </c>
      <c r="P1075" s="1" t="str" cm="1">
        <f t="array" ref="P1075">_xlfn.IFS(L1075&lt;=3,"low",L1075&lt;=6,"medium",L1075&gt;=7,"high")</f>
        <v>low</v>
      </c>
    </row>
    <row r="1076" spans="1:16" x14ac:dyDescent="0.3">
      <c r="A1076">
        <v>16</v>
      </c>
      <c r="B1076" t="s">
        <v>13</v>
      </c>
      <c r="C1076">
        <v>2.7</v>
      </c>
      <c r="D1076" t="s">
        <v>20</v>
      </c>
      <c r="E1076">
        <v>7.5</v>
      </c>
      <c r="F1076">
        <v>2.8</v>
      </c>
      <c r="G1076">
        <v>3.53</v>
      </c>
      <c r="H1076">
        <v>0.9</v>
      </c>
      <c r="I1076" t="s">
        <v>19</v>
      </c>
      <c r="J1076">
        <v>3</v>
      </c>
      <c r="K1076">
        <v>1</v>
      </c>
      <c r="L1076">
        <v>5</v>
      </c>
      <c r="M1076">
        <v>0</v>
      </c>
      <c r="N1076" t="str">
        <f t="shared" si="34"/>
        <v>16-19</v>
      </c>
      <c r="O1076" t="str">
        <f t="shared" si="35"/>
        <v>healthy sleep</v>
      </c>
      <c r="P1076" s="1" t="str" cm="1">
        <f t="array" ref="P1076">_xlfn.IFS(L1076&lt;=3,"low",L1076&lt;=6,"medium",L1076&gt;=7,"high")</f>
        <v>medium</v>
      </c>
    </row>
    <row r="1077" spans="1:16" x14ac:dyDescent="0.3">
      <c r="A1077">
        <v>15</v>
      </c>
      <c r="B1077" t="s">
        <v>13</v>
      </c>
      <c r="C1077">
        <v>7.2</v>
      </c>
      <c r="D1077" t="s">
        <v>20</v>
      </c>
      <c r="E1077">
        <v>5.7</v>
      </c>
      <c r="F1077">
        <v>0.7</v>
      </c>
      <c r="G1077">
        <v>3.89</v>
      </c>
      <c r="H1077">
        <v>1</v>
      </c>
      <c r="I1077" t="s">
        <v>19</v>
      </c>
      <c r="J1077">
        <v>1</v>
      </c>
      <c r="K1077">
        <v>3</v>
      </c>
      <c r="L1077">
        <v>6</v>
      </c>
      <c r="M1077">
        <v>0</v>
      </c>
      <c r="N1077" t="str">
        <f t="shared" si="34"/>
        <v>13-15</v>
      </c>
      <c r="O1077" t="str">
        <f t="shared" si="35"/>
        <v>low sleep</v>
      </c>
      <c r="P1077" s="1" t="str" cm="1">
        <f t="array" ref="P1077">_xlfn.IFS(L1077&lt;=3,"low",L1077&lt;=6,"medium",L1077&gt;=7,"high")</f>
        <v>medium</v>
      </c>
    </row>
    <row r="1078" spans="1:16" x14ac:dyDescent="0.3">
      <c r="A1078">
        <v>18</v>
      </c>
      <c r="B1078" t="s">
        <v>13</v>
      </c>
      <c r="C1078">
        <v>7.9</v>
      </c>
      <c r="D1078" t="s">
        <v>20</v>
      </c>
      <c r="E1078">
        <v>7</v>
      </c>
      <c r="F1078">
        <v>2.7</v>
      </c>
      <c r="G1078">
        <v>3.9</v>
      </c>
      <c r="H1078">
        <v>1</v>
      </c>
      <c r="I1078" t="s">
        <v>19</v>
      </c>
      <c r="J1078">
        <v>1</v>
      </c>
      <c r="K1078">
        <v>2</v>
      </c>
      <c r="L1078">
        <v>10</v>
      </c>
      <c r="M1078">
        <v>0</v>
      </c>
      <c r="N1078" t="str">
        <f t="shared" si="34"/>
        <v>16-19</v>
      </c>
      <c r="O1078" t="str">
        <f t="shared" si="35"/>
        <v>healthy sleep</v>
      </c>
      <c r="P1078" s="1" t="str" cm="1">
        <f t="array" ref="P1078">_xlfn.IFS(L1078&lt;=3,"low",L1078&lt;=6,"medium",L1078&gt;=7,"high")</f>
        <v>high</v>
      </c>
    </row>
    <row r="1079" spans="1:16" x14ac:dyDescent="0.3">
      <c r="A1079">
        <v>14</v>
      </c>
      <c r="B1079" t="s">
        <v>16</v>
      </c>
      <c r="C1079">
        <v>5.0999999999999996</v>
      </c>
      <c r="D1079" t="s">
        <v>14</v>
      </c>
      <c r="E1079">
        <v>5.3</v>
      </c>
      <c r="F1079">
        <v>2.2999999999999998</v>
      </c>
      <c r="G1079">
        <v>2.31</v>
      </c>
      <c r="H1079">
        <v>0.2</v>
      </c>
      <c r="I1079" t="s">
        <v>18</v>
      </c>
      <c r="J1079">
        <v>3</v>
      </c>
      <c r="K1079">
        <v>3</v>
      </c>
      <c r="L1079">
        <v>6</v>
      </c>
      <c r="M1079">
        <v>0</v>
      </c>
      <c r="N1079" t="str">
        <f t="shared" si="34"/>
        <v>13-15</v>
      </c>
      <c r="O1079" t="str">
        <f t="shared" si="35"/>
        <v>low sleep</v>
      </c>
      <c r="P1079" s="1" t="str" cm="1">
        <f t="array" ref="P1079">_xlfn.IFS(L1079&lt;=3,"low",L1079&lt;=6,"medium",L1079&gt;=7,"high")</f>
        <v>medium</v>
      </c>
    </row>
    <row r="1080" spans="1:16" x14ac:dyDescent="0.3">
      <c r="A1080">
        <v>15</v>
      </c>
      <c r="B1080" t="s">
        <v>16</v>
      </c>
      <c r="C1080">
        <v>6.4</v>
      </c>
      <c r="D1080" t="s">
        <v>20</v>
      </c>
      <c r="E1080">
        <v>7.7</v>
      </c>
      <c r="F1080">
        <v>0.7</v>
      </c>
      <c r="G1080">
        <v>3.86</v>
      </c>
      <c r="H1080">
        <v>1.5</v>
      </c>
      <c r="I1080" t="s">
        <v>18</v>
      </c>
      <c r="J1080">
        <v>10</v>
      </c>
      <c r="K1080">
        <v>2</v>
      </c>
      <c r="L1080">
        <v>7</v>
      </c>
      <c r="M1080">
        <v>0</v>
      </c>
      <c r="N1080" t="str">
        <f t="shared" si="34"/>
        <v>13-15</v>
      </c>
      <c r="O1080" t="str">
        <f t="shared" si="35"/>
        <v>healthy sleep</v>
      </c>
      <c r="P1080" s="1" t="str" cm="1">
        <f t="array" ref="P1080">_xlfn.IFS(L1080&lt;=3,"low",L1080&lt;=6,"medium",L1080&gt;=7,"high")</f>
        <v>high</v>
      </c>
    </row>
    <row r="1081" spans="1:16" x14ac:dyDescent="0.3">
      <c r="A1081">
        <v>16</v>
      </c>
      <c r="B1081" t="s">
        <v>16</v>
      </c>
      <c r="C1081">
        <v>4.4000000000000004</v>
      </c>
      <c r="D1081" t="s">
        <v>20</v>
      </c>
      <c r="E1081">
        <v>4.2</v>
      </c>
      <c r="F1081">
        <v>2</v>
      </c>
      <c r="G1081">
        <v>3.89</v>
      </c>
      <c r="H1081">
        <v>1.1000000000000001</v>
      </c>
      <c r="I1081" t="s">
        <v>19</v>
      </c>
      <c r="J1081">
        <v>2</v>
      </c>
      <c r="K1081">
        <v>9</v>
      </c>
      <c r="L1081">
        <v>8</v>
      </c>
      <c r="M1081">
        <v>0</v>
      </c>
      <c r="N1081" t="str">
        <f t="shared" si="34"/>
        <v>16-19</v>
      </c>
      <c r="O1081" t="str">
        <f t="shared" si="35"/>
        <v>low sleep</v>
      </c>
      <c r="P1081" s="1" t="str" cm="1">
        <f t="array" ref="P1081">_xlfn.IFS(L1081&lt;=3,"low",L1081&lt;=6,"medium",L1081&gt;=7,"high")</f>
        <v>high</v>
      </c>
    </row>
    <row r="1082" spans="1:16" x14ac:dyDescent="0.3">
      <c r="A1082">
        <v>16</v>
      </c>
      <c r="B1082" t="s">
        <v>13</v>
      </c>
      <c r="C1082">
        <v>7</v>
      </c>
      <c r="D1082" t="s">
        <v>17</v>
      </c>
      <c r="E1082">
        <v>7.4</v>
      </c>
      <c r="F1082">
        <v>2.6</v>
      </c>
      <c r="G1082">
        <v>2.92</v>
      </c>
      <c r="H1082">
        <v>1</v>
      </c>
      <c r="I1082" t="s">
        <v>19</v>
      </c>
      <c r="J1082">
        <v>10</v>
      </c>
      <c r="K1082">
        <v>6</v>
      </c>
      <c r="L1082">
        <v>3</v>
      </c>
      <c r="M1082">
        <v>0</v>
      </c>
      <c r="N1082" t="str">
        <f t="shared" si="34"/>
        <v>16-19</v>
      </c>
      <c r="O1082" t="str">
        <f t="shared" si="35"/>
        <v>healthy sleep</v>
      </c>
      <c r="P1082" s="1" t="str" cm="1">
        <f t="array" ref="P1082">_xlfn.IFS(L1082&lt;=3,"low",L1082&lt;=6,"medium",L1082&gt;=7,"high")</f>
        <v>low</v>
      </c>
    </row>
    <row r="1083" spans="1:16" x14ac:dyDescent="0.3">
      <c r="A1083">
        <v>17</v>
      </c>
      <c r="B1083" t="s">
        <v>16</v>
      </c>
      <c r="C1083">
        <v>7.8</v>
      </c>
      <c r="D1083" t="s">
        <v>17</v>
      </c>
      <c r="E1083">
        <v>5.7</v>
      </c>
      <c r="F1083">
        <v>1.2</v>
      </c>
      <c r="G1083">
        <v>3.72</v>
      </c>
      <c r="H1083">
        <v>1.2</v>
      </c>
      <c r="I1083" t="s">
        <v>18</v>
      </c>
      <c r="J1083">
        <v>10</v>
      </c>
      <c r="K1083">
        <v>2</v>
      </c>
      <c r="L1083">
        <v>6</v>
      </c>
      <c r="M1083">
        <v>0</v>
      </c>
      <c r="N1083" t="str">
        <f t="shared" si="34"/>
        <v>16-19</v>
      </c>
      <c r="O1083" t="str">
        <f t="shared" si="35"/>
        <v>low sleep</v>
      </c>
      <c r="P1083" s="1" t="str" cm="1">
        <f t="array" ref="P1083">_xlfn.IFS(L1083&lt;=3,"low",L1083&lt;=6,"medium",L1083&gt;=7,"high")</f>
        <v>medium</v>
      </c>
    </row>
    <row r="1084" spans="1:16" x14ac:dyDescent="0.3">
      <c r="A1084">
        <v>14</v>
      </c>
      <c r="B1084" t="s">
        <v>16</v>
      </c>
      <c r="C1084">
        <v>5</v>
      </c>
      <c r="D1084" t="s">
        <v>14</v>
      </c>
      <c r="E1084">
        <v>6.2</v>
      </c>
      <c r="F1084">
        <v>1</v>
      </c>
      <c r="G1084">
        <v>2</v>
      </c>
      <c r="H1084">
        <v>1.5</v>
      </c>
      <c r="I1084" t="s">
        <v>15</v>
      </c>
      <c r="J1084">
        <v>5</v>
      </c>
      <c r="K1084">
        <v>6</v>
      </c>
      <c r="L1084">
        <v>1</v>
      </c>
      <c r="M1084">
        <v>0</v>
      </c>
      <c r="N1084" t="str">
        <f t="shared" si="34"/>
        <v>13-15</v>
      </c>
      <c r="O1084" t="str">
        <f t="shared" si="35"/>
        <v>healthy sleep</v>
      </c>
      <c r="P1084" s="1" t="str" cm="1">
        <f t="array" ref="P1084">_xlfn.IFS(L1084&lt;=3,"low",L1084&lt;=6,"medium",L1084&gt;=7,"high")</f>
        <v>low</v>
      </c>
    </row>
    <row r="1085" spans="1:16" x14ac:dyDescent="0.3">
      <c r="A1085">
        <v>17</v>
      </c>
      <c r="B1085" t="s">
        <v>13</v>
      </c>
      <c r="C1085">
        <v>6.6</v>
      </c>
      <c r="D1085" t="s">
        <v>17</v>
      </c>
      <c r="E1085">
        <v>5.3</v>
      </c>
      <c r="F1085">
        <v>1.1000000000000001</v>
      </c>
      <c r="G1085">
        <v>3.5</v>
      </c>
      <c r="H1085">
        <v>1.7</v>
      </c>
      <c r="I1085" t="s">
        <v>19</v>
      </c>
      <c r="J1085">
        <v>1</v>
      </c>
      <c r="K1085">
        <v>10</v>
      </c>
      <c r="L1085">
        <v>7</v>
      </c>
      <c r="M1085">
        <v>0</v>
      </c>
      <c r="N1085" t="str">
        <f t="shared" si="34"/>
        <v>16-19</v>
      </c>
      <c r="O1085" t="str">
        <f t="shared" si="35"/>
        <v>low sleep</v>
      </c>
      <c r="P1085" s="1" t="str" cm="1">
        <f t="array" ref="P1085">_xlfn.IFS(L1085&lt;=3,"low",L1085&lt;=6,"medium",L1085&gt;=7,"high")</f>
        <v>high</v>
      </c>
    </row>
    <row r="1086" spans="1:16" x14ac:dyDescent="0.3">
      <c r="A1086">
        <v>18</v>
      </c>
      <c r="B1086" t="s">
        <v>13</v>
      </c>
      <c r="C1086">
        <v>2.6</v>
      </c>
      <c r="D1086" t="s">
        <v>20</v>
      </c>
      <c r="E1086">
        <v>8.6</v>
      </c>
      <c r="F1086">
        <v>2.7</v>
      </c>
      <c r="G1086">
        <v>3.28</v>
      </c>
      <c r="H1086">
        <v>0.8</v>
      </c>
      <c r="I1086" t="s">
        <v>18</v>
      </c>
      <c r="J1086">
        <v>5</v>
      </c>
      <c r="K1086">
        <v>4</v>
      </c>
      <c r="L1086">
        <v>6</v>
      </c>
      <c r="M1086">
        <v>0</v>
      </c>
      <c r="N1086" t="str">
        <f t="shared" si="34"/>
        <v>16-19</v>
      </c>
      <c r="O1086" t="str">
        <f t="shared" si="35"/>
        <v>healthy sleep</v>
      </c>
      <c r="P1086" s="1" t="str" cm="1">
        <f t="array" ref="P1086">_xlfn.IFS(L1086&lt;=3,"low",L1086&lt;=6,"medium",L1086&gt;=7,"high")</f>
        <v>medium</v>
      </c>
    </row>
    <row r="1087" spans="1:16" x14ac:dyDescent="0.3">
      <c r="A1087">
        <v>13</v>
      </c>
      <c r="B1087" t="s">
        <v>16</v>
      </c>
      <c r="C1087">
        <v>5.8</v>
      </c>
      <c r="D1087" t="s">
        <v>14</v>
      </c>
      <c r="E1087">
        <v>4.4000000000000004</v>
      </c>
      <c r="F1087">
        <v>1.8</v>
      </c>
      <c r="G1087">
        <v>3.8</v>
      </c>
      <c r="H1087">
        <v>1</v>
      </c>
      <c r="I1087" t="s">
        <v>18</v>
      </c>
      <c r="J1087">
        <v>2</v>
      </c>
      <c r="K1087">
        <v>2</v>
      </c>
      <c r="L1087">
        <v>1</v>
      </c>
      <c r="M1087">
        <v>0</v>
      </c>
      <c r="N1087" t="str">
        <f t="shared" si="34"/>
        <v>13-15</v>
      </c>
      <c r="O1087" t="str">
        <f t="shared" si="35"/>
        <v>low sleep</v>
      </c>
      <c r="P1087" s="1" t="str" cm="1">
        <f t="array" ref="P1087">_xlfn.IFS(L1087&lt;=3,"low",L1087&lt;=6,"medium",L1087&gt;=7,"high")</f>
        <v>low</v>
      </c>
    </row>
    <row r="1088" spans="1:16" x14ac:dyDescent="0.3">
      <c r="A1088">
        <v>14</v>
      </c>
      <c r="B1088" t="s">
        <v>16</v>
      </c>
      <c r="C1088">
        <v>5.6</v>
      </c>
      <c r="D1088" t="s">
        <v>17</v>
      </c>
      <c r="E1088">
        <v>6.8</v>
      </c>
      <c r="F1088">
        <v>2.2999999999999998</v>
      </c>
      <c r="G1088">
        <v>2.66</v>
      </c>
      <c r="H1088">
        <v>1.1000000000000001</v>
      </c>
      <c r="I1088" t="s">
        <v>18</v>
      </c>
      <c r="J1088">
        <v>7</v>
      </c>
      <c r="K1088">
        <v>6</v>
      </c>
      <c r="L1088">
        <v>2</v>
      </c>
      <c r="M1088">
        <v>0</v>
      </c>
      <c r="N1088" t="str">
        <f t="shared" si="34"/>
        <v>13-15</v>
      </c>
      <c r="O1088" t="str">
        <f t="shared" si="35"/>
        <v>healthy sleep</v>
      </c>
      <c r="P1088" s="1" t="str" cm="1">
        <f t="array" ref="P1088">_xlfn.IFS(L1088&lt;=3,"low",L1088&lt;=6,"medium",L1088&gt;=7,"high")</f>
        <v>low</v>
      </c>
    </row>
    <row r="1089" spans="1:16" x14ac:dyDescent="0.3">
      <c r="A1089">
        <v>18</v>
      </c>
      <c r="B1089" t="s">
        <v>13</v>
      </c>
      <c r="C1089">
        <v>4.5999999999999996</v>
      </c>
      <c r="D1089" t="s">
        <v>20</v>
      </c>
      <c r="E1089">
        <v>4.3</v>
      </c>
      <c r="F1089">
        <v>2.9</v>
      </c>
      <c r="G1089">
        <v>2.95</v>
      </c>
      <c r="H1089">
        <v>0.6</v>
      </c>
      <c r="I1089" t="s">
        <v>19</v>
      </c>
      <c r="J1089">
        <v>7</v>
      </c>
      <c r="K1089">
        <v>9</v>
      </c>
      <c r="L1089">
        <v>8</v>
      </c>
      <c r="M1089">
        <v>0</v>
      </c>
      <c r="N1089" t="str">
        <f t="shared" si="34"/>
        <v>16-19</v>
      </c>
      <c r="O1089" t="str">
        <f t="shared" si="35"/>
        <v>low sleep</v>
      </c>
      <c r="P1089" s="1" t="str" cm="1">
        <f t="array" ref="P1089">_xlfn.IFS(L1089&lt;=3,"low",L1089&lt;=6,"medium",L1089&gt;=7,"high")</f>
        <v>high</v>
      </c>
    </row>
    <row r="1090" spans="1:16" x14ac:dyDescent="0.3">
      <c r="A1090">
        <v>19</v>
      </c>
      <c r="B1090" t="s">
        <v>13</v>
      </c>
      <c r="C1090">
        <v>1.4</v>
      </c>
      <c r="D1090" t="s">
        <v>20</v>
      </c>
      <c r="E1090">
        <v>4.7</v>
      </c>
      <c r="F1090">
        <v>0.5</v>
      </c>
      <c r="G1090">
        <v>3.57</v>
      </c>
      <c r="H1090">
        <v>1.7</v>
      </c>
      <c r="I1090" t="s">
        <v>18</v>
      </c>
      <c r="J1090">
        <v>1</v>
      </c>
      <c r="K1090">
        <v>5</v>
      </c>
      <c r="L1090">
        <v>6</v>
      </c>
      <c r="M1090">
        <v>0</v>
      </c>
      <c r="N1090" t="str">
        <f t="shared" si="34"/>
        <v>16-19</v>
      </c>
      <c r="O1090" t="str">
        <f t="shared" si="35"/>
        <v>low sleep</v>
      </c>
      <c r="P1090" s="1" t="str" cm="1">
        <f t="array" ref="P1090">_xlfn.IFS(L1090&lt;=3,"low",L1090&lt;=6,"medium",L1090&gt;=7,"high")</f>
        <v>medium</v>
      </c>
    </row>
    <row r="1091" spans="1:16" x14ac:dyDescent="0.3">
      <c r="A1091">
        <v>13</v>
      </c>
      <c r="B1091" t="s">
        <v>16</v>
      </c>
      <c r="C1091">
        <v>2.9</v>
      </c>
      <c r="D1091" t="s">
        <v>20</v>
      </c>
      <c r="E1091">
        <v>8.1999999999999993</v>
      </c>
      <c r="F1091">
        <v>2.2999999999999998</v>
      </c>
      <c r="G1091">
        <v>2.48</v>
      </c>
      <c r="H1091">
        <v>0.9</v>
      </c>
      <c r="I1091" t="s">
        <v>15</v>
      </c>
      <c r="J1091">
        <v>5</v>
      </c>
      <c r="K1091">
        <v>8</v>
      </c>
      <c r="L1091">
        <v>9</v>
      </c>
      <c r="M1091">
        <v>0</v>
      </c>
      <c r="N1091" t="str">
        <f t="shared" ref="N1091:N1154" si="36">IF(A1091&lt;=15,"13-15","16-19")</f>
        <v>13-15</v>
      </c>
      <c r="O1091" t="str">
        <f t="shared" ref="O1091:O1154" si="37">IF(E1091&lt;=6,"low sleep","healthy sleep")</f>
        <v>healthy sleep</v>
      </c>
      <c r="P1091" s="1" t="str" cm="1">
        <f t="array" ref="P1091">_xlfn.IFS(L1091&lt;=3,"low",L1091&lt;=6,"medium",L1091&gt;=7,"high")</f>
        <v>high</v>
      </c>
    </row>
    <row r="1092" spans="1:16" x14ac:dyDescent="0.3">
      <c r="A1092">
        <v>16</v>
      </c>
      <c r="B1092" t="s">
        <v>16</v>
      </c>
      <c r="C1092">
        <v>7.9</v>
      </c>
      <c r="D1092" t="s">
        <v>14</v>
      </c>
      <c r="E1092">
        <v>6.3</v>
      </c>
      <c r="F1092">
        <v>2.7</v>
      </c>
      <c r="G1092">
        <v>2.88</v>
      </c>
      <c r="H1092">
        <v>0.2</v>
      </c>
      <c r="I1092" t="s">
        <v>18</v>
      </c>
      <c r="J1092">
        <v>2</v>
      </c>
      <c r="K1092">
        <v>7</v>
      </c>
      <c r="L1092">
        <v>5</v>
      </c>
      <c r="M1092">
        <v>0</v>
      </c>
      <c r="N1092" t="str">
        <f t="shared" si="36"/>
        <v>16-19</v>
      </c>
      <c r="O1092" t="str">
        <f t="shared" si="37"/>
        <v>healthy sleep</v>
      </c>
      <c r="P1092" s="1" t="str" cm="1">
        <f t="array" ref="P1092">_xlfn.IFS(L1092&lt;=3,"low",L1092&lt;=6,"medium",L1092&gt;=7,"high")</f>
        <v>medium</v>
      </c>
    </row>
    <row r="1093" spans="1:16" x14ac:dyDescent="0.3">
      <c r="A1093">
        <v>13</v>
      </c>
      <c r="B1093" t="s">
        <v>13</v>
      </c>
      <c r="C1093">
        <v>3.5</v>
      </c>
      <c r="D1093" t="s">
        <v>20</v>
      </c>
      <c r="E1093">
        <v>6.8</v>
      </c>
      <c r="F1093">
        <v>2.2999999999999998</v>
      </c>
      <c r="G1093">
        <v>2.2799999999999998</v>
      </c>
      <c r="H1093">
        <v>1</v>
      </c>
      <c r="I1093" t="s">
        <v>15</v>
      </c>
      <c r="J1093">
        <v>7</v>
      </c>
      <c r="K1093">
        <v>2</v>
      </c>
      <c r="L1093">
        <v>6</v>
      </c>
      <c r="M1093">
        <v>0</v>
      </c>
      <c r="N1093" t="str">
        <f t="shared" si="36"/>
        <v>13-15</v>
      </c>
      <c r="O1093" t="str">
        <f t="shared" si="37"/>
        <v>healthy sleep</v>
      </c>
      <c r="P1093" s="1" t="str" cm="1">
        <f t="array" ref="P1093">_xlfn.IFS(L1093&lt;=3,"low",L1093&lt;=6,"medium",L1093&gt;=7,"high")</f>
        <v>medium</v>
      </c>
    </row>
    <row r="1094" spans="1:16" x14ac:dyDescent="0.3">
      <c r="A1094">
        <v>14</v>
      </c>
      <c r="B1094" t="s">
        <v>16</v>
      </c>
      <c r="C1094">
        <v>3.8</v>
      </c>
      <c r="D1094" t="s">
        <v>14</v>
      </c>
      <c r="E1094">
        <v>7.9</v>
      </c>
      <c r="F1094">
        <v>1.2</v>
      </c>
      <c r="G1094">
        <v>3.24</v>
      </c>
      <c r="H1094">
        <v>1.6</v>
      </c>
      <c r="I1094" t="s">
        <v>18</v>
      </c>
      <c r="J1094">
        <v>6</v>
      </c>
      <c r="K1094">
        <v>10</v>
      </c>
      <c r="L1094">
        <v>5</v>
      </c>
      <c r="M1094">
        <v>0</v>
      </c>
      <c r="N1094" t="str">
        <f t="shared" si="36"/>
        <v>13-15</v>
      </c>
      <c r="O1094" t="str">
        <f t="shared" si="37"/>
        <v>healthy sleep</v>
      </c>
      <c r="P1094" s="1" t="str" cm="1">
        <f t="array" ref="P1094">_xlfn.IFS(L1094&lt;=3,"low",L1094&lt;=6,"medium",L1094&gt;=7,"high")</f>
        <v>medium</v>
      </c>
    </row>
    <row r="1095" spans="1:16" x14ac:dyDescent="0.3">
      <c r="A1095">
        <v>19</v>
      </c>
      <c r="B1095" t="s">
        <v>13</v>
      </c>
      <c r="C1095">
        <v>2.9</v>
      </c>
      <c r="D1095" t="s">
        <v>14</v>
      </c>
      <c r="E1095">
        <v>8.6999999999999993</v>
      </c>
      <c r="F1095">
        <v>0.9</v>
      </c>
      <c r="G1095">
        <v>2.99</v>
      </c>
      <c r="H1095">
        <v>0.8</v>
      </c>
      <c r="I1095" t="s">
        <v>19</v>
      </c>
      <c r="J1095">
        <v>7</v>
      </c>
      <c r="K1095">
        <v>8</v>
      </c>
      <c r="L1095">
        <v>2</v>
      </c>
      <c r="M1095">
        <v>0</v>
      </c>
      <c r="N1095" t="str">
        <f t="shared" si="36"/>
        <v>16-19</v>
      </c>
      <c r="O1095" t="str">
        <f t="shared" si="37"/>
        <v>healthy sleep</v>
      </c>
      <c r="P1095" s="1" t="str" cm="1">
        <f t="array" ref="P1095">_xlfn.IFS(L1095&lt;=3,"low",L1095&lt;=6,"medium",L1095&gt;=7,"high")</f>
        <v>low</v>
      </c>
    </row>
    <row r="1096" spans="1:16" x14ac:dyDescent="0.3">
      <c r="A1096">
        <v>17</v>
      </c>
      <c r="B1096" t="s">
        <v>13</v>
      </c>
      <c r="C1096">
        <v>3.5</v>
      </c>
      <c r="D1096" t="s">
        <v>20</v>
      </c>
      <c r="E1096">
        <v>4.5999999999999996</v>
      </c>
      <c r="F1096">
        <v>0.7</v>
      </c>
      <c r="G1096">
        <v>3.9</v>
      </c>
      <c r="H1096">
        <v>0.6</v>
      </c>
      <c r="I1096" t="s">
        <v>18</v>
      </c>
      <c r="J1096">
        <v>7</v>
      </c>
      <c r="K1096">
        <v>3</v>
      </c>
      <c r="L1096">
        <v>1</v>
      </c>
      <c r="M1096">
        <v>0</v>
      </c>
      <c r="N1096" t="str">
        <f t="shared" si="36"/>
        <v>16-19</v>
      </c>
      <c r="O1096" t="str">
        <f t="shared" si="37"/>
        <v>low sleep</v>
      </c>
      <c r="P1096" s="1" t="str" cm="1">
        <f t="array" ref="P1096">_xlfn.IFS(L1096&lt;=3,"low",L1096&lt;=6,"medium",L1096&gt;=7,"high")</f>
        <v>low</v>
      </c>
    </row>
    <row r="1097" spans="1:16" x14ac:dyDescent="0.3">
      <c r="A1097">
        <v>16</v>
      </c>
      <c r="B1097" t="s">
        <v>13</v>
      </c>
      <c r="C1097">
        <v>4.8</v>
      </c>
      <c r="D1097" t="s">
        <v>14</v>
      </c>
      <c r="E1097">
        <v>8.6</v>
      </c>
      <c r="F1097">
        <v>1.8</v>
      </c>
      <c r="G1097">
        <v>2.44</v>
      </c>
      <c r="H1097">
        <v>1.7</v>
      </c>
      <c r="I1097" t="s">
        <v>18</v>
      </c>
      <c r="J1097">
        <v>8</v>
      </c>
      <c r="K1097">
        <v>7</v>
      </c>
      <c r="L1097">
        <v>3</v>
      </c>
      <c r="M1097">
        <v>0</v>
      </c>
      <c r="N1097" t="str">
        <f t="shared" si="36"/>
        <v>16-19</v>
      </c>
      <c r="O1097" t="str">
        <f t="shared" si="37"/>
        <v>healthy sleep</v>
      </c>
      <c r="P1097" s="1" t="str" cm="1">
        <f t="array" ref="P1097">_xlfn.IFS(L1097&lt;=3,"low",L1097&lt;=6,"medium",L1097&gt;=7,"high")</f>
        <v>low</v>
      </c>
    </row>
    <row r="1098" spans="1:16" x14ac:dyDescent="0.3">
      <c r="A1098">
        <v>13</v>
      </c>
      <c r="B1098" t="s">
        <v>13</v>
      </c>
      <c r="C1098">
        <v>5.8</v>
      </c>
      <c r="D1098" t="s">
        <v>17</v>
      </c>
      <c r="E1098">
        <v>7.2</v>
      </c>
      <c r="F1098">
        <v>1.1000000000000001</v>
      </c>
      <c r="G1098">
        <v>2.69</v>
      </c>
      <c r="H1098">
        <v>0.4</v>
      </c>
      <c r="I1098" t="s">
        <v>15</v>
      </c>
      <c r="J1098">
        <v>7</v>
      </c>
      <c r="K1098">
        <v>3</v>
      </c>
      <c r="L1098">
        <v>7</v>
      </c>
      <c r="M1098">
        <v>0</v>
      </c>
      <c r="N1098" t="str">
        <f t="shared" si="36"/>
        <v>13-15</v>
      </c>
      <c r="O1098" t="str">
        <f t="shared" si="37"/>
        <v>healthy sleep</v>
      </c>
      <c r="P1098" s="1" t="str" cm="1">
        <f t="array" ref="P1098">_xlfn.IFS(L1098&lt;=3,"low",L1098&lt;=6,"medium",L1098&gt;=7,"high")</f>
        <v>high</v>
      </c>
    </row>
    <row r="1099" spans="1:16" x14ac:dyDescent="0.3">
      <c r="A1099">
        <v>16</v>
      </c>
      <c r="B1099" t="s">
        <v>16</v>
      </c>
      <c r="C1099">
        <v>6.1</v>
      </c>
      <c r="D1099" t="s">
        <v>20</v>
      </c>
      <c r="E1099">
        <v>7.5</v>
      </c>
      <c r="F1099">
        <v>2.5</v>
      </c>
      <c r="G1099">
        <v>3.14</v>
      </c>
      <c r="H1099">
        <v>0.5</v>
      </c>
      <c r="I1099" t="s">
        <v>15</v>
      </c>
      <c r="J1099">
        <v>9</v>
      </c>
      <c r="K1099">
        <v>6</v>
      </c>
      <c r="L1099">
        <v>10</v>
      </c>
      <c r="M1099">
        <v>0</v>
      </c>
      <c r="N1099" t="str">
        <f t="shared" si="36"/>
        <v>16-19</v>
      </c>
      <c r="O1099" t="str">
        <f t="shared" si="37"/>
        <v>healthy sleep</v>
      </c>
      <c r="P1099" s="1" t="str" cm="1">
        <f t="array" ref="P1099">_xlfn.IFS(L1099&lt;=3,"low",L1099&lt;=6,"medium",L1099&gt;=7,"high")</f>
        <v>high</v>
      </c>
    </row>
    <row r="1100" spans="1:16" x14ac:dyDescent="0.3">
      <c r="A1100">
        <v>14</v>
      </c>
      <c r="B1100" t="s">
        <v>16</v>
      </c>
      <c r="C1100">
        <v>4.3</v>
      </c>
      <c r="D1100" t="s">
        <v>20</v>
      </c>
      <c r="E1100">
        <v>7.8</v>
      </c>
      <c r="F1100">
        <v>0.5</v>
      </c>
      <c r="G1100">
        <v>3.92</v>
      </c>
      <c r="H1100">
        <v>0.7</v>
      </c>
      <c r="I1100" t="s">
        <v>18</v>
      </c>
      <c r="J1100">
        <v>3</v>
      </c>
      <c r="K1100">
        <v>4</v>
      </c>
      <c r="L1100">
        <v>8</v>
      </c>
      <c r="M1100">
        <v>0</v>
      </c>
      <c r="N1100" t="str">
        <f t="shared" si="36"/>
        <v>13-15</v>
      </c>
      <c r="O1100" t="str">
        <f t="shared" si="37"/>
        <v>healthy sleep</v>
      </c>
      <c r="P1100" s="1" t="str" cm="1">
        <f t="array" ref="P1100">_xlfn.IFS(L1100&lt;=3,"low",L1100&lt;=6,"medium",L1100&gt;=7,"high")</f>
        <v>high</v>
      </c>
    </row>
    <row r="1101" spans="1:16" x14ac:dyDescent="0.3">
      <c r="A1101">
        <v>15</v>
      </c>
      <c r="B1101" t="s">
        <v>16</v>
      </c>
      <c r="C1101">
        <v>7.8</v>
      </c>
      <c r="D1101" t="s">
        <v>14</v>
      </c>
      <c r="E1101">
        <v>4.5999999999999996</v>
      </c>
      <c r="F1101">
        <v>3</v>
      </c>
      <c r="G1101">
        <v>2.44</v>
      </c>
      <c r="H1101">
        <v>1.4</v>
      </c>
      <c r="I1101" t="s">
        <v>19</v>
      </c>
      <c r="J1101">
        <v>8</v>
      </c>
      <c r="K1101">
        <v>10</v>
      </c>
      <c r="L1101">
        <v>6</v>
      </c>
      <c r="M1101">
        <v>1</v>
      </c>
      <c r="N1101" t="str">
        <f t="shared" si="36"/>
        <v>13-15</v>
      </c>
      <c r="O1101" t="str">
        <f t="shared" si="37"/>
        <v>low sleep</v>
      </c>
      <c r="P1101" s="1" t="str" cm="1">
        <f t="array" ref="P1101">_xlfn.IFS(L1101&lt;=3,"low",L1101&lt;=6,"medium",L1101&gt;=7,"high")</f>
        <v>medium</v>
      </c>
    </row>
    <row r="1102" spans="1:16" x14ac:dyDescent="0.3">
      <c r="A1102">
        <v>15</v>
      </c>
      <c r="B1102" t="s">
        <v>16</v>
      </c>
      <c r="C1102">
        <v>5.2</v>
      </c>
      <c r="D1102" t="s">
        <v>17</v>
      </c>
      <c r="E1102">
        <v>7.5</v>
      </c>
      <c r="F1102">
        <v>1.1000000000000001</v>
      </c>
      <c r="G1102">
        <v>3.61</v>
      </c>
      <c r="H1102">
        <v>0.1</v>
      </c>
      <c r="I1102" t="s">
        <v>15</v>
      </c>
      <c r="J1102">
        <v>4</v>
      </c>
      <c r="K1102">
        <v>6</v>
      </c>
      <c r="L1102">
        <v>7</v>
      </c>
      <c r="M1102">
        <v>0</v>
      </c>
      <c r="N1102" t="str">
        <f t="shared" si="36"/>
        <v>13-15</v>
      </c>
      <c r="O1102" t="str">
        <f t="shared" si="37"/>
        <v>healthy sleep</v>
      </c>
      <c r="P1102" s="1" t="str" cm="1">
        <f t="array" ref="P1102">_xlfn.IFS(L1102&lt;=3,"low",L1102&lt;=6,"medium",L1102&gt;=7,"high")</f>
        <v>high</v>
      </c>
    </row>
    <row r="1103" spans="1:16" x14ac:dyDescent="0.3">
      <c r="A1103">
        <v>17</v>
      </c>
      <c r="B1103" t="s">
        <v>13</v>
      </c>
      <c r="C1103">
        <v>3.5</v>
      </c>
      <c r="D1103" t="s">
        <v>14</v>
      </c>
      <c r="E1103">
        <v>4.3</v>
      </c>
      <c r="F1103">
        <v>2.2000000000000002</v>
      </c>
      <c r="G1103">
        <v>3.19</v>
      </c>
      <c r="H1103">
        <v>1</v>
      </c>
      <c r="I1103" t="s">
        <v>18</v>
      </c>
      <c r="J1103">
        <v>4</v>
      </c>
      <c r="K1103">
        <v>5</v>
      </c>
      <c r="L1103">
        <v>9</v>
      </c>
      <c r="M1103">
        <v>0</v>
      </c>
      <c r="N1103" t="str">
        <f t="shared" si="36"/>
        <v>16-19</v>
      </c>
      <c r="O1103" t="str">
        <f t="shared" si="37"/>
        <v>low sleep</v>
      </c>
      <c r="P1103" s="1" t="str" cm="1">
        <f t="array" ref="P1103">_xlfn.IFS(L1103&lt;=3,"low",L1103&lt;=6,"medium",L1103&gt;=7,"high")</f>
        <v>high</v>
      </c>
    </row>
    <row r="1104" spans="1:16" x14ac:dyDescent="0.3">
      <c r="A1104">
        <v>16</v>
      </c>
      <c r="B1104" t="s">
        <v>16</v>
      </c>
      <c r="C1104">
        <v>6.5</v>
      </c>
      <c r="D1104" t="s">
        <v>17</v>
      </c>
      <c r="E1104">
        <v>4.5999999999999996</v>
      </c>
      <c r="F1104">
        <v>1.8</v>
      </c>
      <c r="G1104">
        <v>2.2000000000000002</v>
      </c>
      <c r="H1104">
        <v>1.2</v>
      </c>
      <c r="I1104" t="s">
        <v>15</v>
      </c>
      <c r="J1104">
        <v>7</v>
      </c>
      <c r="K1104">
        <v>4</v>
      </c>
      <c r="L1104">
        <v>4</v>
      </c>
      <c r="M1104">
        <v>0</v>
      </c>
      <c r="N1104" t="str">
        <f t="shared" si="36"/>
        <v>16-19</v>
      </c>
      <c r="O1104" t="str">
        <f t="shared" si="37"/>
        <v>low sleep</v>
      </c>
      <c r="P1104" s="1" t="str" cm="1">
        <f t="array" ref="P1104">_xlfn.IFS(L1104&lt;=3,"low",L1104&lt;=6,"medium",L1104&gt;=7,"high")</f>
        <v>medium</v>
      </c>
    </row>
    <row r="1105" spans="1:16" x14ac:dyDescent="0.3">
      <c r="A1105">
        <v>17</v>
      </c>
      <c r="B1105" t="s">
        <v>13</v>
      </c>
      <c r="C1105">
        <v>4.7</v>
      </c>
      <c r="D1105" t="s">
        <v>17</v>
      </c>
      <c r="E1105">
        <v>7.2</v>
      </c>
      <c r="F1105">
        <v>2.7</v>
      </c>
      <c r="G1105">
        <v>2.06</v>
      </c>
      <c r="H1105">
        <v>1.4</v>
      </c>
      <c r="I1105" t="s">
        <v>15</v>
      </c>
      <c r="J1105">
        <v>3</v>
      </c>
      <c r="K1105">
        <v>1</v>
      </c>
      <c r="L1105">
        <v>4</v>
      </c>
      <c r="M1105">
        <v>0</v>
      </c>
      <c r="N1105" t="str">
        <f t="shared" si="36"/>
        <v>16-19</v>
      </c>
      <c r="O1105" t="str">
        <f t="shared" si="37"/>
        <v>healthy sleep</v>
      </c>
      <c r="P1105" s="1" t="str" cm="1">
        <f t="array" ref="P1105">_xlfn.IFS(L1105&lt;=3,"low",L1105&lt;=6,"medium",L1105&gt;=7,"high")</f>
        <v>medium</v>
      </c>
    </row>
    <row r="1106" spans="1:16" x14ac:dyDescent="0.3">
      <c r="A1106">
        <v>13</v>
      </c>
      <c r="B1106" t="s">
        <v>13</v>
      </c>
      <c r="C1106">
        <v>2.5</v>
      </c>
      <c r="D1106" t="s">
        <v>14</v>
      </c>
      <c r="E1106">
        <v>6.3</v>
      </c>
      <c r="F1106">
        <v>1.8</v>
      </c>
      <c r="G1106">
        <v>2.2000000000000002</v>
      </c>
      <c r="H1106">
        <v>0.1</v>
      </c>
      <c r="I1106" t="s">
        <v>18</v>
      </c>
      <c r="J1106">
        <v>9</v>
      </c>
      <c r="K1106">
        <v>3</v>
      </c>
      <c r="L1106">
        <v>9</v>
      </c>
      <c r="M1106">
        <v>0</v>
      </c>
      <c r="N1106" t="str">
        <f t="shared" si="36"/>
        <v>13-15</v>
      </c>
      <c r="O1106" t="str">
        <f t="shared" si="37"/>
        <v>healthy sleep</v>
      </c>
      <c r="P1106" s="1" t="str" cm="1">
        <f t="array" ref="P1106">_xlfn.IFS(L1106&lt;=3,"low",L1106&lt;=6,"medium",L1106&gt;=7,"high")</f>
        <v>high</v>
      </c>
    </row>
    <row r="1107" spans="1:16" x14ac:dyDescent="0.3">
      <c r="A1107">
        <v>19</v>
      </c>
      <c r="B1107" t="s">
        <v>16</v>
      </c>
      <c r="C1107">
        <v>5.5</v>
      </c>
      <c r="D1107" t="s">
        <v>17</v>
      </c>
      <c r="E1107">
        <v>7.4</v>
      </c>
      <c r="F1107">
        <v>2</v>
      </c>
      <c r="G1107">
        <v>2.8</v>
      </c>
      <c r="H1107">
        <v>1.8</v>
      </c>
      <c r="I1107" t="s">
        <v>18</v>
      </c>
      <c r="J1107">
        <v>9</v>
      </c>
      <c r="K1107">
        <v>8</v>
      </c>
      <c r="L1107">
        <v>10</v>
      </c>
      <c r="M1107">
        <v>0</v>
      </c>
      <c r="N1107" t="str">
        <f t="shared" si="36"/>
        <v>16-19</v>
      </c>
      <c r="O1107" t="str">
        <f t="shared" si="37"/>
        <v>healthy sleep</v>
      </c>
      <c r="P1107" s="1" t="str" cm="1">
        <f t="array" ref="P1107">_xlfn.IFS(L1107&lt;=3,"low",L1107&lt;=6,"medium",L1107&gt;=7,"high")</f>
        <v>high</v>
      </c>
    </row>
    <row r="1108" spans="1:16" x14ac:dyDescent="0.3">
      <c r="A1108">
        <v>15</v>
      </c>
      <c r="B1108" t="s">
        <v>16</v>
      </c>
      <c r="C1108">
        <v>3.5</v>
      </c>
      <c r="D1108" t="s">
        <v>14</v>
      </c>
      <c r="E1108">
        <v>8</v>
      </c>
      <c r="F1108">
        <v>1.9</v>
      </c>
      <c r="G1108">
        <v>3.45</v>
      </c>
      <c r="H1108">
        <v>1.5</v>
      </c>
      <c r="I1108" t="s">
        <v>18</v>
      </c>
      <c r="J1108">
        <v>10</v>
      </c>
      <c r="K1108">
        <v>4</v>
      </c>
      <c r="L1108">
        <v>1</v>
      </c>
      <c r="M1108">
        <v>0</v>
      </c>
      <c r="N1108" t="str">
        <f t="shared" si="36"/>
        <v>13-15</v>
      </c>
      <c r="O1108" t="str">
        <f t="shared" si="37"/>
        <v>healthy sleep</v>
      </c>
      <c r="P1108" s="1" t="str" cm="1">
        <f t="array" ref="P1108">_xlfn.IFS(L1108&lt;=3,"low",L1108&lt;=6,"medium",L1108&gt;=7,"high")</f>
        <v>low</v>
      </c>
    </row>
    <row r="1109" spans="1:16" x14ac:dyDescent="0.3">
      <c r="A1109">
        <v>14</v>
      </c>
      <c r="B1109" t="s">
        <v>16</v>
      </c>
      <c r="C1109">
        <v>4.5999999999999996</v>
      </c>
      <c r="D1109" t="s">
        <v>17</v>
      </c>
      <c r="E1109">
        <v>7</v>
      </c>
      <c r="F1109">
        <v>1.6</v>
      </c>
      <c r="G1109">
        <v>2.74</v>
      </c>
      <c r="H1109">
        <v>0.9</v>
      </c>
      <c r="I1109" t="s">
        <v>15</v>
      </c>
      <c r="J1109">
        <v>3</v>
      </c>
      <c r="K1109">
        <v>2</v>
      </c>
      <c r="L1109">
        <v>9</v>
      </c>
      <c r="M1109">
        <v>0</v>
      </c>
      <c r="N1109" t="str">
        <f t="shared" si="36"/>
        <v>13-15</v>
      </c>
      <c r="O1109" t="str">
        <f t="shared" si="37"/>
        <v>healthy sleep</v>
      </c>
      <c r="P1109" s="1" t="str" cm="1">
        <f t="array" ref="P1109">_xlfn.IFS(L1109&lt;=3,"low",L1109&lt;=6,"medium",L1109&gt;=7,"high")</f>
        <v>high</v>
      </c>
    </row>
    <row r="1110" spans="1:16" x14ac:dyDescent="0.3">
      <c r="A1110">
        <v>13</v>
      </c>
      <c r="B1110" t="s">
        <v>16</v>
      </c>
      <c r="C1110">
        <v>3.5</v>
      </c>
      <c r="D1110" t="s">
        <v>14</v>
      </c>
      <c r="E1110">
        <v>6.9</v>
      </c>
      <c r="F1110">
        <v>1.6</v>
      </c>
      <c r="G1110">
        <v>2.08</v>
      </c>
      <c r="H1110">
        <v>0.7</v>
      </c>
      <c r="I1110" t="s">
        <v>15</v>
      </c>
      <c r="J1110">
        <v>9</v>
      </c>
      <c r="K1110">
        <v>9</v>
      </c>
      <c r="L1110">
        <v>9</v>
      </c>
      <c r="M1110">
        <v>0</v>
      </c>
      <c r="N1110" t="str">
        <f t="shared" si="36"/>
        <v>13-15</v>
      </c>
      <c r="O1110" t="str">
        <f t="shared" si="37"/>
        <v>healthy sleep</v>
      </c>
      <c r="P1110" s="1" t="str" cm="1">
        <f t="array" ref="P1110">_xlfn.IFS(L1110&lt;=3,"low",L1110&lt;=6,"medium",L1110&gt;=7,"high")</f>
        <v>high</v>
      </c>
    </row>
    <row r="1111" spans="1:16" x14ac:dyDescent="0.3">
      <c r="A1111">
        <v>19</v>
      </c>
      <c r="B1111" t="s">
        <v>13</v>
      </c>
      <c r="C1111">
        <v>1.6</v>
      </c>
      <c r="D1111" t="s">
        <v>17</v>
      </c>
      <c r="E1111">
        <v>8.6</v>
      </c>
      <c r="F1111">
        <v>1.4</v>
      </c>
      <c r="G1111">
        <v>2.69</v>
      </c>
      <c r="H1111">
        <v>1.6</v>
      </c>
      <c r="I1111" t="s">
        <v>19</v>
      </c>
      <c r="J1111">
        <v>4</v>
      </c>
      <c r="K1111">
        <v>3</v>
      </c>
      <c r="L1111">
        <v>4</v>
      </c>
      <c r="M1111">
        <v>0</v>
      </c>
      <c r="N1111" t="str">
        <f t="shared" si="36"/>
        <v>16-19</v>
      </c>
      <c r="O1111" t="str">
        <f t="shared" si="37"/>
        <v>healthy sleep</v>
      </c>
      <c r="P1111" s="1" t="str" cm="1">
        <f t="array" ref="P1111">_xlfn.IFS(L1111&lt;=3,"low",L1111&lt;=6,"medium",L1111&gt;=7,"high")</f>
        <v>medium</v>
      </c>
    </row>
    <row r="1112" spans="1:16" x14ac:dyDescent="0.3">
      <c r="A1112">
        <v>13</v>
      </c>
      <c r="B1112" t="s">
        <v>16</v>
      </c>
      <c r="C1112">
        <v>3.2</v>
      </c>
      <c r="D1112" t="s">
        <v>20</v>
      </c>
      <c r="E1112">
        <v>5.9</v>
      </c>
      <c r="F1112">
        <v>0.7</v>
      </c>
      <c r="G1112">
        <v>3.98</v>
      </c>
      <c r="H1112">
        <v>0.8</v>
      </c>
      <c r="I1112" t="s">
        <v>15</v>
      </c>
      <c r="J1112">
        <v>6</v>
      </c>
      <c r="K1112">
        <v>8</v>
      </c>
      <c r="L1112">
        <v>1</v>
      </c>
      <c r="M1112">
        <v>0</v>
      </c>
      <c r="N1112" t="str">
        <f t="shared" si="36"/>
        <v>13-15</v>
      </c>
      <c r="O1112" t="str">
        <f t="shared" si="37"/>
        <v>low sleep</v>
      </c>
      <c r="P1112" s="1" t="str" cm="1">
        <f t="array" ref="P1112">_xlfn.IFS(L1112&lt;=3,"low",L1112&lt;=6,"medium",L1112&gt;=7,"high")</f>
        <v>low</v>
      </c>
    </row>
    <row r="1113" spans="1:16" x14ac:dyDescent="0.3">
      <c r="A1113">
        <v>19</v>
      </c>
      <c r="B1113" t="s">
        <v>16</v>
      </c>
      <c r="C1113">
        <v>1.7</v>
      </c>
      <c r="D1113" t="s">
        <v>20</v>
      </c>
      <c r="E1113">
        <v>7</v>
      </c>
      <c r="F1113">
        <v>2.7</v>
      </c>
      <c r="G1113">
        <v>2.0699999999999998</v>
      </c>
      <c r="H1113">
        <v>0.5</v>
      </c>
      <c r="I1113" t="s">
        <v>18</v>
      </c>
      <c r="J1113">
        <v>6</v>
      </c>
      <c r="K1113">
        <v>4</v>
      </c>
      <c r="L1113">
        <v>10</v>
      </c>
      <c r="M1113">
        <v>0</v>
      </c>
      <c r="N1113" t="str">
        <f t="shared" si="36"/>
        <v>16-19</v>
      </c>
      <c r="O1113" t="str">
        <f t="shared" si="37"/>
        <v>healthy sleep</v>
      </c>
      <c r="P1113" s="1" t="str" cm="1">
        <f t="array" ref="P1113">_xlfn.IFS(L1113&lt;=3,"low",L1113&lt;=6,"medium",L1113&gt;=7,"high")</f>
        <v>high</v>
      </c>
    </row>
    <row r="1114" spans="1:16" x14ac:dyDescent="0.3">
      <c r="A1114">
        <v>14</v>
      </c>
      <c r="B1114" t="s">
        <v>13</v>
      </c>
      <c r="C1114">
        <v>6.4</v>
      </c>
      <c r="D1114" t="s">
        <v>14</v>
      </c>
      <c r="E1114">
        <v>4.3</v>
      </c>
      <c r="F1114">
        <v>2.2999999999999998</v>
      </c>
      <c r="G1114">
        <v>3.99</v>
      </c>
      <c r="H1114">
        <v>1.1000000000000001</v>
      </c>
      <c r="I1114" t="s">
        <v>15</v>
      </c>
      <c r="J1114">
        <v>7</v>
      </c>
      <c r="K1114">
        <v>4</v>
      </c>
      <c r="L1114">
        <v>3</v>
      </c>
      <c r="M1114">
        <v>0</v>
      </c>
      <c r="N1114" t="str">
        <f t="shared" si="36"/>
        <v>13-15</v>
      </c>
      <c r="O1114" t="str">
        <f t="shared" si="37"/>
        <v>low sleep</v>
      </c>
      <c r="P1114" s="1" t="str" cm="1">
        <f t="array" ref="P1114">_xlfn.IFS(L1114&lt;=3,"low",L1114&lt;=6,"medium",L1114&gt;=7,"high")</f>
        <v>low</v>
      </c>
    </row>
    <row r="1115" spans="1:16" x14ac:dyDescent="0.3">
      <c r="A1115">
        <v>13</v>
      </c>
      <c r="B1115" t="s">
        <v>16</v>
      </c>
      <c r="C1115">
        <v>3.3</v>
      </c>
      <c r="D1115" t="s">
        <v>17</v>
      </c>
      <c r="E1115">
        <v>6.4</v>
      </c>
      <c r="F1115">
        <v>1</v>
      </c>
      <c r="G1115">
        <v>2.4900000000000002</v>
      </c>
      <c r="H1115">
        <v>1</v>
      </c>
      <c r="I1115" t="s">
        <v>15</v>
      </c>
      <c r="J1115">
        <v>9</v>
      </c>
      <c r="K1115">
        <v>2</v>
      </c>
      <c r="L1115">
        <v>4</v>
      </c>
      <c r="M1115">
        <v>0</v>
      </c>
      <c r="N1115" t="str">
        <f t="shared" si="36"/>
        <v>13-15</v>
      </c>
      <c r="O1115" t="str">
        <f t="shared" si="37"/>
        <v>healthy sleep</v>
      </c>
      <c r="P1115" s="1" t="str" cm="1">
        <f t="array" ref="P1115">_xlfn.IFS(L1115&lt;=3,"low",L1115&lt;=6,"medium",L1115&gt;=7,"high")</f>
        <v>medium</v>
      </c>
    </row>
    <row r="1116" spans="1:16" x14ac:dyDescent="0.3">
      <c r="A1116">
        <v>18</v>
      </c>
      <c r="B1116" t="s">
        <v>13</v>
      </c>
      <c r="C1116">
        <v>1.2</v>
      </c>
      <c r="D1116" t="s">
        <v>20</v>
      </c>
      <c r="E1116">
        <v>6.8</v>
      </c>
      <c r="F1116">
        <v>2.6</v>
      </c>
      <c r="G1116">
        <v>2.85</v>
      </c>
      <c r="H1116">
        <v>1.8</v>
      </c>
      <c r="I1116" t="s">
        <v>19</v>
      </c>
      <c r="J1116">
        <v>4</v>
      </c>
      <c r="K1116">
        <v>3</v>
      </c>
      <c r="L1116">
        <v>9</v>
      </c>
      <c r="M1116">
        <v>0</v>
      </c>
      <c r="N1116" t="str">
        <f t="shared" si="36"/>
        <v>16-19</v>
      </c>
      <c r="O1116" t="str">
        <f t="shared" si="37"/>
        <v>healthy sleep</v>
      </c>
      <c r="P1116" s="1" t="str" cm="1">
        <f t="array" ref="P1116">_xlfn.IFS(L1116&lt;=3,"low",L1116&lt;=6,"medium",L1116&gt;=7,"high")</f>
        <v>high</v>
      </c>
    </row>
    <row r="1117" spans="1:16" x14ac:dyDescent="0.3">
      <c r="A1117">
        <v>13</v>
      </c>
      <c r="B1117" t="s">
        <v>16</v>
      </c>
      <c r="C1117">
        <v>2.5</v>
      </c>
      <c r="D1117" t="s">
        <v>20</v>
      </c>
      <c r="E1117">
        <v>7.8</v>
      </c>
      <c r="F1117">
        <v>1.4</v>
      </c>
      <c r="G1117">
        <v>3.43</v>
      </c>
      <c r="H1117">
        <v>0.9</v>
      </c>
      <c r="I1117" t="s">
        <v>19</v>
      </c>
      <c r="J1117">
        <v>1</v>
      </c>
      <c r="K1117">
        <v>4</v>
      </c>
      <c r="L1117">
        <v>6</v>
      </c>
      <c r="M1117">
        <v>0</v>
      </c>
      <c r="N1117" t="str">
        <f t="shared" si="36"/>
        <v>13-15</v>
      </c>
      <c r="O1117" t="str">
        <f t="shared" si="37"/>
        <v>healthy sleep</v>
      </c>
      <c r="P1117" s="1" t="str" cm="1">
        <f t="array" ref="P1117">_xlfn.IFS(L1117&lt;=3,"low",L1117&lt;=6,"medium",L1117&gt;=7,"high")</f>
        <v>medium</v>
      </c>
    </row>
    <row r="1118" spans="1:16" x14ac:dyDescent="0.3">
      <c r="A1118">
        <v>16</v>
      </c>
      <c r="B1118" t="s">
        <v>13</v>
      </c>
      <c r="C1118">
        <v>2.2000000000000002</v>
      </c>
      <c r="D1118" t="s">
        <v>17</v>
      </c>
      <c r="E1118">
        <v>5.0999999999999996</v>
      </c>
      <c r="F1118">
        <v>2.2999999999999998</v>
      </c>
      <c r="G1118">
        <v>3.6</v>
      </c>
      <c r="H1118">
        <v>1</v>
      </c>
      <c r="I1118" t="s">
        <v>18</v>
      </c>
      <c r="J1118">
        <v>4</v>
      </c>
      <c r="K1118">
        <v>7</v>
      </c>
      <c r="L1118">
        <v>6</v>
      </c>
      <c r="M1118">
        <v>0</v>
      </c>
      <c r="N1118" t="str">
        <f t="shared" si="36"/>
        <v>16-19</v>
      </c>
      <c r="O1118" t="str">
        <f t="shared" si="37"/>
        <v>low sleep</v>
      </c>
      <c r="P1118" s="1" t="str" cm="1">
        <f t="array" ref="P1118">_xlfn.IFS(L1118&lt;=3,"low",L1118&lt;=6,"medium",L1118&gt;=7,"high")</f>
        <v>medium</v>
      </c>
    </row>
    <row r="1119" spans="1:16" x14ac:dyDescent="0.3">
      <c r="A1119">
        <v>18</v>
      </c>
      <c r="B1119" t="s">
        <v>16</v>
      </c>
      <c r="C1119">
        <v>5.2</v>
      </c>
      <c r="D1119" t="s">
        <v>20</v>
      </c>
      <c r="E1119">
        <v>7.1</v>
      </c>
      <c r="F1119">
        <v>1.9</v>
      </c>
      <c r="G1119">
        <v>2.87</v>
      </c>
      <c r="H1119">
        <v>1.7</v>
      </c>
      <c r="I1119" t="s">
        <v>19</v>
      </c>
      <c r="J1119">
        <v>5</v>
      </c>
      <c r="K1119">
        <v>8</v>
      </c>
      <c r="L1119">
        <v>6</v>
      </c>
      <c r="M1119">
        <v>0</v>
      </c>
      <c r="N1119" t="str">
        <f t="shared" si="36"/>
        <v>16-19</v>
      </c>
      <c r="O1119" t="str">
        <f t="shared" si="37"/>
        <v>healthy sleep</v>
      </c>
      <c r="P1119" s="1" t="str" cm="1">
        <f t="array" ref="P1119">_xlfn.IFS(L1119&lt;=3,"low",L1119&lt;=6,"medium",L1119&gt;=7,"high")</f>
        <v>medium</v>
      </c>
    </row>
    <row r="1120" spans="1:16" x14ac:dyDescent="0.3">
      <c r="A1120">
        <v>16</v>
      </c>
      <c r="B1120" t="s">
        <v>13</v>
      </c>
      <c r="C1120">
        <v>7.9</v>
      </c>
      <c r="D1120" t="s">
        <v>14</v>
      </c>
      <c r="E1120">
        <v>8.6999999999999993</v>
      </c>
      <c r="F1120">
        <v>2.5</v>
      </c>
      <c r="G1120">
        <v>2.29</v>
      </c>
      <c r="H1120">
        <v>0.7</v>
      </c>
      <c r="I1120" t="s">
        <v>18</v>
      </c>
      <c r="J1120">
        <v>7</v>
      </c>
      <c r="K1120">
        <v>7</v>
      </c>
      <c r="L1120">
        <v>4</v>
      </c>
      <c r="M1120">
        <v>0</v>
      </c>
      <c r="N1120" t="str">
        <f t="shared" si="36"/>
        <v>16-19</v>
      </c>
      <c r="O1120" t="str">
        <f t="shared" si="37"/>
        <v>healthy sleep</v>
      </c>
      <c r="P1120" s="1" t="str" cm="1">
        <f t="array" ref="P1120">_xlfn.IFS(L1120&lt;=3,"low",L1120&lt;=6,"medium",L1120&gt;=7,"high")</f>
        <v>medium</v>
      </c>
    </row>
    <row r="1121" spans="1:16" x14ac:dyDescent="0.3">
      <c r="A1121">
        <v>18</v>
      </c>
      <c r="B1121" t="s">
        <v>13</v>
      </c>
      <c r="C1121">
        <v>5.6</v>
      </c>
      <c r="D1121" t="s">
        <v>20</v>
      </c>
      <c r="E1121">
        <v>8</v>
      </c>
      <c r="F1121">
        <v>2.4</v>
      </c>
      <c r="G1121">
        <v>2.95</v>
      </c>
      <c r="H1121">
        <v>0</v>
      </c>
      <c r="I1121" t="s">
        <v>15</v>
      </c>
      <c r="J1121">
        <v>2</v>
      </c>
      <c r="K1121">
        <v>10</v>
      </c>
      <c r="L1121">
        <v>3</v>
      </c>
      <c r="M1121">
        <v>0</v>
      </c>
      <c r="N1121" t="str">
        <f t="shared" si="36"/>
        <v>16-19</v>
      </c>
      <c r="O1121" t="str">
        <f t="shared" si="37"/>
        <v>healthy sleep</v>
      </c>
      <c r="P1121" s="1" t="str" cm="1">
        <f t="array" ref="P1121">_xlfn.IFS(L1121&lt;=3,"low",L1121&lt;=6,"medium",L1121&gt;=7,"high")</f>
        <v>low</v>
      </c>
    </row>
    <row r="1122" spans="1:16" x14ac:dyDescent="0.3">
      <c r="A1122">
        <v>16</v>
      </c>
      <c r="B1122" t="s">
        <v>13</v>
      </c>
      <c r="C1122">
        <v>3.9</v>
      </c>
      <c r="D1122" t="s">
        <v>17</v>
      </c>
      <c r="E1122">
        <v>4.2</v>
      </c>
      <c r="F1122">
        <v>2.1</v>
      </c>
      <c r="G1122">
        <v>2.2799999999999998</v>
      </c>
      <c r="H1122">
        <v>1.1000000000000001</v>
      </c>
      <c r="I1122" t="s">
        <v>19</v>
      </c>
      <c r="J1122">
        <v>6</v>
      </c>
      <c r="K1122">
        <v>5</v>
      </c>
      <c r="L1122">
        <v>7</v>
      </c>
      <c r="M1122">
        <v>0</v>
      </c>
      <c r="N1122" t="str">
        <f t="shared" si="36"/>
        <v>16-19</v>
      </c>
      <c r="O1122" t="str">
        <f t="shared" si="37"/>
        <v>low sleep</v>
      </c>
      <c r="P1122" s="1" t="str" cm="1">
        <f t="array" ref="P1122">_xlfn.IFS(L1122&lt;=3,"low",L1122&lt;=6,"medium",L1122&gt;=7,"high")</f>
        <v>high</v>
      </c>
    </row>
    <row r="1123" spans="1:16" x14ac:dyDescent="0.3">
      <c r="A1123">
        <v>18</v>
      </c>
      <c r="B1123" t="s">
        <v>16</v>
      </c>
      <c r="C1123">
        <v>1.8</v>
      </c>
      <c r="D1123" t="s">
        <v>17</v>
      </c>
      <c r="E1123">
        <v>6.1</v>
      </c>
      <c r="F1123">
        <v>2.7</v>
      </c>
      <c r="G1123">
        <v>2.86</v>
      </c>
      <c r="H1123">
        <v>1.1000000000000001</v>
      </c>
      <c r="I1123" t="s">
        <v>15</v>
      </c>
      <c r="J1123">
        <v>4</v>
      </c>
      <c r="K1123">
        <v>2</v>
      </c>
      <c r="L1123">
        <v>4</v>
      </c>
      <c r="M1123">
        <v>0</v>
      </c>
      <c r="N1123" t="str">
        <f t="shared" si="36"/>
        <v>16-19</v>
      </c>
      <c r="O1123" t="str">
        <f t="shared" si="37"/>
        <v>healthy sleep</v>
      </c>
      <c r="P1123" s="1" t="str" cm="1">
        <f t="array" ref="P1123">_xlfn.IFS(L1123&lt;=3,"low",L1123&lt;=6,"medium",L1123&gt;=7,"high")</f>
        <v>medium</v>
      </c>
    </row>
    <row r="1124" spans="1:16" x14ac:dyDescent="0.3">
      <c r="A1124">
        <v>18</v>
      </c>
      <c r="B1124" t="s">
        <v>16</v>
      </c>
      <c r="C1124">
        <v>5.8</v>
      </c>
      <c r="D1124" t="s">
        <v>20</v>
      </c>
      <c r="E1124">
        <v>5.0999999999999996</v>
      </c>
      <c r="F1124">
        <v>1.2</v>
      </c>
      <c r="G1124">
        <v>3.24</v>
      </c>
      <c r="H1124">
        <v>0.4</v>
      </c>
      <c r="I1124" t="s">
        <v>18</v>
      </c>
      <c r="J1124">
        <v>5</v>
      </c>
      <c r="K1124">
        <v>9</v>
      </c>
      <c r="L1124">
        <v>2</v>
      </c>
      <c r="M1124">
        <v>0</v>
      </c>
      <c r="N1124" t="str">
        <f t="shared" si="36"/>
        <v>16-19</v>
      </c>
      <c r="O1124" t="str">
        <f t="shared" si="37"/>
        <v>low sleep</v>
      </c>
      <c r="P1124" s="1" t="str" cm="1">
        <f t="array" ref="P1124">_xlfn.IFS(L1124&lt;=3,"low",L1124&lt;=6,"medium",L1124&gt;=7,"high")</f>
        <v>low</v>
      </c>
    </row>
    <row r="1125" spans="1:16" x14ac:dyDescent="0.3">
      <c r="A1125">
        <v>18</v>
      </c>
      <c r="B1125" t="s">
        <v>16</v>
      </c>
      <c r="C1125">
        <v>2.2000000000000002</v>
      </c>
      <c r="D1125" t="s">
        <v>14</v>
      </c>
      <c r="E1125">
        <v>4.4000000000000004</v>
      </c>
      <c r="F1125">
        <v>1.7</v>
      </c>
      <c r="G1125">
        <v>2.86</v>
      </c>
      <c r="H1125">
        <v>1.1000000000000001</v>
      </c>
      <c r="I1125" t="s">
        <v>18</v>
      </c>
      <c r="J1125">
        <v>8</v>
      </c>
      <c r="K1125">
        <v>9</v>
      </c>
      <c r="L1125">
        <v>7</v>
      </c>
      <c r="M1125">
        <v>0</v>
      </c>
      <c r="N1125" t="str">
        <f t="shared" si="36"/>
        <v>16-19</v>
      </c>
      <c r="O1125" t="str">
        <f t="shared" si="37"/>
        <v>low sleep</v>
      </c>
      <c r="P1125" s="1" t="str" cm="1">
        <f t="array" ref="P1125">_xlfn.IFS(L1125&lt;=3,"low",L1125&lt;=6,"medium",L1125&gt;=7,"high")</f>
        <v>high</v>
      </c>
    </row>
    <row r="1126" spans="1:16" x14ac:dyDescent="0.3">
      <c r="A1126">
        <v>17</v>
      </c>
      <c r="B1126" t="s">
        <v>13</v>
      </c>
      <c r="C1126">
        <v>6.9</v>
      </c>
      <c r="D1126" t="s">
        <v>20</v>
      </c>
      <c r="E1126">
        <v>4.5999999999999996</v>
      </c>
      <c r="F1126">
        <v>2.5</v>
      </c>
      <c r="G1126">
        <v>2.04</v>
      </c>
      <c r="H1126">
        <v>0.8</v>
      </c>
      <c r="I1126" t="s">
        <v>18</v>
      </c>
      <c r="J1126">
        <v>10</v>
      </c>
      <c r="K1126">
        <v>9</v>
      </c>
      <c r="L1126">
        <v>2</v>
      </c>
      <c r="M1126">
        <v>1</v>
      </c>
      <c r="N1126" t="str">
        <f t="shared" si="36"/>
        <v>16-19</v>
      </c>
      <c r="O1126" t="str">
        <f t="shared" si="37"/>
        <v>low sleep</v>
      </c>
      <c r="P1126" s="1" t="str" cm="1">
        <f t="array" ref="P1126">_xlfn.IFS(L1126&lt;=3,"low",L1126&lt;=6,"medium",L1126&gt;=7,"high")</f>
        <v>low</v>
      </c>
    </row>
    <row r="1127" spans="1:16" x14ac:dyDescent="0.3">
      <c r="A1127">
        <v>14</v>
      </c>
      <c r="B1127" t="s">
        <v>16</v>
      </c>
      <c r="C1127">
        <v>5.7</v>
      </c>
      <c r="D1127" t="s">
        <v>14</v>
      </c>
      <c r="E1127">
        <v>6.7</v>
      </c>
      <c r="F1127">
        <v>2.6</v>
      </c>
      <c r="G1127">
        <v>2.35</v>
      </c>
      <c r="H1127">
        <v>1.8</v>
      </c>
      <c r="I1127" t="s">
        <v>18</v>
      </c>
      <c r="J1127">
        <v>10</v>
      </c>
      <c r="K1127">
        <v>10</v>
      </c>
      <c r="L1127">
        <v>7</v>
      </c>
      <c r="M1127">
        <v>0</v>
      </c>
      <c r="N1127" t="str">
        <f t="shared" si="36"/>
        <v>13-15</v>
      </c>
      <c r="O1127" t="str">
        <f t="shared" si="37"/>
        <v>healthy sleep</v>
      </c>
      <c r="P1127" s="1" t="str" cm="1">
        <f t="array" ref="P1127">_xlfn.IFS(L1127&lt;=3,"low",L1127&lt;=6,"medium",L1127&gt;=7,"high")</f>
        <v>high</v>
      </c>
    </row>
    <row r="1128" spans="1:16" x14ac:dyDescent="0.3">
      <c r="A1128">
        <v>17</v>
      </c>
      <c r="B1128" t="s">
        <v>13</v>
      </c>
      <c r="C1128">
        <v>7.5</v>
      </c>
      <c r="D1128" t="s">
        <v>17</v>
      </c>
      <c r="E1128">
        <v>5.6</v>
      </c>
      <c r="F1128">
        <v>2.2999999999999998</v>
      </c>
      <c r="G1128">
        <v>2.37</v>
      </c>
      <c r="H1128">
        <v>0</v>
      </c>
      <c r="I1128" t="s">
        <v>18</v>
      </c>
      <c r="J1128">
        <v>3</v>
      </c>
      <c r="K1128">
        <v>10</v>
      </c>
      <c r="L1128">
        <v>8</v>
      </c>
      <c r="M1128">
        <v>0</v>
      </c>
      <c r="N1128" t="str">
        <f t="shared" si="36"/>
        <v>16-19</v>
      </c>
      <c r="O1128" t="str">
        <f t="shared" si="37"/>
        <v>low sleep</v>
      </c>
      <c r="P1128" s="1" t="str" cm="1">
        <f t="array" ref="P1128">_xlfn.IFS(L1128&lt;=3,"low",L1128&lt;=6,"medium",L1128&gt;=7,"high")</f>
        <v>high</v>
      </c>
    </row>
    <row r="1129" spans="1:16" x14ac:dyDescent="0.3">
      <c r="A1129">
        <v>13</v>
      </c>
      <c r="B1129" t="s">
        <v>13</v>
      </c>
      <c r="C1129">
        <v>5.2</v>
      </c>
      <c r="D1129" t="s">
        <v>20</v>
      </c>
      <c r="E1129">
        <v>6.4</v>
      </c>
      <c r="F1129">
        <v>2.5</v>
      </c>
      <c r="G1129">
        <v>3.13</v>
      </c>
      <c r="H1129">
        <v>0.3</v>
      </c>
      <c r="I1129" t="s">
        <v>19</v>
      </c>
      <c r="J1129">
        <v>8</v>
      </c>
      <c r="K1129">
        <v>6</v>
      </c>
      <c r="L1129">
        <v>7</v>
      </c>
      <c r="M1129">
        <v>0</v>
      </c>
      <c r="N1129" t="str">
        <f t="shared" si="36"/>
        <v>13-15</v>
      </c>
      <c r="O1129" t="str">
        <f t="shared" si="37"/>
        <v>healthy sleep</v>
      </c>
      <c r="P1129" s="1" t="str" cm="1">
        <f t="array" ref="P1129">_xlfn.IFS(L1129&lt;=3,"low",L1129&lt;=6,"medium",L1129&gt;=7,"high")</f>
        <v>high</v>
      </c>
    </row>
    <row r="1130" spans="1:16" x14ac:dyDescent="0.3">
      <c r="A1130">
        <v>16</v>
      </c>
      <c r="B1130" t="s">
        <v>13</v>
      </c>
      <c r="C1130">
        <v>7.2</v>
      </c>
      <c r="D1130" t="s">
        <v>20</v>
      </c>
      <c r="E1130">
        <v>6.9</v>
      </c>
      <c r="F1130">
        <v>2.1</v>
      </c>
      <c r="G1130">
        <v>2.3199999999999998</v>
      </c>
      <c r="H1130">
        <v>1.1000000000000001</v>
      </c>
      <c r="I1130" t="s">
        <v>15</v>
      </c>
      <c r="J1130">
        <v>3</v>
      </c>
      <c r="K1130">
        <v>4</v>
      </c>
      <c r="L1130">
        <v>10</v>
      </c>
      <c r="M1130">
        <v>0</v>
      </c>
      <c r="N1130" t="str">
        <f t="shared" si="36"/>
        <v>16-19</v>
      </c>
      <c r="O1130" t="str">
        <f t="shared" si="37"/>
        <v>healthy sleep</v>
      </c>
      <c r="P1130" s="1" t="str" cm="1">
        <f t="array" ref="P1130">_xlfn.IFS(L1130&lt;=3,"low",L1130&lt;=6,"medium",L1130&gt;=7,"high")</f>
        <v>high</v>
      </c>
    </row>
    <row r="1131" spans="1:16" x14ac:dyDescent="0.3">
      <c r="A1131">
        <v>19</v>
      </c>
      <c r="B1131" t="s">
        <v>13</v>
      </c>
      <c r="C1131">
        <v>2</v>
      </c>
      <c r="D1131" t="s">
        <v>17</v>
      </c>
      <c r="E1131">
        <v>4.3</v>
      </c>
      <c r="F1131">
        <v>0.8</v>
      </c>
      <c r="G1131">
        <v>3.4</v>
      </c>
      <c r="H1131">
        <v>0.7</v>
      </c>
      <c r="I1131" t="s">
        <v>15</v>
      </c>
      <c r="J1131">
        <v>8</v>
      </c>
      <c r="K1131">
        <v>1</v>
      </c>
      <c r="L1131">
        <v>1</v>
      </c>
      <c r="M1131">
        <v>0</v>
      </c>
      <c r="N1131" t="str">
        <f t="shared" si="36"/>
        <v>16-19</v>
      </c>
      <c r="O1131" t="str">
        <f t="shared" si="37"/>
        <v>low sleep</v>
      </c>
      <c r="P1131" s="1" t="str" cm="1">
        <f t="array" ref="P1131">_xlfn.IFS(L1131&lt;=3,"low",L1131&lt;=6,"medium",L1131&gt;=7,"high")</f>
        <v>low</v>
      </c>
    </row>
    <row r="1132" spans="1:16" x14ac:dyDescent="0.3">
      <c r="A1132">
        <v>13</v>
      </c>
      <c r="B1132" t="s">
        <v>16</v>
      </c>
      <c r="C1132">
        <v>4.7</v>
      </c>
      <c r="D1132" t="s">
        <v>20</v>
      </c>
      <c r="E1132">
        <v>6.8</v>
      </c>
      <c r="F1132">
        <v>1.4</v>
      </c>
      <c r="G1132">
        <v>3.91</v>
      </c>
      <c r="H1132">
        <v>0.8</v>
      </c>
      <c r="I1132" t="s">
        <v>18</v>
      </c>
      <c r="J1132">
        <v>10</v>
      </c>
      <c r="K1132">
        <v>6</v>
      </c>
      <c r="L1132">
        <v>9</v>
      </c>
      <c r="M1132">
        <v>0</v>
      </c>
      <c r="N1132" t="str">
        <f t="shared" si="36"/>
        <v>13-15</v>
      </c>
      <c r="O1132" t="str">
        <f t="shared" si="37"/>
        <v>healthy sleep</v>
      </c>
      <c r="P1132" s="1" t="str" cm="1">
        <f t="array" ref="P1132">_xlfn.IFS(L1132&lt;=3,"low",L1132&lt;=6,"medium",L1132&gt;=7,"high")</f>
        <v>high</v>
      </c>
    </row>
    <row r="1133" spans="1:16" x14ac:dyDescent="0.3">
      <c r="A1133">
        <v>14</v>
      </c>
      <c r="B1133" t="s">
        <v>13</v>
      </c>
      <c r="C1133">
        <v>5.6</v>
      </c>
      <c r="D1133" t="s">
        <v>20</v>
      </c>
      <c r="E1133">
        <v>4.5</v>
      </c>
      <c r="F1133">
        <v>1.4</v>
      </c>
      <c r="G1133">
        <v>2.44</v>
      </c>
      <c r="H1133">
        <v>1.2</v>
      </c>
      <c r="I1133" t="s">
        <v>15</v>
      </c>
      <c r="J1133">
        <v>5</v>
      </c>
      <c r="K1133">
        <v>10</v>
      </c>
      <c r="L1133">
        <v>9</v>
      </c>
      <c r="M1133">
        <v>0</v>
      </c>
      <c r="N1133" t="str">
        <f t="shared" si="36"/>
        <v>13-15</v>
      </c>
      <c r="O1133" t="str">
        <f t="shared" si="37"/>
        <v>low sleep</v>
      </c>
      <c r="P1133" s="1" t="str" cm="1">
        <f t="array" ref="P1133">_xlfn.IFS(L1133&lt;=3,"low",L1133&lt;=6,"medium",L1133&gt;=7,"high")</f>
        <v>high</v>
      </c>
    </row>
    <row r="1134" spans="1:16" x14ac:dyDescent="0.3">
      <c r="A1134">
        <v>18</v>
      </c>
      <c r="B1134" t="s">
        <v>16</v>
      </c>
      <c r="C1134">
        <v>4.5</v>
      </c>
      <c r="D1134" t="s">
        <v>14</v>
      </c>
      <c r="E1134">
        <v>4</v>
      </c>
      <c r="F1134">
        <v>2.9</v>
      </c>
      <c r="G1134">
        <v>3.15</v>
      </c>
      <c r="H1134">
        <v>1.9</v>
      </c>
      <c r="I1134" t="s">
        <v>19</v>
      </c>
      <c r="J1134">
        <v>8</v>
      </c>
      <c r="K1134">
        <v>6</v>
      </c>
      <c r="L1134">
        <v>5</v>
      </c>
      <c r="M1134">
        <v>0</v>
      </c>
      <c r="N1134" t="str">
        <f t="shared" si="36"/>
        <v>16-19</v>
      </c>
      <c r="O1134" t="str">
        <f t="shared" si="37"/>
        <v>low sleep</v>
      </c>
      <c r="P1134" s="1" t="str" cm="1">
        <f t="array" ref="P1134">_xlfn.IFS(L1134&lt;=3,"low",L1134&lt;=6,"medium",L1134&gt;=7,"high")</f>
        <v>medium</v>
      </c>
    </row>
    <row r="1135" spans="1:16" x14ac:dyDescent="0.3">
      <c r="A1135">
        <v>15</v>
      </c>
      <c r="B1135" t="s">
        <v>16</v>
      </c>
      <c r="C1135">
        <v>1.1000000000000001</v>
      </c>
      <c r="D1135" t="s">
        <v>14</v>
      </c>
      <c r="E1135">
        <v>9</v>
      </c>
      <c r="F1135">
        <v>1.2</v>
      </c>
      <c r="G1135">
        <v>2.9</v>
      </c>
      <c r="H1135">
        <v>1.8</v>
      </c>
      <c r="I1135" t="s">
        <v>19</v>
      </c>
      <c r="J1135">
        <v>5</v>
      </c>
      <c r="K1135">
        <v>10</v>
      </c>
      <c r="L1135">
        <v>2</v>
      </c>
      <c r="M1135">
        <v>0</v>
      </c>
      <c r="N1135" t="str">
        <f t="shared" si="36"/>
        <v>13-15</v>
      </c>
      <c r="O1135" t="str">
        <f t="shared" si="37"/>
        <v>healthy sleep</v>
      </c>
      <c r="P1135" s="1" t="str" cm="1">
        <f t="array" ref="P1135">_xlfn.IFS(L1135&lt;=3,"low",L1135&lt;=6,"medium",L1135&gt;=7,"high")</f>
        <v>low</v>
      </c>
    </row>
    <row r="1136" spans="1:16" x14ac:dyDescent="0.3">
      <c r="A1136">
        <v>18</v>
      </c>
      <c r="B1136" t="s">
        <v>16</v>
      </c>
      <c r="C1136">
        <v>5.3</v>
      </c>
      <c r="D1136" t="s">
        <v>20</v>
      </c>
      <c r="E1136">
        <v>4.5999999999999996</v>
      </c>
      <c r="F1136">
        <v>1.5</v>
      </c>
      <c r="G1136">
        <v>2.54</v>
      </c>
      <c r="H1136">
        <v>0.6</v>
      </c>
      <c r="I1136" t="s">
        <v>19</v>
      </c>
      <c r="J1136">
        <v>4</v>
      </c>
      <c r="K1136">
        <v>3</v>
      </c>
      <c r="L1136">
        <v>4</v>
      </c>
      <c r="M1136">
        <v>0</v>
      </c>
      <c r="N1136" t="str">
        <f t="shared" si="36"/>
        <v>16-19</v>
      </c>
      <c r="O1136" t="str">
        <f t="shared" si="37"/>
        <v>low sleep</v>
      </c>
      <c r="P1136" s="1" t="str" cm="1">
        <f t="array" ref="P1136">_xlfn.IFS(L1136&lt;=3,"low",L1136&lt;=6,"medium",L1136&gt;=7,"high")</f>
        <v>medium</v>
      </c>
    </row>
    <row r="1137" spans="1:16" x14ac:dyDescent="0.3">
      <c r="A1137">
        <v>14</v>
      </c>
      <c r="B1137" t="s">
        <v>16</v>
      </c>
      <c r="C1137">
        <v>3.5</v>
      </c>
      <c r="D1137" t="s">
        <v>20</v>
      </c>
      <c r="E1137">
        <v>5.3</v>
      </c>
      <c r="F1137">
        <v>2.5</v>
      </c>
      <c r="G1137">
        <v>2.29</v>
      </c>
      <c r="H1137">
        <v>0.7</v>
      </c>
      <c r="I1137" t="s">
        <v>15</v>
      </c>
      <c r="J1137">
        <v>1</v>
      </c>
      <c r="K1137">
        <v>10</v>
      </c>
      <c r="L1137">
        <v>3</v>
      </c>
      <c r="M1137">
        <v>0</v>
      </c>
      <c r="N1137" t="str">
        <f t="shared" si="36"/>
        <v>13-15</v>
      </c>
      <c r="O1137" t="str">
        <f t="shared" si="37"/>
        <v>low sleep</v>
      </c>
      <c r="P1137" s="1" t="str" cm="1">
        <f t="array" ref="P1137">_xlfn.IFS(L1137&lt;=3,"low",L1137&lt;=6,"medium",L1137&gt;=7,"high")</f>
        <v>low</v>
      </c>
    </row>
    <row r="1138" spans="1:16" x14ac:dyDescent="0.3">
      <c r="A1138">
        <v>15</v>
      </c>
      <c r="B1138" t="s">
        <v>13</v>
      </c>
      <c r="C1138">
        <v>6.5</v>
      </c>
      <c r="D1138" t="s">
        <v>20</v>
      </c>
      <c r="E1138">
        <v>6.2</v>
      </c>
      <c r="F1138">
        <v>1.2</v>
      </c>
      <c r="G1138">
        <v>3.19</v>
      </c>
      <c r="H1138">
        <v>0</v>
      </c>
      <c r="I1138" t="s">
        <v>19</v>
      </c>
      <c r="J1138">
        <v>6</v>
      </c>
      <c r="K1138">
        <v>5</v>
      </c>
      <c r="L1138">
        <v>2</v>
      </c>
      <c r="M1138">
        <v>0</v>
      </c>
      <c r="N1138" t="str">
        <f t="shared" si="36"/>
        <v>13-15</v>
      </c>
      <c r="O1138" t="str">
        <f t="shared" si="37"/>
        <v>healthy sleep</v>
      </c>
      <c r="P1138" s="1" t="str" cm="1">
        <f t="array" ref="P1138">_xlfn.IFS(L1138&lt;=3,"low",L1138&lt;=6,"medium",L1138&gt;=7,"high")</f>
        <v>low</v>
      </c>
    </row>
    <row r="1139" spans="1:16" x14ac:dyDescent="0.3">
      <c r="A1139">
        <v>14</v>
      </c>
      <c r="B1139" t="s">
        <v>13</v>
      </c>
      <c r="C1139">
        <v>7</v>
      </c>
      <c r="D1139" t="s">
        <v>20</v>
      </c>
      <c r="E1139">
        <v>6.7</v>
      </c>
      <c r="F1139">
        <v>1.9</v>
      </c>
      <c r="G1139">
        <v>2.48</v>
      </c>
      <c r="H1139">
        <v>1.3</v>
      </c>
      <c r="I1139" t="s">
        <v>15</v>
      </c>
      <c r="J1139">
        <v>7</v>
      </c>
      <c r="K1139">
        <v>1</v>
      </c>
      <c r="L1139">
        <v>5</v>
      </c>
      <c r="M1139">
        <v>0</v>
      </c>
      <c r="N1139" t="str">
        <f t="shared" si="36"/>
        <v>13-15</v>
      </c>
      <c r="O1139" t="str">
        <f t="shared" si="37"/>
        <v>healthy sleep</v>
      </c>
      <c r="P1139" s="1" t="str" cm="1">
        <f t="array" ref="P1139">_xlfn.IFS(L1139&lt;=3,"low",L1139&lt;=6,"medium",L1139&gt;=7,"high")</f>
        <v>medium</v>
      </c>
    </row>
    <row r="1140" spans="1:16" x14ac:dyDescent="0.3">
      <c r="A1140">
        <v>14</v>
      </c>
      <c r="B1140" t="s">
        <v>16</v>
      </c>
      <c r="C1140">
        <v>4</v>
      </c>
      <c r="D1140" t="s">
        <v>17</v>
      </c>
      <c r="E1140">
        <v>4.0999999999999996</v>
      </c>
      <c r="F1140">
        <v>0.9</v>
      </c>
      <c r="G1140">
        <v>2.99</v>
      </c>
      <c r="H1140">
        <v>1.9</v>
      </c>
      <c r="I1140" t="s">
        <v>15</v>
      </c>
      <c r="J1140">
        <v>2</v>
      </c>
      <c r="K1140">
        <v>9</v>
      </c>
      <c r="L1140">
        <v>10</v>
      </c>
      <c r="M1140">
        <v>0</v>
      </c>
      <c r="N1140" t="str">
        <f t="shared" si="36"/>
        <v>13-15</v>
      </c>
      <c r="O1140" t="str">
        <f t="shared" si="37"/>
        <v>low sleep</v>
      </c>
      <c r="P1140" s="1" t="str" cm="1">
        <f t="array" ref="P1140">_xlfn.IFS(L1140&lt;=3,"low",L1140&lt;=6,"medium",L1140&gt;=7,"high")</f>
        <v>high</v>
      </c>
    </row>
    <row r="1141" spans="1:16" x14ac:dyDescent="0.3">
      <c r="A1141">
        <v>15</v>
      </c>
      <c r="B1141" t="s">
        <v>16</v>
      </c>
      <c r="C1141">
        <v>1.7</v>
      </c>
      <c r="D1141" t="s">
        <v>14</v>
      </c>
      <c r="E1141">
        <v>5.3</v>
      </c>
      <c r="F1141">
        <v>1.5</v>
      </c>
      <c r="G1141">
        <v>3.6</v>
      </c>
      <c r="H1141">
        <v>1.5</v>
      </c>
      <c r="I1141" t="s">
        <v>18</v>
      </c>
      <c r="J1141">
        <v>6</v>
      </c>
      <c r="K1141">
        <v>4</v>
      </c>
      <c r="L1141">
        <v>3</v>
      </c>
      <c r="M1141">
        <v>0</v>
      </c>
      <c r="N1141" t="str">
        <f t="shared" si="36"/>
        <v>13-15</v>
      </c>
      <c r="O1141" t="str">
        <f t="shared" si="37"/>
        <v>low sleep</v>
      </c>
      <c r="P1141" s="1" t="str" cm="1">
        <f t="array" ref="P1141">_xlfn.IFS(L1141&lt;=3,"low",L1141&lt;=6,"medium",L1141&gt;=7,"high")</f>
        <v>low</v>
      </c>
    </row>
    <row r="1142" spans="1:16" x14ac:dyDescent="0.3">
      <c r="A1142">
        <v>14</v>
      </c>
      <c r="B1142" t="s">
        <v>16</v>
      </c>
      <c r="C1142">
        <v>7.8</v>
      </c>
      <c r="D1142" t="s">
        <v>17</v>
      </c>
      <c r="E1142">
        <v>4.7</v>
      </c>
      <c r="F1142">
        <v>2.2000000000000002</v>
      </c>
      <c r="G1142">
        <v>3.53</v>
      </c>
      <c r="H1142">
        <v>0.6</v>
      </c>
      <c r="I1142" t="s">
        <v>15</v>
      </c>
      <c r="J1142">
        <v>5</v>
      </c>
      <c r="K1142">
        <v>8</v>
      </c>
      <c r="L1142">
        <v>2</v>
      </c>
      <c r="M1142">
        <v>0</v>
      </c>
      <c r="N1142" t="str">
        <f t="shared" si="36"/>
        <v>13-15</v>
      </c>
      <c r="O1142" t="str">
        <f t="shared" si="37"/>
        <v>low sleep</v>
      </c>
      <c r="P1142" s="1" t="str" cm="1">
        <f t="array" ref="P1142">_xlfn.IFS(L1142&lt;=3,"low",L1142&lt;=6,"medium",L1142&gt;=7,"high")</f>
        <v>low</v>
      </c>
    </row>
    <row r="1143" spans="1:16" x14ac:dyDescent="0.3">
      <c r="A1143">
        <v>15</v>
      </c>
      <c r="B1143" t="s">
        <v>16</v>
      </c>
      <c r="C1143">
        <v>5.2</v>
      </c>
      <c r="D1143" t="s">
        <v>14</v>
      </c>
      <c r="E1143">
        <v>6.7</v>
      </c>
      <c r="F1143">
        <v>3</v>
      </c>
      <c r="G1143">
        <v>3.18</v>
      </c>
      <c r="H1143">
        <v>0.6</v>
      </c>
      <c r="I1143" t="s">
        <v>15</v>
      </c>
      <c r="J1143">
        <v>9</v>
      </c>
      <c r="K1143">
        <v>7</v>
      </c>
      <c r="L1143">
        <v>9</v>
      </c>
      <c r="M1143">
        <v>0</v>
      </c>
      <c r="N1143" t="str">
        <f t="shared" si="36"/>
        <v>13-15</v>
      </c>
      <c r="O1143" t="str">
        <f t="shared" si="37"/>
        <v>healthy sleep</v>
      </c>
      <c r="P1143" s="1" t="str" cm="1">
        <f t="array" ref="P1143">_xlfn.IFS(L1143&lt;=3,"low",L1143&lt;=6,"medium",L1143&gt;=7,"high")</f>
        <v>high</v>
      </c>
    </row>
    <row r="1144" spans="1:16" x14ac:dyDescent="0.3">
      <c r="A1144">
        <v>19</v>
      </c>
      <c r="B1144" t="s">
        <v>16</v>
      </c>
      <c r="C1144">
        <v>7.9</v>
      </c>
      <c r="D1144" t="s">
        <v>17</v>
      </c>
      <c r="E1144">
        <v>5.8</v>
      </c>
      <c r="F1144">
        <v>2.1</v>
      </c>
      <c r="G1144">
        <v>3.91</v>
      </c>
      <c r="H1144">
        <v>1.4</v>
      </c>
      <c r="I1144" t="s">
        <v>18</v>
      </c>
      <c r="J1144">
        <v>7</v>
      </c>
      <c r="K1144">
        <v>1</v>
      </c>
      <c r="L1144">
        <v>10</v>
      </c>
      <c r="M1144">
        <v>0</v>
      </c>
      <c r="N1144" t="str">
        <f t="shared" si="36"/>
        <v>16-19</v>
      </c>
      <c r="O1144" t="str">
        <f t="shared" si="37"/>
        <v>low sleep</v>
      </c>
      <c r="P1144" s="1" t="str" cm="1">
        <f t="array" ref="P1144">_xlfn.IFS(L1144&lt;=3,"low",L1144&lt;=6,"medium",L1144&gt;=7,"high")</f>
        <v>high</v>
      </c>
    </row>
    <row r="1145" spans="1:16" x14ac:dyDescent="0.3">
      <c r="A1145">
        <v>17</v>
      </c>
      <c r="B1145" t="s">
        <v>13</v>
      </c>
      <c r="C1145">
        <v>5.9</v>
      </c>
      <c r="D1145" t="s">
        <v>20</v>
      </c>
      <c r="E1145">
        <v>6.6</v>
      </c>
      <c r="F1145">
        <v>1.3</v>
      </c>
      <c r="G1145">
        <v>2.11</v>
      </c>
      <c r="H1145">
        <v>1.4</v>
      </c>
      <c r="I1145" t="s">
        <v>15</v>
      </c>
      <c r="J1145">
        <v>10</v>
      </c>
      <c r="K1145">
        <v>4</v>
      </c>
      <c r="L1145">
        <v>9</v>
      </c>
      <c r="M1145">
        <v>0</v>
      </c>
      <c r="N1145" t="str">
        <f t="shared" si="36"/>
        <v>16-19</v>
      </c>
      <c r="O1145" t="str">
        <f t="shared" si="37"/>
        <v>healthy sleep</v>
      </c>
      <c r="P1145" s="1" t="str" cm="1">
        <f t="array" ref="P1145">_xlfn.IFS(L1145&lt;=3,"low",L1145&lt;=6,"medium",L1145&gt;=7,"high")</f>
        <v>high</v>
      </c>
    </row>
    <row r="1146" spans="1:16" x14ac:dyDescent="0.3">
      <c r="A1146">
        <v>13</v>
      </c>
      <c r="B1146" t="s">
        <v>16</v>
      </c>
      <c r="C1146">
        <v>2.6</v>
      </c>
      <c r="D1146" t="s">
        <v>17</v>
      </c>
      <c r="E1146">
        <v>8.5</v>
      </c>
      <c r="F1146">
        <v>1.9</v>
      </c>
      <c r="G1146">
        <v>3.06</v>
      </c>
      <c r="H1146">
        <v>1.9</v>
      </c>
      <c r="I1146" t="s">
        <v>18</v>
      </c>
      <c r="J1146">
        <v>5</v>
      </c>
      <c r="K1146">
        <v>7</v>
      </c>
      <c r="L1146">
        <v>6</v>
      </c>
      <c r="M1146">
        <v>0</v>
      </c>
      <c r="N1146" t="str">
        <f t="shared" si="36"/>
        <v>13-15</v>
      </c>
      <c r="O1146" t="str">
        <f t="shared" si="37"/>
        <v>healthy sleep</v>
      </c>
      <c r="P1146" s="1" t="str" cm="1">
        <f t="array" ref="P1146">_xlfn.IFS(L1146&lt;=3,"low",L1146&lt;=6,"medium",L1146&gt;=7,"high")</f>
        <v>medium</v>
      </c>
    </row>
    <row r="1147" spans="1:16" x14ac:dyDescent="0.3">
      <c r="A1147">
        <v>18</v>
      </c>
      <c r="B1147" t="s">
        <v>16</v>
      </c>
      <c r="C1147">
        <v>6.3</v>
      </c>
      <c r="D1147" t="s">
        <v>17</v>
      </c>
      <c r="E1147">
        <v>4.8</v>
      </c>
      <c r="F1147">
        <v>1.2</v>
      </c>
      <c r="G1147">
        <v>2.91</v>
      </c>
      <c r="H1147">
        <v>1.3</v>
      </c>
      <c r="I1147" t="s">
        <v>19</v>
      </c>
      <c r="J1147">
        <v>9</v>
      </c>
      <c r="K1147">
        <v>10</v>
      </c>
      <c r="L1147">
        <v>3</v>
      </c>
      <c r="M1147">
        <v>1</v>
      </c>
      <c r="N1147" t="str">
        <f t="shared" si="36"/>
        <v>16-19</v>
      </c>
      <c r="O1147" t="str">
        <f t="shared" si="37"/>
        <v>low sleep</v>
      </c>
      <c r="P1147" s="1" t="str" cm="1">
        <f t="array" ref="P1147">_xlfn.IFS(L1147&lt;=3,"low",L1147&lt;=6,"medium",L1147&gt;=7,"high")</f>
        <v>low</v>
      </c>
    </row>
    <row r="1148" spans="1:16" x14ac:dyDescent="0.3">
      <c r="A1148">
        <v>19</v>
      </c>
      <c r="B1148" t="s">
        <v>16</v>
      </c>
      <c r="C1148">
        <v>4.5</v>
      </c>
      <c r="D1148" t="s">
        <v>17</v>
      </c>
      <c r="E1148">
        <v>8.4</v>
      </c>
      <c r="F1148">
        <v>2.1</v>
      </c>
      <c r="G1148">
        <v>2.62</v>
      </c>
      <c r="H1148">
        <v>2</v>
      </c>
      <c r="I1148" t="s">
        <v>15</v>
      </c>
      <c r="J1148">
        <v>5</v>
      </c>
      <c r="K1148">
        <v>10</v>
      </c>
      <c r="L1148">
        <v>5</v>
      </c>
      <c r="M1148">
        <v>0</v>
      </c>
      <c r="N1148" t="str">
        <f t="shared" si="36"/>
        <v>16-19</v>
      </c>
      <c r="O1148" t="str">
        <f t="shared" si="37"/>
        <v>healthy sleep</v>
      </c>
      <c r="P1148" s="1" t="str" cm="1">
        <f t="array" ref="P1148">_xlfn.IFS(L1148&lt;=3,"low",L1148&lt;=6,"medium",L1148&gt;=7,"high")</f>
        <v>medium</v>
      </c>
    </row>
    <row r="1149" spans="1:16" x14ac:dyDescent="0.3">
      <c r="A1149">
        <v>19</v>
      </c>
      <c r="B1149" t="s">
        <v>13</v>
      </c>
      <c r="C1149">
        <v>5.3</v>
      </c>
      <c r="D1149" t="s">
        <v>14</v>
      </c>
      <c r="E1149">
        <v>4.7</v>
      </c>
      <c r="F1149">
        <v>2.8</v>
      </c>
      <c r="G1149">
        <v>2.82</v>
      </c>
      <c r="H1149">
        <v>0.3</v>
      </c>
      <c r="I1149" t="s">
        <v>18</v>
      </c>
      <c r="J1149">
        <v>1</v>
      </c>
      <c r="K1149">
        <v>9</v>
      </c>
      <c r="L1149">
        <v>6</v>
      </c>
      <c r="M1149">
        <v>0</v>
      </c>
      <c r="N1149" t="str">
        <f t="shared" si="36"/>
        <v>16-19</v>
      </c>
      <c r="O1149" t="str">
        <f t="shared" si="37"/>
        <v>low sleep</v>
      </c>
      <c r="P1149" s="1" t="str" cm="1">
        <f t="array" ref="P1149">_xlfn.IFS(L1149&lt;=3,"low",L1149&lt;=6,"medium",L1149&gt;=7,"high")</f>
        <v>medium</v>
      </c>
    </row>
    <row r="1150" spans="1:16" x14ac:dyDescent="0.3">
      <c r="A1150">
        <v>13</v>
      </c>
      <c r="B1150" t="s">
        <v>16</v>
      </c>
      <c r="C1150">
        <v>5.2</v>
      </c>
      <c r="D1150" t="s">
        <v>20</v>
      </c>
      <c r="E1150">
        <v>7.4</v>
      </c>
      <c r="F1150">
        <v>2.5</v>
      </c>
      <c r="G1150">
        <v>3.93</v>
      </c>
      <c r="H1150">
        <v>0.8</v>
      </c>
      <c r="I1150" t="s">
        <v>15</v>
      </c>
      <c r="J1150">
        <v>4</v>
      </c>
      <c r="K1150">
        <v>4</v>
      </c>
      <c r="L1150">
        <v>8</v>
      </c>
      <c r="M1150">
        <v>0</v>
      </c>
      <c r="N1150" t="str">
        <f t="shared" si="36"/>
        <v>13-15</v>
      </c>
      <c r="O1150" t="str">
        <f t="shared" si="37"/>
        <v>healthy sleep</v>
      </c>
      <c r="P1150" s="1" t="str" cm="1">
        <f t="array" ref="P1150">_xlfn.IFS(L1150&lt;=3,"low",L1150&lt;=6,"medium",L1150&gt;=7,"high")</f>
        <v>high</v>
      </c>
    </row>
    <row r="1151" spans="1:16" x14ac:dyDescent="0.3">
      <c r="A1151">
        <v>15</v>
      </c>
      <c r="B1151" t="s">
        <v>13</v>
      </c>
      <c r="C1151">
        <v>3.3</v>
      </c>
      <c r="D1151" t="s">
        <v>20</v>
      </c>
      <c r="E1151">
        <v>6.1</v>
      </c>
      <c r="F1151">
        <v>1.2</v>
      </c>
      <c r="G1151">
        <v>2.56</v>
      </c>
      <c r="H1151">
        <v>1.4</v>
      </c>
      <c r="I1151" t="s">
        <v>15</v>
      </c>
      <c r="J1151">
        <v>8</v>
      </c>
      <c r="K1151">
        <v>6</v>
      </c>
      <c r="L1151">
        <v>3</v>
      </c>
      <c r="M1151">
        <v>0</v>
      </c>
      <c r="N1151" t="str">
        <f t="shared" si="36"/>
        <v>13-15</v>
      </c>
      <c r="O1151" t="str">
        <f t="shared" si="37"/>
        <v>healthy sleep</v>
      </c>
      <c r="P1151" s="1" t="str" cm="1">
        <f t="array" ref="P1151">_xlfn.IFS(L1151&lt;=3,"low",L1151&lt;=6,"medium",L1151&gt;=7,"high")</f>
        <v>low</v>
      </c>
    </row>
    <row r="1152" spans="1:16" x14ac:dyDescent="0.3">
      <c r="A1152">
        <v>14</v>
      </c>
      <c r="B1152" t="s">
        <v>16</v>
      </c>
      <c r="C1152">
        <v>1.1000000000000001</v>
      </c>
      <c r="D1152" t="s">
        <v>20</v>
      </c>
      <c r="E1152">
        <v>5.4</v>
      </c>
      <c r="F1152">
        <v>1.6</v>
      </c>
      <c r="G1152">
        <v>3.34</v>
      </c>
      <c r="H1152">
        <v>1.5</v>
      </c>
      <c r="I1152" t="s">
        <v>19</v>
      </c>
      <c r="J1152">
        <v>4</v>
      </c>
      <c r="K1152">
        <v>5</v>
      </c>
      <c r="L1152">
        <v>8</v>
      </c>
      <c r="M1152">
        <v>0</v>
      </c>
      <c r="N1152" t="str">
        <f t="shared" si="36"/>
        <v>13-15</v>
      </c>
      <c r="O1152" t="str">
        <f t="shared" si="37"/>
        <v>low sleep</v>
      </c>
      <c r="P1152" s="1" t="str" cm="1">
        <f t="array" ref="P1152">_xlfn.IFS(L1152&lt;=3,"low",L1152&lt;=6,"medium",L1152&gt;=7,"high")</f>
        <v>high</v>
      </c>
    </row>
    <row r="1153" spans="1:16" x14ac:dyDescent="0.3">
      <c r="A1153">
        <v>17</v>
      </c>
      <c r="B1153" t="s">
        <v>16</v>
      </c>
      <c r="C1153">
        <v>5</v>
      </c>
      <c r="D1153" t="s">
        <v>14</v>
      </c>
      <c r="E1153">
        <v>7.3</v>
      </c>
      <c r="F1153">
        <v>1.2</v>
      </c>
      <c r="G1153">
        <v>3.39</v>
      </c>
      <c r="H1153">
        <v>0.7</v>
      </c>
      <c r="I1153" t="s">
        <v>19</v>
      </c>
      <c r="J1153">
        <v>9</v>
      </c>
      <c r="K1153">
        <v>10</v>
      </c>
      <c r="L1153">
        <v>8</v>
      </c>
      <c r="M1153">
        <v>0</v>
      </c>
      <c r="N1153" t="str">
        <f t="shared" si="36"/>
        <v>16-19</v>
      </c>
      <c r="O1153" t="str">
        <f t="shared" si="37"/>
        <v>healthy sleep</v>
      </c>
      <c r="P1153" s="1" t="str" cm="1">
        <f t="array" ref="P1153">_xlfn.IFS(L1153&lt;=3,"low",L1153&lt;=6,"medium",L1153&gt;=7,"high")</f>
        <v>high</v>
      </c>
    </row>
    <row r="1154" spans="1:16" x14ac:dyDescent="0.3">
      <c r="A1154">
        <v>15</v>
      </c>
      <c r="B1154" t="s">
        <v>16</v>
      </c>
      <c r="C1154">
        <v>7.4</v>
      </c>
      <c r="D1154" t="s">
        <v>17</v>
      </c>
      <c r="E1154">
        <v>8.6</v>
      </c>
      <c r="F1154">
        <v>1.4</v>
      </c>
      <c r="G1154">
        <v>2.19</v>
      </c>
      <c r="H1154">
        <v>1.8</v>
      </c>
      <c r="I1154" t="s">
        <v>15</v>
      </c>
      <c r="J1154">
        <v>10</v>
      </c>
      <c r="K1154">
        <v>10</v>
      </c>
      <c r="L1154">
        <v>1</v>
      </c>
      <c r="M1154">
        <v>0</v>
      </c>
      <c r="N1154" t="str">
        <f t="shared" si="36"/>
        <v>13-15</v>
      </c>
      <c r="O1154" t="str">
        <f t="shared" si="37"/>
        <v>healthy sleep</v>
      </c>
      <c r="P1154" s="1" t="str" cm="1">
        <f t="array" ref="P1154">_xlfn.IFS(L1154&lt;=3,"low",L1154&lt;=6,"medium",L1154&gt;=7,"high")</f>
        <v>low</v>
      </c>
    </row>
    <row r="1155" spans="1:16" x14ac:dyDescent="0.3">
      <c r="A1155">
        <v>15</v>
      </c>
      <c r="B1155" t="s">
        <v>16</v>
      </c>
      <c r="C1155">
        <v>7.4</v>
      </c>
      <c r="D1155" t="s">
        <v>17</v>
      </c>
      <c r="E1155">
        <v>8.9</v>
      </c>
      <c r="F1155">
        <v>2.9</v>
      </c>
      <c r="G1155">
        <v>3.39</v>
      </c>
      <c r="H1155">
        <v>1.1000000000000001</v>
      </c>
      <c r="I1155" t="s">
        <v>18</v>
      </c>
      <c r="J1155">
        <v>4</v>
      </c>
      <c r="K1155">
        <v>9</v>
      </c>
      <c r="L1155">
        <v>1</v>
      </c>
      <c r="M1155">
        <v>0</v>
      </c>
      <c r="N1155" t="str">
        <f t="shared" ref="N1155:N1201" si="38">IF(A1155&lt;=15,"13-15","16-19")</f>
        <v>13-15</v>
      </c>
      <c r="O1155" t="str">
        <f t="shared" ref="O1155:O1201" si="39">IF(E1155&lt;=6,"low sleep","healthy sleep")</f>
        <v>healthy sleep</v>
      </c>
      <c r="P1155" s="1" t="str" cm="1">
        <f t="array" ref="P1155">_xlfn.IFS(L1155&lt;=3,"low",L1155&lt;=6,"medium",L1155&gt;=7,"high")</f>
        <v>low</v>
      </c>
    </row>
    <row r="1156" spans="1:16" x14ac:dyDescent="0.3">
      <c r="A1156">
        <v>17</v>
      </c>
      <c r="B1156" t="s">
        <v>13</v>
      </c>
      <c r="C1156">
        <v>6.6</v>
      </c>
      <c r="D1156" t="s">
        <v>17</v>
      </c>
      <c r="E1156">
        <v>5.2</v>
      </c>
      <c r="F1156">
        <v>2.2000000000000002</v>
      </c>
      <c r="G1156">
        <v>2.98</v>
      </c>
      <c r="H1156">
        <v>0.8</v>
      </c>
      <c r="I1156" t="s">
        <v>18</v>
      </c>
      <c r="J1156">
        <v>6</v>
      </c>
      <c r="K1156">
        <v>8</v>
      </c>
      <c r="L1156">
        <v>7</v>
      </c>
      <c r="M1156">
        <v>0</v>
      </c>
      <c r="N1156" t="str">
        <f t="shared" si="38"/>
        <v>16-19</v>
      </c>
      <c r="O1156" t="str">
        <f t="shared" si="39"/>
        <v>low sleep</v>
      </c>
      <c r="P1156" s="1" t="str" cm="1">
        <f t="array" ref="P1156">_xlfn.IFS(L1156&lt;=3,"low",L1156&lt;=6,"medium",L1156&gt;=7,"high")</f>
        <v>high</v>
      </c>
    </row>
    <row r="1157" spans="1:16" x14ac:dyDescent="0.3">
      <c r="A1157">
        <v>13</v>
      </c>
      <c r="B1157" t="s">
        <v>16</v>
      </c>
      <c r="C1157">
        <v>7.1</v>
      </c>
      <c r="D1157" t="s">
        <v>20</v>
      </c>
      <c r="E1157">
        <v>7.2</v>
      </c>
      <c r="F1157">
        <v>1.1000000000000001</v>
      </c>
      <c r="G1157">
        <v>3.69</v>
      </c>
      <c r="H1157">
        <v>1</v>
      </c>
      <c r="I1157" t="s">
        <v>15</v>
      </c>
      <c r="J1157">
        <v>4</v>
      </c>
      <c r="K1157">
        <v>6</v>
      </c>
      <c r="L1157">
        <v>3</v>
      </c>
      <c r="M1157">
        <v>0</v>
      </c>
      <c r="N1157" t="str">
        <f t="shared" si="38"/>
        <v>13-15</v>
      </c>
      <c r="O1157" t="str">
        <f t="shared" si="39"/>
        <v>healthy sleep</v>
      </c>
      <c r="P1157" s="1" t="str" cm="1">
        <f t="array" ref="P1157">_xlfn.IFS(L1157&lt;=3,"low",L1157&lt;=6,"medium",L1157&gt;=7,"high")</f>
        <v>low</v>
      </c>
    </row>
    <row r="1158" spans="1:16" x14ac:dyDescent="0.3">
      <c r="A1158">
        <v>15</v>
      </c>
      <c r="B1158" t="s">
        <v>16</v>
      </c>
      <c r="C1158">
        <v>1.1000000000000001</v>
      </c>
      <c r="D1158" t="s">
        <v>17</v>
      </c>
      <c r="E1158">
        <v>8.6</v>
      </c>
      <c r="F1158">
        <v>2.2999999999999998</v>
      </c>
      <c r="G1158">
        <v>3.68</v>
      </c>
      <c r="H1158">
        <v>0.5</v>
      </c>
      <c r="I1158" t="s">
        <v>15</v>
      </c>
      <c r="J1158">
        <v>1</v>
      </c>
      <c r="K1158">
        <v>2</v>
      </c>
      <c r="L1158">
        <v>7</v>
      </c>
      <c r="M1158">
        <v>0</v>
      </c>
      <c r="N1158" t="str">
        <f t="shared" si="38"/>
        <v>13-15</v>
      </c>
      <c r="O1158" t="str">
        <f t="shared" si="39"/>
        <v>healthy sleep</v>
      </c>
      <c r="P1158" s="1" t="str" cm="1">
        <f t="array" ref="P1158">_xlfn.IFS(L1158&lt;=3,"low",L1158&lt;=6,"medium",L1158&gt;=7,"high")</f>
        <v>high</v>
      </c>
    </row>
    <row r="1159" spans="1:16" x14ac:dyDescent="0.3">
      <c r="A1159">
        <v>13</v>
      </c>
      <c r="B1159" t="s">
        <v>16</v>
      </c>
      <c r="C1159">
        <v>3.6</v>
      </c>
      <c r="D1159" t="s">
        <v>17</v>
      </c>
      <c r="E1159">
        <v>8.6999999999999993</v>
      </c>
      <c r="F1159">
        <v>0.8</v>
      </c>
      <c r="G1159">
        <v>2.41</v>
      </c>
      <c r="H1159">
        <v>1.3</v>
      </c>
      <c r="I1159" t="s">
        <v>15</v>
      </c>
      <c r="J1159">
        <v>4</v>
      </c>
      <c r="K1159">
        <v>6</v>
      </c>
      <c r="L1159">
        <v>8</v>
      </c>
      <c r="M1159">
        <v>0</v>
      </c>
      <c r="N1159" t="str">
        <f t="shared" si="38"/>
        <v>13-15</v>
      </c>
      <c r="O1159" t="str">
        <f t="shared" si="39"/>
        <v>healthy sleep</v>
      </c>
      <c r="P1159" s="1" t="str" cm="1">
        <f t="array" ref="P1159">_xlfn.IFS(L1159&lt;=3,"low",L1159&lt;=6,"medium",L1159&gt;=7,"high")</f>
        <v>high</v>
      </c>
    </row>
    <row r="1160" spans="1:16" x14ac:dyDescent="0.3">
      <c r="A1160">
        <v>16</v>
      </c>
      <c r="B1160" t="s">
        <v>13</v>
      </c>
      <c r="C1160">
        <v>5.0999999999999996</v>
      </c>
      <c r="D1160" t="s">
        <v>17</v>
      </c>
      <c r="E1160">
        <v>4.5999999999999996</v>
      </c>
      <c r="F1160">
        <v>1.1000000000000001</v>
      </c>
      <c r="G1160">
        <v>2.75</v>
      </c>
      <c r="H1160">
        <v>1.5</v>
      </c>
      <c r="I1160" t="s">
        <v>19</v>
      </c>
      <c r="J1160">
        <v>6</v>
      </c>
      <c r="K1160">
        <v>3</v>
      </c>
      <c r="L1160">
        <v>6</v>
      </c>
      <c r="M1160">
        <v>0</v>
      </c>
      <c r="N1160" t="str">
        <f t="shared" si="38"/>
        <v>16-19</v>
      </c>
      <c r="O1160" t="str">
        <f t="shared" si="39"/>
        <v>low sleep</v>
      </c>
      <c r="P1160" s="1" t="str" cm="1">
        <f t="array" ref="P1160">_xlfn.IFS(L1160&lt;=3,"low",L1160&lt;=6,"medium",L1160&gt;=7,"high")</f>
        <v>medium</v>
      </c>
    </row>
    <row r="1161" spans="1:16" x14ac:dyDescent="0.3">
      <c r="A1161">
        <v>19</v>
      </c>
      <c r="B1161" t="s">
        <v>16</v>
      </c>
      <c r="C1161">
        <v>7.3</v>
      </c>
      <c r="D1161" t="s">
        <v>14</v>
      </c>
      <c r="E1161">
        <v>7.8</v>
      </c>
      <c r="F1161">
        <v>1</v>
      </c>
      <c r="G1161">
        <v>2.91</v>
      </c>
      <c r="H1161">
        <v>0.8</v>
      </c>
      <c r="I1161" t="s">
        <v>19</v>
      </c>
      <c r="J1161">
        <v>9</v>
      </c>
      <c r="K1161">
        <v>7</v>
      </c>
      <c r="L1161">
        <v>5</v>
      </c>
      <c r="M1161">
        <v>0</v>
      </c>
      <c r="N1161" t="str">
        <f t="shared" si="38"/>
        <v>16-19</v>
      </c>
      <c r="O1161" t="str">
        <f t="shared" si="39"/>
        <v>healthy sleep</v>
      </c>
      <c r="P1161" s="1" t="str" cm="1">
        <f t="array" ref="P1161">_xlfn.IFS(L1161&lt;=3,"low",L1161&lt;=6,"medium",L1161&gt;=7,"high")</f>
        <v>medium</v>
      </c>
    </row>
    <row r="1162" spans="1:16" x14ac:dyDescent="0.3">
      <c r="A1162">
        <v>13</v>
      </c>
      <c r="B1162" t="s">
        <v>16</v>
      </c>
      <c r="C1162">
        <v>7.7</v>
      </c>
      <c r="D1162" t="s">
        <v>20</v>
      </c>
      <c r="E1162">
        <v>7.5</v>
      </c>
      <c r="F1162">
        <v>1.4</v>
      </c>
      <c r="G1162">
        <v>2.2400000000000002</v>
      </c>
      <c r="H1162">
        <v>0.1</v>
      </c>
      <c r="I1162" t="s">
        <v>15</v>
      </c>
      <c r="J1162">
        <v>5</v>
      </c>
      <c r="K1162">
        <v>3</v>
      </c>
      <c r="L1162">
        <v>3</v>
      </c>
      <c r="M1162">
        <v>0</v>
      </c>
      <c r="N1162" t="str">
        <f t="shared" si="38"/>
        <v>13-15</v>
      </c>
      <c r="O1162" t="str">
        <f t="shared" si="39"/>
        <v>healthy sleep</v>
      </c>
      <c r="P1162" s="1" t="str" cm="1">
        <f t="array" ref="P1162">_xlfn.IFS(L1162&lt;=3,"low",L1162&lt;=6,"medium",L1162&gt;=7,"high")</f>
        <v>low</v>
      </c>
    </row>
    <row r="1163" spans="1:16" x14ac:dyDescent="0.3">
      <c r="A1163">
        <v>13</v>
      </c>
      <c r="B1163" t="s">
        <v>16</v>
      </c>
      <c r="C1163">
        <v>7.9</v>
      </c>
      <c r="D1163" t="s">
        <v>17</v>
      </c>
      <c r="E1163">
        <v>4.0999999999999996</v>
      </c>
      <c r="F1163">
        <v>1.6</v>
      </c>
      <c r="G1163">
        <v>2.74</v>
      </c>
      <c r="H1163">
        <v>0.9</v>
      </c>
      <c r="I1163" t="s">
        <v>19</v>
      </c>
      <c r="J1163">
        <v>9</v>
      </c>
      <c r="K1163">
        <v>3</v>
      </c>
      <c r="L1163">
        <v>5</v>
      </c>
      <c r="M1163">
        <v>0</v>
      </c>
      <c r="N1163" t="str">
        <f t="shared" si="38"/>
        <v>13-15</v>
      </c>
      <c r="O1163" t="str">
        <f t="shared" si="39"/>
        <v>low sleep</v>
      </c>
      <c r="P1163" s="1" t="str" cm="1">
        <f t="array" ref="P1163">_xlfn.IFS(L1163&lt;=3,"low",L1163&lt;=6,"medium",L1163&gt;=7,"high")</f>
        <v>medium</v>
      </c>
    </row>
    <row r="1164" spans="1:16" x14ac:dyDescent="0.3">
      <c r="A1164">
        <v>16</v>
      </c>
      <c r="B1164" t="s">
        <v>16</v>
      </c>
      <c r="C1164">
        <v>5.5</v>
      </c>
      <c r="D1164" t="s">
        <v>20</v>
      </c>
      <c r="E1164">
        <v>5.8</v>
      </c>
      <c r="F1164">
        <v>2.5</v>
      </c>
      <c r="G1164">
        <v>2.34</v>
      </c>
      <c r="H1164">
        <v>1</v>
      </c>
      <c r="I1164" t="s">
        <v>15</v>
      </c>
      <c r="J1164">
        <v>5</v>
      </c>
      <c r="K1164">
        <v>2</v>
      </c>
      <c r="L1164">
        <v>8</v>
      </c>
      <c r="M1164">
        <v>0</v>
      </c>
      <c r="N1164" t="str">
        <f t="shared" si="38"/>
        <v>16-19</v>
      </c>
      <c r="O1164" t="str">
        <f t="shared" si="39"/>
        <v>low sleep</v>
      </c>
      <c r="P1164" s="1" t="str" cm="1">
        <f t="array" ref="P1164">_xlfn.IFS(L1164&lt;=3,"low",L1164&lt;=6,"medium",L1164&gt;=7,"high")</f>
        <v>high</v>
      </c>
    </row>
    <row r="1165" spans="1:16" x14ac:dyDescent="0.3">
      <c r="A1165">
        <v>19</v>
      </c>
      <c r="B1165" t="s">
        <v>13</v>
      </c>
      <c r="C1165">
        <v>4</v>
      </c>
      <c r="D1165" t="s">
        <v>14</v>
      </c>
      <c r="E1165">
        <v>7.8</v>
      </c>
      <c r="F1165">
        <v>0.6</v>
      </c>
      <c r="G1165">
        <v>3.61</v>
      </c>
      <c r="H1165">
        <v>1.7</v>
      </c>
      <c r="I1165" t="s">
        <v>18</v>
      </c>
      <c r="J1165">
        <v>2</v>
      </c>
      <c r="K1165">
        <v>7</v>
      </c>
      <c r="L1165">
        <v>9</v>
      </c>
      <c r="M1165">
        <v>0</v>
      </c>
      <c r="N1165" t="str">
        <f t="shared" si="38"/>
        <v>16-19</v>
      </c>
      <c r="O1165" t="str">
        <f t="shared" si="39"/>
        <v>healthy sleep</v>
      </c>
      <c r="P1165" s="1" t="str" cm="1">
        <f t="array" ref="P1165">_xlfn.IFS(L1165&lt;=3,"low",L1165&lt;=6,"medium",L1165&gt;=7,"high")</f>
        <v>high</v>
      </c>
    </row>
    <row r="1166" spans="1:16" x14ac:dyDescent="0.3">
      <c r="A1166">
        <v>15</v>
      </c>
      <c r="B1166" t="s">
        <v>16</v>
      </c>
      <c r="C1166">
        <v>7.9</v>
      </c>
      <c r="D1166" t="s">
        <v>17</v>
      </c>
      <c r="E1166">
        <v>4.7</v>
      </c>
      <c r="F1166">
        <v>1.5</v>
      </c>
      <c r="G1166">
        <v>3.3</v>
      </c>
      <c r="H1166">
        <v>0</v>
      </c>
      <c r="I1166" t="s">
        <v>15</v>
      </c>
      <c r="J1166">
        <v>5</v>
      </c>
      <c r="K1166">
        <v>8</v>
      </c>
      <c r="L1166">
        <v>5</v>
      </c>
      <c r="M1166">
        <v>0</v>
      </c>
      <c r="N1166" t="str">
        <f t="shared" si="38"/>
        <v>13-15</v>
      </c>
      <c r="O1166" t="str">
        <f t="shared" si="39"/>
        <v>low sleep</v>
      </c>
      <c r="P1166" s="1" t="str" cm="1">
        <f t="array" ref="P1166">_xlfn.IFS(L1166&lt;=3,"low",L1166&lt;=6,"medium",L1166&gt;=7,"high")</f>
        <v>medium</v>
      </c>
    </row>
    <row r="1167" spans="1:16" x14ac:dyDescent="0.3">
      <c r="A1167">
        <v>18</v>
      </c>
      <c r="B1167" t="s">
        <v>16</v>
      </c>
      <c r="C1167">
        <v>5.5</v>
      </c>
      <c r="D1167" t="s">
        <v>20</v>
      </c>
      <c r="E1167">
        <v>8.1999999999999993</v>
      </c>
      <c r="F1167">
        <v>0.5</v>
      </c>
      <c r="G1167">
        <v>3.15</v>
      </c>
      <c r="H1167">
        <v>1.2</v>
      </c>
      <c r="I1167" t="s">
        <v>19</v>
      </c>
      <c r="J1167">
        <v>8</v>
      </c>
      <c r="K1167">
        <v>7</v>
      </c>
      <c r="L1167">
        <v>7</v>
      </c>
      <c r="M1167">
        <v>0</v>
      </c>
      <c r="N1167" t="str">
        <f t="shared" si="38"/>
        <v>16-19</v>
      </c>
      <c r="O1167" t="str">
        <f t="shared" si="39"/>
        <v>healthy sleep</v>
      </c>
      <c r="P1167" s="1" t="str" cm="1">
        <f t="array" ref="P1167">_xlfn.IFS(L1167&lt;=3,"low",L1167&lt;=6,"medium",L1167&gt;=7,"high")</f>
        <v>high</v>
      </c>
    </row>
    <row r="1168" spans="1:16" x14ac:dyDescent="0.3">
      <c r="A1168">
        <v>17</v>
      </c>
      <c r="B1168" t="s">
        <v>16</v>
      </c>
      <c r="C1168">
        <v>7.6</v>
      </c>
      <c r="D1168" t="s">
        <v>20</v>
      </c>
      <c r="E1168">
        <v>7.1</v>
      </c>
      <c r="F1168">
        <v>1.1000000000000001</v>
      </c>
      <c r="G1168">
        <v>2.0699999999999998</v>
      </c>
      <c r="H1168">
        <v>1.9</v>
      </c>
      <c r="I1168" t="s">
        <v>18</v>
      </c>
      <c r="J1168">
        <v>3</v>
      </c>
      <c r="K1168">
        <v>2</v>
      </c>
      <c r="L1168">
        <v>6</v>
      </c>
      <c r="M1168">
        <v>0</v>
      </c>
      <c r="N1168" t="str">
        <f t="shared" si="38"/>
        <v>16-19</v>
      </c>
      <c r="O1168" t="str">
        <f t="shared" si="39"/>
        <v>healthy sleep</v>
      </c>
      <c r="P1168" s="1" t="str" cm="1">
        <f t="array" ref="P1168">_xlfn.IFS(L1168&lt;=3,"low",L1168&lt;=6,"medium",L1168&gt;=7,"high")</f>
        <v>medium</v>
      </c>
    </row>
    <row r="1169" spans="1:16" x14ac:dyDescent="0.3">
      <c r="A1169">
        <v>13</v>
      </c>
      <c r="B1169" t="s">
        <v>13</v>
      </c>
      <c r="C1169">
        <v>1.3</v>
      </c>
      <c r="D1169" t="s">
        <v>17</v>
      </c>
      <c r="E1169">
        <v>4.4000000000000004</v>
      </c>
      <c r="F1169">
        <v>0.9</v>
      </c>
      <c r="G1169">
        <v>2.99</v>
      </c>
      <c r="H1169">
        <v>0</v>
      </c>
      <c r="I1169" t="s">
        <v>18</v>
      </c>
      <c r="J1169">
        <v>8</v>
      </c>
      <c r="K1169">
        <v>2</v>
      </c>
      <c r="L1169">
        <v>5</v>
      </c>
      <c r="M1169">
        <v>0</v>
      </c>
      <c r="N1169" t="str">
        <f t="shared" si="38"/>
        <v>13-15</v>
      </c>
      <c r="O1169" t="str">
        <f t="shared" si="39"/>
        <v>low sleep</v>
      </c>
      <c r="P1169" s="1" t="str" cm="1">
        <f t="array" ref="P1169">_xlfn.IFS(L1169&lt;=3,"low",L1169&lt;=6,"medium",L1169&gt;=7,"high")</f>
        <v>medium</v>
      </c>
    </row>
    <row r="1170" spans="1:16" x14ac:dyDescent="0.3">
      <c r="A1170">
        <v>16</v>
      </c>
      <c r="B1170" t="s">
        <v>13</v>
      </c>
      <c r="C1170">
        <v>7.3</v>
      </c>
      <c r="D1170" t="s">
        <v>17</v>
      </c>
      <c r="E1170">
        <v>7</v>
      </c>
      <c r="F1170">
        <v>2.2000000000000002</v>
      </c>
      <c r="G1170">
        <v>2.0699999999999998</v>
      </c>
      <c r="H1170">
        <v>1</v>
      </c>
      <c r="I1170" t="s">
        <v>19</v>
      </c>
      <c r="J1170">
        <v>3</v>
      </c>
      <c r="K1170">
        <v>7</v>
      </c>
      <c r="L1170">
        <v>1</v>
      </c>
      <c r="M1170">
        <v>0</v>
      </c>
      <c r="N1170" t="str">
        <f t="shared" si="38"/>
        <v>16-19</v>
      </c>
      <c r="O1170" t="str">
        <f t="shared" si="39"/>
        <v>healthy sleep</v>
      </c>
      <c r="P1170" s="1" t="str" cm="1">
        <f t="array" ref="P1170">_xlfn.IFS(L1170&lt;=3,"low",L1170&lt;=6,"medium",L1170&gt;=7,"high")</f>
        <v>low</v>
      </c>
    </row>
    <row r="1171" spans="1:16" x14ac:dyDescent="0.3">
      <c r="A1171">
        <v>18</v>
      </c>
      <c r="B1171" t="s">
        <v>13</v>
      </c>
      <c r="C1171">
        <v>4.3</v>
      </c>
      <c r="D1171" t="s">
        <v>14</v>
      </c>
      <c r="E1171">
        <v>6.7</v>
      </c>
      <c r="F1171">
        <v>2.5</v>
      </c>
      <c r="G1171">
        <v>3.19</v>
      </c>
      <c r="H1171">
        <v>1</v>
      </c>
      <c r="I1171" t="s">
        <v>18</v>
      </c>
      <c r="J1171">
        <v>5</v>
      </c>
      <c r="K1171">
        <v>5</v>
      </c>
      <c r="L1171">
        <v>5</v>
      </c>
      <c r="M1171">
        <v>0</v>
      </c>
      <c r="N1171" t="str">
        <f t="shared" si="38"/>
        <v>16-19</v>
      </c>
      <c r="O1171" t="str">
        <f t="shared" si="39"/>
        <v>healthy sleep</v>
      </c>
      <c r="P1171" s="1" t="str" cm="1">
        <f t="array" ref="P1171">_xlfn.IFS(L1171&lt;=3,"low",L1171&lt;=6,"medium",L1171&gt;=7,"high")</f>
        <v>medium</v>
      </c>
    </row>
    <row r="1172" spans="1:16" x14ac:dyDescent="0.3">
      <c r="A1172">
        <v>16</v>
      </c>
      <c r="B1172" t="s">
        <v>13</v>
      </c>
      <c r="C1172">
        <v>7.1</v>
      </c>
      <c r="D1172" t="s">
        <v>17</v>
      </c>
      <c r="E1172">
        <v>7.7</v>
      </c>
      <c r="F1172">
        <v>1.9</v>
      </c>
      <c r="G1172">
        <v>2.2400000000000002</v>
      </c>
      <c r="H1172">
        <v>0.6</v>
      </c>
      <c r="I1172" t="s">
        <v>18</v>
      </c>
      <c r="J1172">
        <v>8</v>
      </c>
      <c r="K1172">
        <v>10</v>
      </c>
      <c r="L1172">
        <v>5</v>
      </c>
      <c r="M1172">
        <v>0</v>
      </c>
      <c r="N1172" t="str">
        <f t="shared" si="38"/>
        <v>16-19</v>
      </c>
      <c r="O1172" t="str">
        <f t="shared" si="39"/>
        <v>healthy sleep</v>
      </c>
      <c r="P1172" s="1" t="str" cm="1">
        <f t="array" ref="P1172">_xlfn.IFS(L1172&lt;=3,"low",L1172&lt;=6,"medium",L1172&gt;=7,"high")</f>
        <v>medium</v>
      </c>
    </row>
    <row r="1173" spans="1:16" x14ac:dyDescent="0.3">
      <c r="A1173">
        <v>14</v>
      </c>
      <c r="B1173" t="s">
        <v>16</v>
      </c>
      <c r="C1173">
        <v>5.7</v>
      </c>
      <c r="D1173" t="s">
        <v>17</v>
      </c>
      <c r="E1173">
        <v>6.4</v>
      </c>
      <c r="F1173">
        <v>1.9</v>
      </c>
      <c r="G1173">
        <v>3.3</v>
      </c>
      <c r="H1173">
        <v>1.3</v>
      </c>
      <c r="I1173" t="s">
        <v>18</v>
      </c>
      <c r="J1173">
        <v>6</v>
      </c>
      <c r="K1173">
        <v>8</v>
      </c>
      <c r="L1173">
        <v>5</v>
      </c>
      <c r="M1173">
        <v>0</v>
      </c>
      <c r="N1173" t="str">
        <f t="shared" si="38"/>
        <v>13-15</v>
      </c>
      <c r="O1173" t="str">
        <f t="shared" si="39"/>
        <v>healthy sleep</v>
      </c>
      <c r="P1173" s="1" t="str" cm="1">
        <f t="array" ref="P1173">_xlfn.IFS(L1173&lt;=3,"low",L1173&lt;=6,"medium",L1173&gt;=7,"high")</f>
        <v>medium</v>
      </c>
    </row>
    <row r="1174" spans="1:16" x14ac:dyDescent="0.3">
      <c r="A1174">
        <v>18</v>
      </c>
      <c r="B1174" t="s">
        <v>16</v>
      </c>
      <c r="C1174">
        <v>5.2</v>
      </c>
      <c r="D1174" t="s">
        <v>20</v>
      </c>
      <c r="E1174">
        <v>7.3</v>
      </c>
      <c r="F1174">
        <v>1.7</v>
      </c>
      <c r="G1174">
        <v>3.33</v>
      </c>
      <c r="H1174">
        <v>0.9</v>
      </c>
      <c r="I1174" t="s">
        <v>15</v>
      </c>
      <c r="J1174">
        <v>7</v>
      </c>
      <c r="K1174">
        <v>4</v>
      </c>
      <c r="L1174">
        <v>9</v>
      </c>
      <c r="M1174">
        <v>0</v>
      </c>
      <c r="N1174" t="str">
        <f t="shared" si="38"/>
        <v>16-19</v>
      </c>
      <c r="O1174" t="str">
        <f t="shared" si="39"/>
        <v>healthy sleep</v>
      </c>
      <c r="P1174" s="1" t="str" cm="1">
        <f t="array" ref="P1174">_xlfn.IFS(L1174&lt;=3,"low",L1174&lt;=6,"medium",L1174&gt;=7,"high")</f>
        <v>high</v>
      </c>
    </row>
    <row r="1175" spans="1:16" x14ac:dyDescent="0.3">
      <c r="A1175">
        <v>17</v>
      </c>
      <c r="B1175" t="s">
        <v>13</v>
      </c>
      <c r="C1175">
        <v>3.1</v>
      </c>
      <c r="D1175" t="s">
        <v>17</v>
      </c>
      <c r="E1175">
        <v>7.7</v>
      </c>
      <c r="F1175">
        <v>2.2000000000000002</v>
      </c>
      <c r="G1175">
        <v>3.72</v>
      </c>
      <c r="H1175">
        <v>1.4</v>
      </c>
      <c r="I1175" t="s">
        <v>19</v>
      </c>
      <c r="J1175">
        <v>1</v>
      </c>
      <c r="K1175">
        <v>5</v>
      </c>
      <c r="L1175">
        <v>8</v>
      </c>
      <c r="M1175">
        <v>0</v>
      </c>
      <c r="N1175" t="str">
        <f t="shared" si="38"/>
        <v>16-19</v>
      </c>
      <c r="O1175" t="str">
        <f t="shared" si="39"/>
        <v>healthy sleep</v>
      </c>
      <c r="P1175" s="1" t="str" cm="1">
        <f t="array" ref="P1175">_xlfn.IFS(L1175&lt;=3,"low",L1175&lt;=6,"medium",L1175&gt;=7,"high")</f>
        <v>high</v>
      </c>
    </row>
    <row r="1176" spans="1:16" x14ac:dyDescent="0.3">
      <c r="A1176">
        <v>13</v>
      </c>
      <c r="B1176" t="s">
        <v>13</v>
      </c>
      <c r="C1176">
        <v>3</v>
      </c>
      <c r="D1176" t="s">
        <v>20</v>
      </c>
      <c r="E1176">
        <v>6.2</v>
      </c>
      <c r="F1176">
        <v>0.8</v>
      </c>
      <c r="G1176">
        <v>3.96</v>
      </c>
      <c r="H1176">
        <v>1.1000000000000001</v>
      </c>
      <c r="I1176" t="s">
        <v>15</v>
      </c>
      <c r="J1176">
        <v>9</v>
      </c>
      <c r="K1176">
        <v>10</v>
      </c>
      <c r="L1176">
        <v>3</v>
      </c>
      <c r="M1176">
        <v>0</v>
      </c>
      <c r="N1176" t="str">
        <f t="shared" si="38"/>
        <v>13-15</v>
      </c>
      <c r="O1176" t="str">
        <f t="shared" si="39"/>
        <v>healthy sleep</v>
      </c>
      <c r="P1176" s="1" t="str" cm="1">
        <f t="array" ref="P1176">_xlfn.IFS(L1176&lt;=3,"low",L1176&lt;=6,"medium",L1176&gt;=7,"high")</f>
        <v>low</v>
      </c>
    </row>
    <row r="1177" spans="1:16" x14ac:dyDescent="0.3">
      <c r="A1177">
        <v>17</v>
      </c>
      <c r="B1177" t="s">
        <v>16</v>
      </c>
      <c r="C1177">
        <v>6</v>
      </c>
      <c r="D1177" t="s">
        <v>20</v>
      </c>
      <c r="E1177">
        <v>4.2</v>
      </c>
      <c r="F1177">
        <v>2.2000000000000002</v>
      </c>
      <c r="G1177">
        <v>2.27</v>
      </c>
      <c r="H1177">
        <v>0.5</v>
      </c>
      <c r="I1177" t="s">
        <v>19</v>
      </c>
      <c r="J1177">
        <v>1</v>
      </c>
      <c r="K1177">
        <v>4</v>
      </c>
      <c r="L1177">
        <v>5</v>
      </c>
      <c r="M1177">
        <v>0</v>
      </c>
      <c r="N1177" t="str">
        <f t="shared" si="38"/>
        <v>16-19</v>
      </c>
      <c r="O1177" t="str">
        <f t="shared" si="39"/>
        <v>low sleep</v>
      </c>
      <c r="P1177" s="1" t="str" cm="1">
        <f t="array" ref="P1177">_xlfn.IFS(L1177&lt;=3,"low",L1177&lt;=6,"medium",L1177&gt;=7,"high")</f>
        <v>medium</v>
      </c>
    </row>
    <row r="1178" spans="1:16" x14ac:dyDescent="0.3">
      <c r="A1178">
        <v>13</v>
      </c>
      <c r="B1178" t="s">
        <v>13</v>
      </c>
      <c r="C1178">
        <v>5.9</v>
      </c>
      <c r="D1178" t="s">
        <v>14</v>
      </c>
      <c r="E1178">
        <v>8.6</v>
      </c>
      <c r="F1178">
        <v>1.9</v>
      </c>
      <c r="G1178">
        <v>3.88</v>
      </c>
      <c r="H1178">
        <v>0.2</v>
      </c>
      <c r="I1178" t="s">
        <v>19</v>
      </c>
      <c r="J1178">
        <v>1</v>
      </c>
      <c r="K1178">
        <v>6</v>
      </c>
      <c r="L1178">
        <v>9</v>
      </c>
      <c r="M1178">
        <v>0</v>
      </c>
      <c r="N1178" t="str">
        <f t="shared" si="38"/>
        <v>13-15</v>
      </c>
      <c r="O1178" t="str">
        <f t="shared" si="39"/>
        <v>healthy sleep</v>
      </c>
      <c r="P1178" s="1" t="str" cm="1">
        <f t="array" ref="P1178">_xlfn.IFS(L1178&lt;=3,"low",L1178&lt;=6,"medium",L1178&gt;=7,"high")</f>
        <v>high</v>
      </c>
    </row>
    <row r="1179" spans="1:16" x14ac:dyDescent="0.3">
      <c r="A1179">
        <v>15</v>
      </c>
      <c r="B1179" t="s">
        <v>13</v>
      </c>
      <c r="C1179">
        <v>5.0999999999999996</v>
      </c>
      <c r="D1179" t="s">
        <v>17</v>
      </c>
      <c r="E1179">
        <v>5.5</v>
      </c>
      <c r="F1179">
        <v>0.7</v>
      </c>
      <c r="G1179">
        <v>2.13</v>
      </c>
      <c r="H1179">
        <v>0.5</v>
      </c>
      <c r="I1179" t="s">
        <v>19</v>
      </c>
      <c r="J1179">
        <v>6</v>
      </c>
      <c r="K1179">
        <v>10</v>
      </c>
      <c r="L1179">
        <v>8</v>
      </c>
      <c r="M1179">
        <v>0</v>
      </c>
      <c r="N1179" t="str">
        <f t="shared" si="38"/>
        <v>13-15</v>
      </c>
      <c r="O1179" t="str">
        <f t="shared" si="39"/>
        <v>low sleep</v>
      </c>
      <c r="P1179" s="1" t="str" cm="1">
        <f t="array" ref="P1179">_xlfn.IFS(L1179&lt;=3,"low",L1179&lt;=6,"medium",L1179&gt;=7,"high")</f>
        <v>high</v>
      </c>
    </row>
    <row r="1180" spans="1:16" x14ac:dyDescent="0.3">
      <c r="A1180">
        <v>19</v>
      </c>
      <c r="B1180" t="s">
        <v>16</v>
      </c>
      <c r="C1180">
        <v>3.5</v>
      </c>
      <c r="D1180" t="s">
        <v>14</v>
      </c>
      <c r="E1180">
        <v>4.9000000000000004</v>
      </c>
      <c r="F1180">
        <v>0.5</v>
      </c>
      <c r="G1180">
        <v>3.68</v>
      </c>
      <c r="H1180">
        <v>1.7</v>
      </c>
      <c r="I1180" t="s">
        <v>18</v>
      </c>
      <c r="J1180">
        <v>8</v>
      </c>
      <c r="K1180">
        <v>4</v>
      </c>
      <c r="L1180">
        <v>3</v>
      </c>
      <c r="M1180">
        <v>0</v>
      </c>
      <c r="N1180" t="str">
        <f t="shared" si="38"/>
        <v>16-19</v>
      </c>
      <c r="O1180" t="str">
        <f t="shared" si="39"/>
        <v>low sleep</v>
      </c>
      <c r="P1180" s="1" t="str" cm="1">
        <f t="array" ref="P1180">_xlfn.IFS(L1180&lt;=3,"low",L1180&lt;=6,"medium",L1180&gt;=7,"high")</f>
        <v>low</v>
      </c>
    </row>
    <row r="1181" spans="1:16" x14ac:dyDescent="0.3">
      <c r="A1181">
        <v>16</v>
      </c>
      <c r="B1181" t="s">
        <v>13</v>
      </c>
      <c r="C1181">
        <v>5.3</v>
      </c>
      <c r="D1181" t="s">
        <v>17</v>
      </c>
      <c r="E1181">
        <v>5.3</v>
      </c>
      <c r="F1181">
        <v>2.4</v>
      </c>
      <c r="G1181">
        <v>3.01</v>
      </c>
      <c r="H1181">
        <v>1.6</v>
      </c>
      <c r="I1181" t="s">
        <v>19</v>
      </c>
      <c r="J1181">
        <v>2</v>
      </c>
      <c r="K1181">
        <v>9</v>
      </c>
      <c r="L1181">
        <v>1</v>
      </c>
      <c r="M1181">
        <v>0</v>
      </c>
      <c r="N1181" t="str">
        <f t="shared" si="38"/>
        <v>16-19</v>
      </c>
      <c r="O1181" t="str">
        <f t="shared" si="39"/>
        <v>low sleep</v>
      </c>
      <c r="P1181" s="1" t="str" cm="1">
        <f t="array" ref="P1181">_xlfn.IFS(L1181&lt;=3,"low",L1181&lt;=6,"medium",L1181&gt;=7,"high")</f>
        <v>low</v>
      </c>
    </row>
    <row r="1182" spans="1:16" x14ac:dyDescent="0.3">
      <c r="A1182">
        <v>13</v>
      </c>
      <c r="B1182" t="s">
        <v>16</v>
      </c>
      <c r="C1182">
        <v>4.0999999999999996</v>
      </c>
      <c r="D1182" t="s">
        <v>14</v>
      </c>
      <c r="E1182">
        <v>7.5</v>
      </c>
      <c r="F1182">
        <v>1.7</v>
      </c>
      <c r="G1182">
        <v>3.12</v>
      </c>
      <c r="H1182">
        <v>2</v>
      </c>
      <c r="I1182" t="s">
        <v>19</v>
      </c>
      <c r="J1182">
        <v>1</v>
      </c>
      <c r="K1182">
        <v>4</v>
      </c>
      <c r="L1182">
        <v>9</v>
      </c>
      <c r="M1182">
        <v>0</v>
      </c>
      <c r="N1182" t="str">
        <f t="shared" si="38"/>
        <v>13-15</v>
      </c>
      <c r="O1182" t="str">
        <f t="shared" si="39"/>
        <v>healthy sleep</v>
      </c>
      <c r="P1182" s="1" t="str" cm="1">
        <f t="array" ref="P1182">_xlfn.IFS(L1182&lt;=3,"low",L1182&lt;=6,"medium",L1182&gt;=7,"high")</f>
        <v>high</v>
      </c>
    </row>
    <row r="1183" spans="1:16" x14ac:dyDescent="0.3">
      <c r="A1183">
        <v>18</v>
      </c>
      <c r="B1183" t="s">
        <v>13</v>
      </c>
      <c r="C1183">
        <v>4.0999999999999996</v>
      </c>
      <c r="D1183" t="s">
        <v>14</v>
      </c>
      <c r="E1183">
        <v>6.7</v>
      </c>
      <c r="F1183">
        <v>2.1</v>
      </c>
      <c r="G1183">
        <v>2.5</v>
      </c>
      <c r="H1183">
        <v>0.1</v>
      </c>
      <c r="I1183" t="s">
        <v>19</v>
      </c>
      <c r="J1183">
        <v>8</v>
      </c>
      <c r="K1183">
        <v>1</v>
      </c>
      <c r="L1183">
        <v>5</v>
      </c>
      <c r="M1183">
        <v>0</v>
      </c>
      <c r="N1183" t="str">
        <f t="shared" si="38"/>
        <v>16-19</v>
      </c>
      <c r="O1183" t="str">
        <f t="shared" si="39"/>
        <v>healthy sleep</v>
      </c>
      <c r="P1183" s="1" t="str" cm="1">
        <f t="array" ref="P1183">_xlfn.IFS(L1183&lt;=3,"low",L1183&lt;=6,"medium",L1183&gt;=7,"high")</f>
        <v>medium</v>
      </c>
    </row>
    <row r="1184" spans="1:16" x14ac:dyDescent="0.3">
      <c r="A1184">
        <v>15</v>
      </c>
      <c r="B1184" t="s">
        <v>13</v>
      </c>
      <c r="C1184">
        <v>6.3</v>
      </c>
      <c r="D1184" t="s">
        <v>17</v>
      </c>
      <c r="E1184">
        <v>6.8</v>
      </c>
      <c r="F1184">
        <v>1.8</v>
      </c>
      <c r="G1184">
        <v>2.59</v>
      </c>
      <c r="H1184">
        <v>1.9</v>
      </c>
      <c r="I1184" t="s">
        <v>18</v>
      </c>
      <c r="J1184">
        <v>10</v>
      </c>
      <c r="K1184">
        <v>5</v>
      </c>
      <c r="L1184">
        <v>5</v>
      </c>
      <c r="M1184">
        <v>0</v>
      </c>
      <c r="N1184" t="str">
        <f t="shared" si="38"/>
        <v>13-15</v>
      </c>
      <c r="O1184" t="str">
        <f t="shared" si="39"/>
        <v>healthy sleep</v>
      </c>
      <c r="P1184" s="1" t="str" cm="1">
        <f t="array" ref="P1184">_xlfn.IFS(L1184&lt;=3,"low",L1184&lt;=6,"medium",L1184&gt;=7,"high")</f>
        <v>medium</v>
      </c>
    </row>
    <row r="1185" spans="1:16" x14ac:dyDescent="0.3">
      <c r="A1185">
        <v>19</v>
      </c>
      <c r="B1185" t="s">
        <v>16</v>
      </c>
      <c r="C1185">
        <v>6.6</v>
      </c>
      <c r="D1185" t="s">
        <v>20</v>
      </c>
      <c r="E1185">
        <v>9</v>
      </c>
      <c r="F1185">
        <v>2.9</v>
      </c>
      <c r="G1185">
        <v>2.4700000000000002</v>
      </c>
      <c r="H1185">
        <v>1.7</v>
      </c>
      <c r="I1185" t="s">
        <v>19</v>
      </c>
      <c r="J1185">
        <v>3</v>
      </c>
      <c r="K1185">
        <v>7</v>
      </c>
      <c r="L1185">
        <v>9</v>
      </c>
      <c r="M1185">
        <v>0</v>
      </c>
      <c r="N1185" t="str">
        <f t="shared" si="38"/>
        <v>16-19</v>
      </c>
      <c r="O1185" t="str">
        <f t="shared" si="39"/>
        <v>healthy sleep</v>
      </c>
      <c r="P1185" s="1" t="str" cm="1">
        <f t="array" ref="P1185">_xlfn.IFS(L1185&lt;=3,"low",L1185&lt;=6,"medium",L1185&gt;=7,"high")</f>
        <v>high</v>
      </c>
    </row>
    <row r="1186" spans="1:16" x14ac:dyDescent="0.3">
      <c r="A1186">
        <v>19</v>
      </c>
      <c r="B1186" t="s">
        <v>13</v>
      </c>
      <c r="C1186">
        <v>1.4</v>
      </c>
      <c r="D1186" t="s">
        <v>20</v>
      </c>
      <c r="E1186">
        <v>4.5</v>
      </c>
      <c r="F1186">
        <v>2.2999999999999998</v>
      </c>
      <c r="G1186">
        <v>3.9</v>
      </c>
      <c r="H1186">
        <v>0</v>
      </c>
      <c r="I1186" t="s">
        <v>19</v>
      </c>
      <c r="J1186">
        <v>2</v>
      </c>
      <c r="K1186">
        <v>8</v>
      </c>
      <c r="L1186">
        <v>10</v>
      </c>
      <c r="M1186">
        <v>0</v>
      </c>
      <c r="N1186" t="str">
        <f t="shared" si="38"/>
        <v>16-19</v>
      </c>
      <c r="O1186" t="str">
        <f t="shared" si="39"/>
        <v>low sleep</v>
      </c>
      <c r="P1186" s="1" t="str" cm="1">
        <f t="array" ref="P1186">_xlfn.IFS(L1186&lt;=3,"low",L1186&lt;=6,"medium",L1186&gt;=7,"high")</f>
        <v>high</v>
      </c>
    </row>
    <row r="1187" spans="1:16" x14ac:dyDescent="0.3">
      <c r="A1187">
        <v>19</v>
      </c>
      <c r="B1187" t="s">
        <v>13</v>
      </c>
      <c r="C1187">
        <v>2.4</v>
      </c>
      <c r="D1187" t="s">
        <v>17</v>
      </c>
      <c r="E1187">
        <v>9</v>
      </c>
      <c r="F1187">
        <v>2.4</v>
      </c>
      <c r="G1187">
        <v>3.13</v>
      </c>
      <c r="H1187">
        <v>0.5</v>
      </c>
      <c r="I1187" t="s">
        <v>18</v>
      </c>
      <c r="J1187">
        <v>5</v>
      </c>
      <c r="K1187">
        <v>3</v>
      </c>
      <c r="L1187">
        <v>3</v>
      </c>
      <c r="M1187">
        <v>0</v>
      </c>
      <c r="N1187" t="str">
        <f t="shared" si="38"/>
        <v>16-19</v>
      </c>
      <c r="O1187" t="str">
        <f t="shared" si="39"/>
        <v>healthy sleep</v>
      </c>
      <c r="P1187" s="1" t="str" cm="1">
        <f t="array" ref="P1187">_xlfn.IFS(L1187&lt;=3,"low",L1187&lt;=6,"medium",L1187&gt;=7,"high")</f>
        <v>low</v>
      </c>
    </row>
    <row r="1188" spans="1:16" x14ac:dyDescent="0.3">
      <c r="A1188">
        <v>18</v>
      </c>
      <c r="B1188" t="s">
        <v>13</v>
      </c>
      <c r="C1188">
        <v>1.6</v>
      </c>
      <c r="D1188" t="s">
        <v>20</v>
      </c>
      <c r="E1188">
        <v>5.4</v>
      </c>
      <c r="F1188">
        <v>2</v>
      </c>
      <c r="G1188">
        <v>3.2</v>
      </c>
      <c r="H1188">
        <v>1.8</v>
      </c>
      <c r="I1188" t="s">
        <v>15</v>
      </c>
      <c r="J1188">
        <v>8</v>
      </c>
      <c r="K1188">
        <v>8</v>
      </c>
      <c r="L1188">
        <v>3</v>
      </c>
      <c r="M1188">
        <v>0</v>
      </c>
      <c r="N1188" t="str">
        <f t="shared" si="38"/>
        <v>16-19</v>
      </c>
      <c r="O1188" t="str">
        <f t="shared" si="39"/>
        <v>low sleep</v>
      </c>
      <c r="P1188" s="1" t="str" cm="1">
        <f t="array" ref="P1188">_xlfn.IFS(L1188&lt;=3,"low",L1188&lt;=6,"medium",L1188&gt;=7,"high")</f>
        <v>low</v>
      </c>
    </row>
    <row r="1189" spans="1:16" x14ac:dyDescent="0.3">
      <c r="A1189">
        <v>18</v>
      </c>
      <c r="B1189" t="s">
        <v>13</v>
      </c>
      <c r="C1189">
        <v>2</v>
      </c>
      <c r="D1189" t="s">
        <v>14</v>
      </c>
      <c r="E1189">
        <v>8.9</v>
      </c>
      <c r="F1189">
        <v>0.8</v>
      </c>
      <c r="G1189">
        <v>2.96</v>
      </c>
      <c r="H1189">
        <v>0.5</v>
      </c>
      <c r="I1189" t="s">
        <v>19</v>
      </c>
      <c r="J1189">
        <v>6</v>
      </c>
      <c r="K1189">
        <v>2</v>
      </c>
      <c r="L1189">
        <v>2</v>
      </c>
      <c r="M1189">
        <v>0</v>
      </c>
      <c r="N1189" t="str">
        <f t="shared" si="38"/>
        <v>16-19</v>
      </c>
      <c r="O1189" t="str">
        <f t="shared" si="39"/>
        <v>healthy sleep</v>
      </c>
      <c r="P1189" s="1" t="str" cm="1">
        <f t="array" ref="P1189">_xlfn.IFS(L1189&lt;=3,"low",L1189&lt;=6,"medium",L1189&gt;=7,"high")</f>
        <v>low</v>
      </c>
    </row>
    <row r="1190" spans="1:16" x14ac:dyDescent="0.3">
      <c r="A1190">
        <v>17</v>
      </c>
      <c r="B1190" t="s">
        <v>16</v>
      </c>
      <c r="C1190">
        <v>7.4</v>
      </c>
      <c r="D1190" t="s">
        <v>14</v>
      </c>
      <c r="E1190">
        <v>7.4</v>
      </c>
      <c r="F1190">
        <v>2</v>
      </c>
      <c r="G1190">
        <v>3.76</v>
      </c>
      <c r="H1190">
        <v>1.7</v>
      </c>
      <c r="I1190" t="s">
        <v>18</v>
      </c>
      <c r="J1190">
        <v>10</v>
      </c>
      <c r="K1190">
        <v>1</v>
      </c>
      <c r="L1190">
        <v>4</v>
      </c>
      <c r="M1190">
        <v>0</v>
      </c>
      <c r="N1190" t="str">
        <f t="shared" si="38"/>
        <v>16-19</v>
      </c>
      <c r="O1190" t="str">
        <f t="shared" si="39"/>
        <v>healthy sleep</v>
      </c>
      <c r="P1190" s="1" t="str" cm="1">
        <f t="array" ref="P1190">_xlfn.IFS(L1190&lt;=3,"low",L1190&lt;=6,"medium",L1190&gt;=7,"high")</f>
        <v>medium</v>
      </c>
    </row>
    <row r="1191" spans="1:16" x14ac:dyDescent="0.3">
      <c r="A1191">
        <v>14</v>
      </c>
      <c r="B1191" t="s">
        <v>16</v>
      </c>
      <c r="C1191">
        <v>1.6</v>
      </c>
      <c r="D1191" t="s">
        <v>17</v>
      </c>
      <c r="E1191">
        <v>4.8</v>
      </c>
      <c r="F1191">
        <v>2.4</v>
      </c>
      <c r="G1191">
        <v>2.97</v>
      </c>
      <c r="H1191">
        <v>1.9</v>
      </c>
      <c r="I1191" t="s">
        <v>15</v>
      </c>
      <c r="J1191">
        <v>9</v>
      </c>
      <c r="K1191">
        <v>9</v>
      </c>
      <c r="L1191">
        <v>10</v>
      </c>
      <c r="M1191">
        <v>0</v>
      </c>
      <c r="N1191" t="str">
        <f t="shared" si="38"/>
        <v>13-15</v>
      </c>
      <c r="O1191" t="str">
        <f t="shared" si="39"/>
        <v>low sleep</v>
      </c>
      <c r="P1191" s="1" t="str" cm="1">
        <f t="array" ref="P1191">_xlfn.IFS(L1191&lt;=3,"low",L1191&lt;=6,"medium",L1191&gt;=7,"high")</f>
        <v>high</v>
      </c>
    </row>
    <row r="1192" spans="1:16" x14ac:dyDescent="0.3">
      <c r="A1192">
        <v>17</v>
      </c>
      <c r="B1192" t="s">
        <v>16</v>
      </c>
      <c r="C1192">
        <v>3.8</v>
      </c>
      <c r="D1192" t="s">
        <v>14</v>
      </c>
      <c r="E1192">
        <v>8.4</v>
      </c>
      <c r="F1192">
        <v>0.9</v>
      </c>
      <c r="G1192">
        <v>3.6</v>
      </c>
      <c r="H1192">
        <v>1.9</v>
      </c>
      <c r="I1192" t="s">
        <v>18</v>
      </c>
      <c r="J1192">
        <v>1</v>
      </c>
      <c r="K1192">
        <v>2</v>
      </c>
      <c r="L1192">
        <v>2</v>
      </c>
      <c r="M1192">
        <v>0</v>
      </c>
      <c r="N1192" t="str">
        <f t="shared" si="38"/>
        <v>16-19</v>
      </c>
      <c r="O1192" t="str">
        <f t="shared" si="39"/>
        <v>healthy sleep</v>
      </c>
      <c r="P1192" s="1" t="str" cm="1">
        <f t="array" ref="P1192">_xlfn.IFS(L1192&lt;=3,"low",L1192&lt;=6,"medium",L1192&gt;=7,"high")</f>
        <v>low</v>
      </c>
    </row>
    <row r="1193" spans="1:16" x14ac:dyDescent="0.3">
      <c r="A1193">
        <v>19</v>
      </c>
      <c r="B1193" t="s">
        <v>13</v>
      </c>
      <c r="C1193">
        <v>8</v>
      </c>
      <c r="D1193" t="s">
        <v>17</v>
      </c>
      <c r="E1193">
        <v>4.7</v>
      </c>
      <c r="F1193">
        <v>0.5</v>
      </c>
      <c r="G1193">
        <v>2.1800000000000002</v>
      </c>
      <c r="H1193">
        <v>0.6</v>
      </c>
      <c r="I1193" t="s">
        <v>19</v>
      </c>
      <c r="J1193">
        <v>8</v>
      </c>
      <c r="K1193">
        <v>8</v>
      </c>
      <c r="L1193">
        <v>6</v>
      </c>
      <c r="M1193">
        <v>1</v>
      </c>
      <c r="N1193" t="str">
        <f t="shared" si="38"/>
        <v>16-19</v>
      </c>
      <c r="O1193" t="str">
        <f t="shared" si="39"/>
        <v>low sleep</v>
      </c>
      <c r="P1193" s="1" t="str" cm="1">
        <f t="array" ref="P1193">_xlfn.IFS(L1193&lt;=3,"low",L1193&lt;=6,"medium",L1193&gt;=7,"high")</f>
        <v>medium</v>
      </c>
    </row>
    <row r="1194" spans="1:16" x14ac:dyDescent="0.3">
      <c r="A1194">
        <v>13</v>
      </c>
      <c r="B1194" t="s">
        <v>13</v>
      </c>
      <c r="C1194">
        <v>7.8</v>
      </c>
      <c r="D1194" t="s">
        <v>17</v>
      </c>
      <c r="E1194">
        <v>5.9</v>
      </c>
      <c r="F1194">
        <v>1.5</v>
      </c>
      <c r="G1194">
        <v>3.31</v>
      </c>
      <c r="H1194">
        <v>1.9</v>
      </c>
      <c r="I1194" t="s">
        <v>18</v>
      </c>
      <c r="J1194">
        <v>10</v>
      </c>
      <c r="K1194">
        <v>1</v>
      </c>
      <c r="L1194">
        <v>10</v>
      </c>
      <c r="M1194">
        <v>0</v>
      </c>
      <c r="N1194" t="str">
        <f t="shared" si="38"/>
        <v>13-15</v>
      </c>
      <c r="O1194" t="str">
        <f t="shared" si="39"/>
        <v>low sleep</v>
      </c>
      <c r="P1194" s="1" t="str" cm="1">
        <f t="array" ref="P1194">_xlfn.IFS(L1194&lt;=3,"low",L1194&lt;=6,"medium",L1194&gt;=7,"high")</f>
        <v>high</v>
      </c>
    </row>
    <row r="1195" spans="1:16" x14ac:dyDescent="0.3">
      <c r="A1195">
        <v>13</v>
      </c>
      <c r="B1195" t="s">
        <v>16</v>
      </c>
      <c r="C1195">
        <v>7.2</v>
      </c>
      <c r="D1195" t="s">
        <v>14</v>
      </c>
      <c r="E1195">
        <v>8.1</v>
      </c>
      <c r="F1195">
        <v>2.1</v>
      </c>
      <c r="G1195">
        <v>2.52</v>
      </c>
      <c r="H1195">
        <v>0.4</v>
      </c>
      <c r="I1195" t="s">
        <v>19</v>
      </c>
      <c r="J1195">
        <v>3</v>
      </c>
      <c r="K1195">
        <v>3</v>
      </c>
      <c r="L1195">
        <v>7</v>
      </c>
      <c r="M1195">
        <v>0</v>
      </c>
      <c r="N1195" t="str">
        <f t="shared" si="38"/>
        <v>13-15</v>
      </c>
      <c r="O1195" t="str">
        <f t="shared" si="39"/>
        <v>healthy sleep</v>
      </c>
      <c r="P1195" s="1" t="str" cm="1">
        <f t="array" ref="P1195">_xlfn.IFS(L1195&lt;=3,"low",L1195&lt;=6,"medium",L1195&gt;=7,"high")</f>
        <v>high</v>
      </c>
    </row>
    <row r="1196" spans="1:16" x14ac:dyDescent="0.3">
      <c r="A1196">
        <v>17</v>
      </c>
      <c r="B1196" t="s">
        <v>13</v>
      </c>
      <c r="C1196">
        <v>2</v>
      </c>
      <c r="D1196" t="s">
        <v>20</v>
      </c>
      <c r="E1196">
        <v>4.5</v>
      </c>
      <c r="F1196">
        <v>1.7</v>
      </c>
      <c r="G1196">
        <v>2.65</v>
      </c>
      <c r="H1196">
        <v>0</v>
      </c>
      <c r="I1196" t="s">
        <v>19</v>
      </c>
      <c r="J1196">
        <v>9</v>
      </c>
      <c r="K1196">
        <v>4</v>
      </c>
      <c r="L1196">
        <v>2</v>
      </c>
      <c r="M1196">
        <v>0</v>
      </c>
      <c r="N1196" t="str">
        <f t="shared" si="38"/>
        <v>16-19</v>
      </c>
      <c r="O1196" t="str">
        <f t="shared" si="39"/>
        <v>low sleep</v>
      </c>
      <c r="P1196" s="1" t="str" cm="1">
        <f t="array" ref="P1196">_xlfn.IFS(L1196&lt;=3,"low",L1196&lt;=6,"medium",L1196&gt;=7,"high")</f>
        <v>low</v>
      </c>
    </row>
    <row r="1197" spans="1:16" x14ac:dyDescent="0.3">
      <c r="A1197">
        <v>18</v>
      </c>
      <c r="B1197" t="s">
        <v>16</v>
      </c>
      <c r="C1197">
        <v>6.8</v>
      </c>
      <c r="D1197" t="s">
        <v>14</v>
      </c>
      <c r="E1197">
        <v>6.6</v>
      </c>
      <c r="F1197">
        <v>2</v>
      </c>
      <c r="G1197">
        <v>2.76</v>
      </c>
      <c r="H1197">
        <v>1</v>
      </c>
      <c r="I1197" t="s">
        <v>15</v>
      </c>
      <c r="J1197">
        <v>3</v>
      </c>
      <c r="K1197">
        <v>4</v>
      </c>
      <c r="L1197">
        <v>4</v>
      </c>
      <c r="M1197">
        <v>0</v>
      </c>
      <c r="N1197" t="str">
        <f t="shared" si="38"/>
        <v>16-19</v>
      </c>
      <c r="O1197" t="str">
        <f t="shared" si="39"/>
        <v>healthy sleep</v>
      </c>
      <c r="P1197" s="1" t="str" cm="1">
        <f t="array" ref="P1197">_xlfn.IFS(L1197&lt;=3,"low",L1197&lt;=6,"medium",L1197&gt;=7,"high")</f>
        <v>medium</v>
      </c>
    </row>
    <row r="1198" spans="1:16" x14ac:dyDescent="0.3">
      <c r="A1198">
        <v>16</v>
      </c>
      <c r="B1198" t="s">
        <v>13</v>
      </c>
      <c r="C1198">
        <v>2.2999999999999998</v>
      </c>
      <c r="D1198" t="s">
        <v>20</v>
      </c>
      <c r="E1198">
        <v>8</v>
      </c>
      <c r="F1198">
        <v>1.9</v>
      </c>
      <c r="G1198">
        <v>2.12</v>
      </c>
      <c r="H1198">
        <v>0.4</v>
      </c>
      <c r="I1198" t="s">
        <v>18</v>
      </c>
      <c r="J1198">
        <v>7</v>
      </c>
      <c r="K1198">
        <v>4</v>
      </c>
      <c r="L1198">
        <v>4</v>
      </c>
      <c r="M1198">
        <v>0</v>
      </c>
      <c r="N1198" t="str">
        <f t="shared" si="38"/>
        <v>16-19</v>
      </c>
      <c r="O1198" t="str">
        <f t="shared" si="39"/>
        <v>healthy sleep</v>
      </c>
      <c r="P1198" s="1" t="str" cm="1">
        <f t="array" ref="P1198">_xlfn.IFS(L1198&lt;=3,"low",L1198&lt;=6,"medium",L1198&gt;=7,"high")</f>
        <v>medium</v>
      </c>
    </row>
    <row r="1199" spans="1:16" x14ac:dyDescent="0.3">
      <c r="A1199">
        <v>14</v>
      </c>
      <c r="B1199" t="s">
        <v>16</v>
      </c>
      <c r="C1199">
        <v>1.7</v>
      </c>
      <c r="D1199" t="s">
        <v>20</v>
      </c>
      <c r="E1199">
        <v>8.6999999999999993</v>
      </c>
      <c r="F1199">
        <v>0.7</v>
      </c>
      <c r="G1199">
        <v>3.98</v>
      </c>
      <c r="H1199">
        <v>0.8</v>
      </c>
      <c r="I1199" t="s">
        <v>18</v>
      </c>
      <c r="J1199">
        <v>1</v>
      </c>
      <c r="K1199">
        <v>1</v>
      </c>
      <c r="L1199">
        <v>1</v>
      </c>
      <c r="M1199">
        <v>0</v>
      </c>
      <c r="N1199" t="str">
        <f t="shared" si="38"/>
        <v>13-15</v>
      </c>
      <c r="O1199" t="str">
        <f t="shared" si="39"/>
        <v>healthy sleep</v>
      </c>
      <c r="P1199" s="1" t="str" cm="1">
        <f t="array" ref="P1199">_xlfn.IFS(L1199&lt;=3,"low",L1199&lt;=6,"medium",L1199&gt;=7,"high")</f>
        <v>low</v>
      </c>
    </row>
    <row r="1200" spans="1:16" x14ac:dyDescent="0.3">
      <c r="A1200">
        <v>15</v>
      </c>
      <c r="B1200" t="s">
        <v>13</v>
      </c>
      <c r="C1200">
        <v>3.9</v>
      </c>
      <c r="D1200" t="s">
        <v>20</v>
      </c>
      <c r="E1200">
        <v>8.5</v>
      </c>
      <c r="F1200">
        <v>2.1</v>
      </c>
      <c r="G1200">
        <v>3.19</v>
      </c>
      <c r="H1200">
        <v>0.6</v>
      </c>
      <c r="I1200" t="s">
        <v>18</v>
      </c>
      <c r="J1200">
        <v>7</v>
      </c>
      <c r="K1200">
        <v>9</v>
      </c>
      <c r="L1200">
        <v>9</v>
      </c>
      <c r="M1200">
        <v>0</v>
      </c>
      <c r="N1200" t="str">
        <f t="shared" si="38"/>
        <v>13-15</v>
      </c>
      <c r="O1200" t="str">
        <f t="shared" si="39"/>
        <v>healthy sleep</v>
      </c>
      <c r="P1200" s="1" t="str" cm="1">
        <f t="array" ref="P1200">_xlfn.IFS(L1200&lt;=3,"low",L1200&lt;=6,"medium",L1200&gt;=7,"high")</f>
        <v>high</v>
      </c>
    </row>
    <row r="1201" spans="1:16" x14ac:dyDescent="0.3">
      <c r="A1201">
        <v>16</v>
      </c>
      <c r="B1201" t="s">
        <v>16</v>
      </c>
      <c r="C1201">
        <v>4.7</v>
      </c>
      <c r="D1201" t="s">
        <v>17</v>
      </c>
      <c r="E1201">
        <v>6.5</v>
      </c>
      <c r="F1201">
        <v>1</v>
      </c>
      <c r="G1201">
        <v>2.91</v>
      </c>
      <c r="H1201">
        <v>0.9</v>
      </c>
      <c r="I1201" t="s">
        <v>19</v>
      </c>
      <c r="J1201">
        <v>5</v>
      </c>
      <c r="K1201">
        <v>7</v>
      </c>
      <c r="L1201">
        <v>3</v>
      </c>
      <c r="M1201">
        <v>0</v>
      </c>
      <c r="N1201" t="str">
        <f t="shared" si="38"/>
        <v>16-19</v>
      </c>
      <c r="O1201" t="str">
        <f t="shared" si="39"/>
        <v>healthy sleep</v>
      </c>
      <c r="P1201" s="1" t="str" cm="1">
        <f t="array" ref="P1201">_xlfn.IFS(L1201&lt;=3,"low",L1201&lt;=6,"medium",L1201&gt;=7,"high")</f>
        <v>low</v>
      </c>
    </row>
  </sheetData>
  <autoFilter ref="A1:P1201" xr:uid="{AF09A7DD-EE7B-49B4-B1EE-90FEF824DE6A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7B7FD-6978-4A77-9C02-23C13D5AB3C3}">
  <dimension ref="A1:H10"/>
  <sheetViews>
    <sheetView topLeftCell="E1" workbookViewId="0">
      <selection activeCell="F3" sqref="F3"/>
    </sheetView>
  </sheetViews>
  <sheetFormatPr defaultRowHeight="14.4" x14ac:dyDescent="0.3"/>
  <cols>
    <col min="1" max="1" width="28.109375" bestFit="1" customWidth="1"/>
    <col min="3" max="3" width="13" bestFit="1" customWidth="1"/>
    <col min="4" max="4" width="21.5546875" bestFit="1" customWidth="1"/>
    <col min="5" max="5" width="19.88671875" customWidth="1"/>
    <col min="6" max="6" width="20.88671875" customWidth="1"/>
    <col min="7" max="7" width="27.109375" customWidth="1"/>
    <col min="8" max="8" width="21" customWidth="1"/>
  </cols>
  <sheetData>
    <row r="1" spans="1:8" x14ac:dyDescent="0.3">
      <c r="A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</row>
    <row r="2" spans="1:8" x14ac:dyDescent="0.3">
      <c r="A2" t="s">
        <v>31</v>
      </c>
      <c r="C2">
        <f>COUNT('working sheet'!A1:A1201)</f>
        <v>1200</v>
      </c>
      <c r="D2">
        <f>COUNTIF('working sheet'!M2:M1201,1)</f>
        <v>31</v>
      </c>
      <c r="E2" s="2">
        <f>D2/C2</f>
        <v>2.5833333333333333E-2</v>
      </c>
      <c r="F2" s="3">
        <f>AVERAGEA('working sheet'!E1:E1201)</f>
        <v>6.4440466278101587</v>
      </c>
      <c r="G2" s="3">
        <f>AVERAGE('working sheet'!C:C)</f>
        <v>4.5338615512927491</v>
      </c>
      <c r="H2" s="3">
        <f>AVERAGE('working sheet'!J:J)</f>
        <v>5.4458333333333337</v>
      </c>
    </row>
    <row r="3" spans="1:8" x14ac:dyDescent="0.3">
      <c r="A3" t="s">
        <v>32</v>
      </c>
      <c r="F3" t="str">
        <f>TEXT(F2,"0.00")&amp;"hrs"</f>
        <v>6.44hrs</v>
      </c>
      <c r="G3" t="str">
        <f>TEXT(G2,"0.00")&amp;"hrs"</f>
        <v>4.53hrs</v>
      </c>
      <c r="H3" s="2"/>
    </row>
    <row r="4" spans="1:8" x14ac:dyDescent="0.3">
      <c r="A4" t="s">
        <v>27</v>
      </c>
    </row>
    <row r="5" spans="1:8" x14ac:dyDescent="0.3">
      <c r="A5" t="s">
        <v>28</v>
      </c>
    </row>
    <row r="6" spans="1:8" x14ac:dyDescent="0.3">
      <c r="A6" t="s">
        <v>29</v>
      </c>
    </row>
    <row r="7" spans="1:8" x14ac:dyDescent="0.3">
      <c r="A7" t="s">
        <v>30</v>
      </c>
    </row>
    <row r="10" spans="1:8" x14ac:dyDescent="0.3">
      <c r="G10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2D8D2-22B5-4E0B-B385-9D814343453E}">
  <dimension ref="A3:D53"/>
  <sheetViews>
    <sheetView tabSelected="1" workbookViewId="0">
      <selection activeCell="A4" sqref="A4:B4"/>
    </sheetView>
  </sheetViews>
  <sheetFormatPr defaultRowHeight="14.4" x14ac:dyDescent="0.3"/>
  <cols>
    <col min="1" max="1" width="10.77734375" bestFit="1" customWidth="1"/>
    <col min="2" max="2" width="21.88671875" bestFit="1" customWidth="1"/>
    <col min="3" max="3" width="11.6640625" bestFit="1" customWidth="1"/>
    <col min="4" max="4" width="10.77734375" bestFit="1" customWidth="1"/>
    <col min="5" max="5" width="11.44140625" bestFit="1" customWidth="1"/>
  </cols>
  <sheetData>
    <row r="3" spans="1:4" x14ac:dyDescent="0.3">
      <c r="A3" s="4" t="s">
        <v>1</v>
      </c>
      <c r="B3" t="s">
        <v>33</v>
      </c>
    </row>
    <row r="4" spans="1:4" x14ac:dyDescent="0.3">
      <c r="A4" t="s">
        <v>16</v>
      </c>
      <c r="B4">
        <v>17</v>
      </c>
    </row>
    <row r="5" spans="1:4" x14ac:dyDescent="0.3">
      <c r="A5" t="s">
        <v>13</v>
      </c>
      <c r="B5">
        <v>14</v>
      </c>
    </row>
    <row r="6" spans="1:4" x14ac:dyDescent="0.3">
      <c r="A6" t="s">
        <v>34</v>
      </c>
      <c r="B6">
        <v>31</v>
      </c>
    </row>
    <row r="14" spans="1:4" x14ac:dyDescent="0.3">
      <c r="A14" s="4" t="s">
        <v>35</v>
      </c>
      <c r="B14" s="4" t="s">
        <v>21</v>
      </c>
    </row>
    <row r="15" spans="1:4" x14ac:dyDescent="0.3">
      <c r="A15" s="4" t="s">
        <v>3</v>
      </c>
      <c r="B15" t="s">
        <v>36</v>
      </c>
      <c r="C15" t="s">
        <v>37</v>
      </c>
      <c r="D15" t="s">
        <v>34</v>
      </c>
    </row>
    <row r="16" spans="1:4" x14ac:dyDescent="0.3">
      <c r="A16" t="s">
        <v>20</v>
      </c>
      <c r="B16">
        <v>171</v>
      </c>
      <c r="C16">
        <v>220</v>
      </c>
      <c r="D16">
        <v>391</v>
      </c>
    </row>
    <row r="17" spans="1:4" x14ac:dyDescent="0.3">
      <c r="A17" t="s">
        <v>14</v>
      </c>
      <c r="B17">
        <v>192</v>
      </c>
      <c r="C17">
        <v>219</v>
      </c>
      <c r="D17">
        <v>411</v>
      </c>
    </row>
    <row r="18" spans="1:4" x14ac:dyDescent="0.3">
      <c r="A18" t="s">
        <v>17</v>
      </c>
      <c r="B18">
        <v>170</v>
      </c>
      <c r="C18">
        <v>228</v>
      </c>
      <c r="D18">
        <v>398</v>
      </c>
    </row>
    <row r="19" spans="1:4" x14ac:dyDescent="0.3">
      <c r="A19" t="s">
        <v>34</v>
      </c>
      <c r="B19">
        <v>533</v>
      </c>
      <c r="C19">
        <v>667</v>
      </c>
      <c r="D19">
        <v>1200</v>
      </c>
    </row>
    <row r="28" spans="1:4" x14ac:dyDescent="0.3">
      <c r="A28" s="4" t="s">
        <v>21</v>
      </c>
      <c r="B28" t="s">
        <v>33</v>
      </c>
    </row>
    <row r="29" spans="1:4" x14ac:dyDescent="0.3">
      <c r="A29" t="s">
        <v>36</v>
      </c>
      <c r="B29">
        <v>15</v>
      </c>
    </row>
    <row r="30" spans="1:4" x14ac:dyDescent="0.3">
      <c r="A30" t="s">
        <v>37</v>
      </c>
      <c r="B30">
        <v>16</v>
      </c>
    </row>
    <row r="31" spans="1:4" x14ac:dyDescent="0.3">
      <c r="A31" t="s">
        <v>34</v>
      </c>
      <c r="B31">
        <v>31</v>
      </c>
    </row>
    <row r="37" spans="1:2" x14ac:dyDescent="0.3">
      <c r="A37" s="4" t="s">
        <v>23</v>
      </c>
      <c r="B37" t="s">
        <v>33</v>
      </c>
    </row>
    <row r="38" spans="1:2" x14ac:dyDescent="0.3">
      <c r="A38" t="s">
        <v>18</v>
      </c>
      <c r="B38">
        <v>10</v>
      </c>
    </row>
    <row r="39" spans="1:2" x14ac:dyDescent="0.3">
      <c r="A39" t="s">
        <v>15</v>
      </c>
      <c r="B39">
        <v>11</v>
      </c>
    </row>
    <row r="40" spans="1:2" x14ac:dyDescent="0.3">
      <c r="A40" t="s">
        <v>19</v>
      </c>
      <c r="B40">
        <v>10</v>
      </c>
    </row>
    <row r="41" spans="1:2" x14ac:dyDescent="0.3">
      <c r="A41" t="s">
        <v>34</v>
      </c>
      <c r="B41">
        <v>31</v>
      </c>
    </row>
    <row r="48" spans="1:2" x14ac:dyDescent="0.3">
      <c r="A48" s="4" t="s">
        <v>33</v>
      </c>
      <c r="B48" s="4" t="s">
        <v>1</v>
      </c>
    </row>
    <row r="49" spans="1:4" x14ac:dyDescent="0.3">
      <c r="A49" s="4" t="s">
        <v>8</v>
      </c>
      <c r="B49" t="s">
        <v>16</v>
      </c>
      <c r="C49" t="s">
        <v>13</v>
      </c>
      <c r="D49" t="s">
        <v>34</v>
      </c>
    </row>
    <row r="50" spans="1:4" x14ac:dyDescent="0.3">
      <c r="A50" t="s">
        <v>18</v>
      </c>
      <c r="B50">
        <v>6</v>
      </c>
      <c r="C50">
        <v>4</v>
      </c>
      <c r="D50">
        <v>10</v>
      </c>
    </row>
    <row r="51" spans="1:4" x14ac:dyDescent="0.3">
      <c r="A51" t="s">
        <v>15</v>
      </c>
      <c r="B51">
        <v>6</v>
      </c>
      <c r="C51">
        <v>3</v>
      </c>
      <c r="D51">
        <v>9</v>
      </c>
    </row>
    <row r="52" spans="1:4" x14ac:dyDescent="0.3">
      <c r="A52" t="s">
        <v>19</v>
      </c>
      <c r="B52">
        <v>5</v>
      </c>
      <c r="C52">
        <v>7</v>
      </c>
      <c r="D52">
        <v>12</v>
      </c>
    </row>
    <row r="53" spans="1:4" x14ac:dyDescent="0.3">
      <c r="A53" t="s">
        <v>34</v>
      </c>
      <c r="B53">
        <v>17</v>
      </c>
      <c r="C53">
        <v>14</v>
      </c>
      <c r="D53">
        <v>31</v>
      </c>
    </row>
  </sheetData>
  <pageMargins left="0.7" right="0.7" top="0.75" bottom="0.75" header="0.3" footer="0.3"/>
  <drawing r:id="rId6"/>
  <extLst>
    <ext xmlns:x14="http://schemas.microsoft.com/office/spreadsheetml/2009/9/main" uri="{A8765BA9-456A-4dab-B4F3-ACF838C121DE}">
      <x14:slicerList>
        <x14:slicer r:id="rId7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1F781-21A7-467D-A77F-0E67CE6C29EE}">
  <dimension ref="A1"/>
  <sheetViews>
    <sheetView showGridLines="0" topLeftCell="A2" zoomScaleNormal="100" workbookViewId="0">
      <selection activeCell="J33" sqref="J33"/>
    </sheetView>
  </sheetViews>
  <sheetFormatPr defaultRowHeight="14.4" x14ac:dyDescent="0.3"/>
  <sheetData>
    <row r="1" spans="1:1" x14ac:dyDescent="0.3">
      <c r="A1" s="5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dataset</vt:lpstr>
      <vt:lpstr>working sheet</vt:lpstr>
      <vt:lpstr>KPI</vt:lpstr>
      <vt:lpstr>pivot table</vt:lpstr>
      <vt:lpstr>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Harshitha Jayaram</cp:lastModifiedBy>
  <cp:revision/>
  <dcterms:created xsi:type="dcterms:W3CDTF">2026-06-23T08:05:51Z</dcterms:created>
  <dcterms:modified xsi:type="dcterms:W3CDTF">2026-07-01T18:16:11Z</dcterms:modified>
  <cp:category/>
  <cp:contentStatus/>
</cp:coreProperties>
</file>